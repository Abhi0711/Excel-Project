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abhin\Documents\JobAAJ\EXCEL\ASSI3\"/>
    </mc:Choice>
  </mc:AlternateContent>
  <xr:revisionPtr revIDLastSave="0" documentId="13_ncr:1_{DFE70695-0621-4FED-B9A8-AF39B3FA29BD}" xr6:coauthVersionLast="47" xr6:coauthVersionMax="47" xr10:uidLastSave="{00000000-0000-0000-0000-000000000000}"/>
  <bookViews>
    <workbookView xWindow="11424" yWindow="0" windowWidth="11712" windowHeight="12336" firstSheet="6" activeTab="11" xr2:uid="{00000000-000D-0000-FFFF-FFFF00000000}"/>
  </bookViews>
  <sheets>
    <sheet name="T1_data" sheetId="1" r:id="rId1"/>
    <sheet name="T2_data" sheetId="2" r:id="rId2"/>
    <sheet name="Q1" sheetId="4" r:id="rId3"/>
    <sheet name="Q2" sheetId="5" r:id="rId4"/>
    <sheet name="Q3" sheetId="6" r:id="rId5"/>
    <sheet name="Q4" sheetId="7" r:id="rId6"/>
    <sheet name="Q5" sheetId="8" r:id="rId7"/>
    <sheet name="Q6" sheetId="9" r:id="rId8"/>
    <sheet name="Q7" sheetId="10" r:id="rId9"/>
    <sheet name="Q8" sheetId="11" r:id="rId10"/>
    <sheet name="Q9" sheetId="12" r:id="rId11"/>
    <sheet name="Q10" sheetId="13" r:id="rId12"/>
    <sheet name="sample" sheetId="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3" l="1"/>
  <c r="B2" i="13"/>
  <c r="B2" i="12"/>
  <c r="C3" i="11"/>
  <c r="B3" i="11"/>
  <c r="C2" i="11"/>
  <c r="B2" i="11"/>
  <c r="C3" i="10"/>
  <c r="B3" i="10"/>
  <c r="C2" i="10"/>
  <c r="B2" i="10"/>
  <c r="B3" i="9"/>
  <c r="B2" i="9"/>
  <c r="C4" i="8"/>
  <c r="B4" i="8"/>
  <c r="C3" i="8"/>
  <c r="B3" i="8"/>
  <c r="C2" i="8"/>
  <c r="B2" i="8"/>
  <c r="B3" i="7"/>
  <c r="B2" i="7"/>
  <c r="C3" i="6"/>
  <c r="B3" i="6"/>
  <c r="C2" i="6"/>
  <c r="B2" i="6"/>
  <c r="D2" i="6" s="1"/>
  <c r="B3" i="5"/>
  <c r="B2" i="5"/>
  <c r="B4" i="4"/>
  <c r="B3" i="4"/>
  <c r="B5" i="4" s="1"/>
  <c r="B2" i="4"/>
  <c r="D3" i="6" l="1"/>
  <c r="D2" i="10"/>
  <c r="D3" i="10"/>
</calcChain>
</file>

<file path=xl/sharedStrings.xml><?xml version="1.0" encoding="utf-8"?>
<sst xmlns="http://schemas.openxmlformats.org/spreadsheetml/2006/main" count="25090" uniqueCount="108">
  <si>
    <t>Row Num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</si>
  <si>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</si>
  <si>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</si>
  <si>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</si>
  <si>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</si>
  <si>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</si>
  <si>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</si>
  <si>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</si>
  <si>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</si>
  <si>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</si>
  <si>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</si>
  <si>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</si>
  <si>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</si>
  <si>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</si>
  <si>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</si>
  <si>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</si>
  <si>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</si>
  <si>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</si>
  <si>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</si>
  <si>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</si>
  <si>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KS</t>
  </si>
  <si>
    <t>AL</t>
  </si>
  <si>
    <t>IA</t>
  </si>
  <si>
    <t>VT</t>
  </si>
  <si>
    <t>NE</t>
  </si>
  <si>
    <t>IL</t>
  </si>
  <si>
    <t>LA</t>
  </si>
  <si>
    <t>GA</t>
  </si>
  <si>
    <t>NJ</t>
  </si>
  <si>
    <t>ID</t>
  </si>
  <si>
    <t>WY</t>
  </si>
  <si>
    <t>WI</t>
  </si>
  <si>
    <t>MN</t>
  </si>
  <si>
    <t>CO</t>
  </si>
  <si>
    <t>TX</t>
  </si>
  <si>
    <t>AK</t>
  </si>
  <si>
    <t>MA</t>
  </si>
  <si>
    <t>MO</t>
  </si>
  <si>
    <t>NY</t>
  </si>
  <si>
    <t>FL</t>
  </si>
  <si>
    <t>MI</t>
  </si>
  <si>
    <t>WA</t>
  </si>
  <si>
    <t>UT</t>
  </si>
  <si>
    <t>SC</t>
  </si>
  <si>
    <t>OK</t>
  </si>
  <si>
    <t>DE</t>
  </si>
  <si>
    <t>NH</t>
  </si>
  <si>
    <t>PA</t>
  </si>
  <si>
    <t>AZ</t>
  </si>
  <si>
    <t>MD</t>
  </si>
  <si>
    <t>VA</t>
  </si>
  <si>
    <t>IN</t>
  </si>
  <si>
    <t>NM</t>
  </si>
  <si>
    <t>MS</t>
  </si>
  <si>
    <t>CT</t>
  </si>
  <si>
    <t>RI</t>
  </si>
  <si>
    <t>SD</t>
  </si>
  <si>
    <t>MT</t>
  </si>
  <si>
    <t>OR</t>
  </si>
  <si>
    <t>ME</t>
  </si>
  <si>
    <t>CA</t>
  </si>
  <si>
    <t>OH</t>
  </si>
  <si>
    <t>AR</t>
  </si>
  <si>
    <t>DC</t>
  </si>
  <si>
    <t>ND</t>
  </si>
  <si>
    <t>WV</t>
  </si>
  <si>
    <t>NC</t>
  </si>
  <si>
    <t>HI</t>
  </si>
  <si>
    <t>NV</t>
  </si>
  <si>
    <t>TN</t>
  </si>
  <si>
    <t>KY</t>
  </si>
  <si>
    <t>area_code_415</t>
  </si>
  <si>
    <t>area_code_510</t>
  </si>
  <si>
    <t>area_code_408</t>
  </si>
  <si>
    <t>no</t>
  </si>
  <si>
    <t>yes</t>
  </si>
  <si>
    <t>churn</t>
  </si>
  <si>
    <t>id</t>
  </si>
  <si>
    <t>Metric</t>
  </si>
  <si>
    <t>Value</t>
  </si>
  <si>
    <t>Group</t>
  </si>
  <si>
    <t>Avg account length</t>
  </si>
  <si>
    <t>Non-churn (train)</t>
  </si>
  <si>
    <t>Churn (train)</t>
  </si>
  <si>
    <t>International Plan</t>
  </si>
  <si>
    <t>Customer Count (train)</t>
  </si>
  <si>
    <t>Churned</t>
  </si>
  <si>
    <t>Churn Rate</t>
  </si>
  <si>
    <t>Avg customer service calls</t>
  </si>
  <si>
    <t>No</t>
  </si>
  <si>
    <t>Yes</t>
  </si>
  <si>
    <t>Time Period</t>
  </si>
  <si>
    <t>Avg Charge (Non-Churn, train)</t>
  </si>
  <si>
    <t>Avg Charge (Churn, train)</t>
  </si>
  <si>
    <t>Day</t>
  </si>
  <si>
    <t>Evening</t>
  </si>
  <si>
    <t>Night</t>
  </si>
  <si>
    <t>Avg total day minutes</t>
  </si>
  <si>
    <t>Voice mail plan</t>
  </si>
  <si>
    <t>Avg Intl Minutes</t>
  </si>
  <si>
    <t>Avg Intl Charges</t>
  </si>
  <si>
    <t>Value (train)</t>
  </si>
  <si>
    <t>Correlation(total_day_calls, churn)</t>
  </si>
  <si>
    <t>Avg eve charges</t>
  </si>
  <si>
    <t>Total_customers</t>
  </si>
  <si>
    <t>Churned_customers (train only)</t>
  </si>
  <si>
    <t>Non-churned_customers (train only)</t>
  </si>
  <si>
    <t>Churn_rate (train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</si>
</sst>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14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751" totalsRowShown="0" headerRowDxfId="13" headerRowBorderDxfId="12" tableBorderDxfId="11">
  <autoFilter ref="A1:T751" xr:uid="{00000000-0009-0000-0100-000001000000}"/>
  <tableColumns count="20">
    <tableColumn id="1" xr3:uid="{00000000-0010-0000-0000-000001000000}" name="Row Num"/>
    <tableColumn id="2" xr3:uid="{00000000-0010-0000-0000-000002000000}" name="state"/>
    <tableColumn id="3" xr3:uid="{00000000-0010-0000-0000-000003000000}" name="account_length"/>
    <tableColumn id="4" xr3:uid="{00000000-0010-0000-0000-000004000000}" name="area_code"/>
    <tableColumn id="5" xr3:uid="{00000000-0010-0000-0000-000005000000}" name="international_plan"/>
    <tableColumn id="6" xr3:uid="{00000000-0010-0000-0000-000006000000}" name="voice_mail_plan"/>
    <tableColumn id="7" xr3:uid="{00000000-0010-0000-0000-000007000000}" name="number_vmail_messages"/>
    <tableColumn id="8" xr3:uid="{00000000-0010-0000-0000-000008000000}" name="total_day_minutes"/>
    <tableColumn id="9" xr3:uid="{00000000-0010-0000-0000-000009000000}" name="total_day_calls"/>
    <tableColumn id="10" xr3:uid="{00000000-0010-0000-0000-00000A000000}" name="total_day_charge"/>
    <tableColumn id="11" xr3:uid="{00000000-0010-0000-0000-00000B000000}" name="total_eve_minutes"/>
    <tableColumn id="12" xr3:uid="{00000000-0010-0000-0000-00000C000000}" name="total_eve_calls"/>
    <tableColumn id="13" xr3:uid="{00000000-0010-0000-0000-00000D000000}" name="total_eve_charge"/>
    <tableColumn id="14" xr3:uid="{00000000-0010-0000-0000-00000E000000}" name="total_night_minutes"/>
    <tableColumn id="15" xr3:uid="{00000000-0010-0000-0000-00000F000000}" name="total_night_calls"/>
    <tableColumn id="16" xr3:uid="{00000000-0010-0000-0000-000010000000}" name="total_night_charge"/>
    <tableColumn id="17" xr3:uid="{00000000-0010-0000-0000-000011000000}" name="total_intl_minutes"/>
    <tableColumn id="18" xr3:uid="{00000000-0010-0000-0000-000012000000}" name="total_intl_calls"/>
    <tableColumn id="19" xr3:uid="{00000000-0010-0000-0000-000013000000}" name="total_intl_charge"/>
    <tableColumn id="20" xr3:uid="{00000000-0010-0000-0000-000014000000}" name="number_customer_service_cal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T4251" totalsRowShown="0" headerRowDxfId="10" headerRowBorderDxfId="9" tableBorderDxfId="8">
  <autoFilter ref="A1:T4251" xr:uid="{00000000-0009-0000-0100-000002000000}"/>
  <tableColumns count="20">
    <tableColumn id="1" xr3:uid="{00000000-0010-0000-0100-000001000000}" name="state"/>
    <tableColumn id="2" xr3:uid="{00000000-0010-0000-0100-000002000000}" name="account_length"/>
    <tableColumn id="3" xr3:uid="{00000000-0010-0000-0100-000003000000}" name="area_code"/>
    <tableColumn id="4" xr3:uid="{00000000-0010-0000-0100-000004000000}" name="international_plan"/>
    <tableColumn id="5" xr3:uid="{00000000-0010-0000-0100-000005000000}" name="voice_mail_plan"/>
    <tableColumn id="6" xr3:uid="{00000000-0010-0000-0100-000006000000}" name="number_vmail_messages"/>
    <tableColumn id="7" xr3:uid="{00000000-0010-0000-0100-000007000000}" name="total_day_minutes"/>
    <tableColumn id="8" xr3:uid="{00000000-0010-0000-0100-000008000000}" name="total_day_calls"/>
    <tableColumn id="9" xr3:uid="{00000000-0010-0000-0100-000009000000}" name="total_day_charge"/>
    <tableColumn id="10" xr3:uid="{00000000-0010-0000-0100-00000A000000}" name="total_eve_minutes"/>
    <tableColumn id="11" xr3:uid="{00000000-0010-0000-0100-00000B000000}" name="total_eve_calls"/>
    <tableColumn id="12" xr3:uid="{00000000-0010-0000-0100-00000C000000}" name="total_eve_charge"/>
    <tableColumn id="13" xr3:uid="{00000000-0010-0000-0100-00000D000000}" name="total_night_minutes"/>
    <tableColumn id="14" xr3:uid="{00000000-0010-0000-0100-00000E000000}" name="total_night_calls"/>
    <tableColumn id="15" xr3:uid="{00000000-0010-0000-0100-00000F000000}" name="total_night_charge"/>
    <tableColumn id="16" xr3:uid="{00000000-0010-0000-0100-000010000000}" name="total_intl_minutes"/>
    <tableColumn id="17" xr3:uid="{00000000-0010-0000-0100-000011000000}" name="total_intl_calls"/>
    <tableColumn id="18" xr3:uid="{00000000-0010-0000-0100-000012000000}" name="total_intl_charge"/>
    <tableColumn id="19" xr3:uid="{00000000-0010-0000-0100-000013000000}" name="number_customer_service_calls"/>
    <tableColumn id="20" xr3:uid="{00000000-0010-0000-0100-000014000000}" name="chur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B5" totalsRowShown="0">
  <autoFilter ref="A1:B5" xr:uid="{00000000-0009-0000-0100-000004000000}"/>
  <tableColumns count="2">
    <tableColumn id="1" xr3:uid="{00000000-0010-0000-0300-000001000000}" name="Metric"/>
    <tableColumn id="2" xr3:uid="{00000000-0010-0000-0300-000002000000}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B3" totalsRowShown="0">
  <autoFilter ref="A1:B3" xr:uid="{00000000-0009-0000-0100-000005000000}"/>
  <tableColumns count="2">
    <tableColumn id="1" xr3:uid="{00000000-0010-0000-0400-000001000000}" name="Group"/>
    <tableColumn id="2" xr3:uid="{00000000-0010-0000-0400-000002000000}" name="Avg account length" dataDxfId="4">
      <calculatedColumnFormula>AVERAGEIF(T2_data!T1:T4250,"yes",T2_data!B1:B4250)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D3" totalsRowShown="0">
  <autoFilter ref="A1:D3" xr:uid="{00000000-0009-0000-0100-000006000000}"/>
  <tableColumns count="4">
    <tableColumn id="1" xr3:uid="{00000000-0010-0000-0500-000001000000}" name="International Plan"/>
    <tableColumn id="2" xr3:uid="{00000000-0010-0000-0500-000002000000}" name="Customer Count (train)">
      <calculatedColumnFormula>COUNTIFS(T2_data!D1:D4250,"no")</calculatedColumnFormula>
    </tableColumn>
    <tableColumn id="3" xr3:uid="{00000000-0010-0000-0500-000003000000}" name="Churned">
      <calculatedColumnFormula>COUNTIFS(T2_data!D1:D4250,"no",T2_data!T1:T4250,"yes")</calculatedColumnFormula>
    </tableColumn>
    <tableColumn id="4" xr3:uid="{00000000-0010-0000-0500-000004000000}" name="Churn Rate" dataCellStyle="Percent">
      <calculatedColumnFormula>IF(B2=0,0,C2/B2)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B3" totalsRowShown="0">
  <autoFilter ref="A1:B3" xr:uid="{00000000-0009-0000-0100-000007000000}"/>
  <tableColumns count="2">
    <tableColumn id="1" xr3:uid="{00000000-0010-0000-0600-000001000000}" name="Churn (train)"/>
    <tableColumn id="2" xr3:uid="{00000000-0010-0000-0600-000002000000}" name="Avg customer service calls">
      <calculatedColumnFormula>AVERAGEIF(T2_data!T1:T4250,"yes",T2_data!S1:S4250)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C4" totalsRowShown="0">
  <autoFilter ref="A1:C4" xr:uid="{00000000-0009-0000-0100-000008000000}"/>
  <tableColumns count="3">
    <tableColumn id="1" xr3:uid="{00000000-0010-0000-0700-000001000000}" name="Time Period"/>
    <tableColumn id="2" xr3:uid="{00000000-0010-0000-0700-000002000000}" name="Avg Charge (Non-Churn, train)"/>
    <tableColumn id="3" xr3:uid="{00000000-0010-0000-0700-000003000000}" name="Avg Charge (Churn, train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B3" totalsRowShown="0">
  <autoFilter ref="A1:B3" xr:uid="{00000000-0009-0000-0100-000009000000}"/>
  <tableColumns count="2">
    <tableColumn id="1" xr3:uid="{00000000-0010-0000-0800-000001000000}" name="Churn (train)"/>
    <tableColumn id="2" xr3:uid="{00000000-0010-0000-0800-000002000000}" name="Avg total day minutes" dataDxfId="3">
      <calculatedColumnFormula>AVERAGEIF(T2_data!T1:T4250,"yes",T2_data!G1:G4250)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D3" totalsRowShown="0">
  <autoFilter ref="A1:D3" xr:uid="{00000000-0009-0000-0100-00000A000000}"/>
  <tableColumns count="4">
    <tableColumn id="1" xr3:uid="{00000000-0010-0000-0900-000001000000}" name="Voice mail plan"/>
    <tableColumn id="2" xr3:uid="{00000000-0010-0000-0900-000002000000}" name="Customer Count (train)">
      <calculatedColumnFormula>COUNTIFS(T2_data!E1:E4250,"no")</calculatedColumnFormula>
    </tableColumn>
    <tableColumn id="3" xr3:uid="{00000000-0010-0000-0900-000003000000}" name="Churned">
      <calculatedColumnFormula>COUNTIFS(T2_data!E1:E4250,"no",T2_data!T1:T4250,"yes")</calculatedColumnFormula>
    </tableColumn>
    <tableColumn id="4" xr3:uid="{00000000-0010-0000-0900-000004000000}" name="Churn Rate" dataCellStyle="Percent">
      <calculatedColumnFormula>IF(B2=0,0,C2/B2)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C3" totalsRowShown="0">
  <autoFilter ref="A1:C3" xr:uid="{00000000-0009-0000-0100-00000B000000}"/>
  <tableColumns count="3">
    <tableColumn id="1" xr3:uid="{00000000-0010-0000-0A00-000001000000}" name="Churn (train)"/>
    <tableColumn id="2" xr3:uid="{00000000-0010-0000-0A00-000002000000}" name="Avg Intl Minutes" dataDxfId="2">
      <calculatedColumnFormula>AVERAGEIF(T2_data!T1:T4250,"yes",T2_data!P1:P4250)</calculatedColumnFormula>
    </tableColumn>
    <tableColumn id="3" xr3:uid="{00000000-0010-0000-0A00-000003000000}" name="Avg Intl Charges" dataDxfId="1">
      <calculatedColumnFormula>AVERAGEIF(T2_data!T1:T4250,"yes",T2_data!R1:R4250)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B2" totalsRowShown="0">
  <autoFilter ref="A1:B2" xr:uid="{00000000-0009-0000-0100-00000C000000}"/>
  <tableColumns count="2">
    <tableColumn id="1" xr3:uid="{00000000-0010-0000-0B00-000001000000}" name="Metric"/>
    <tableColumn id="2" xr3:uid="{00000000-0010-0000-0B00-000002000000}" name="Value (train)">
      <calculatedColumnFormula>CORREL(T2_data!H2:H4251,--(T2_data!T2:T4251="yes"))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B3" totalsRowShown="0">
  <autoFilter ref="A1:B3" xr:uid="{00000000-0009-0000-0100-00000D000000}"/>
  <tableColumns count="2">
    <tableColumn id="1" xr3:uid="{00000000-0010-0000-0C00-000001000000}" name="Churn (train)"/>
    <tableColumn id="2" xr3:uid="{00000000-0010-0000-0C00-000002000000}" name="Avg eve charges" dataDxfId="0">
      <calculatedColumnFormula>AVERAGEIF(T2_data!T1:T4250,"yes",T2_data!L1:L4250)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751" totalsRowShown="0" headerRowDxfId="7" headerRowBorderDxfId="6" tableBorderDxfId="5">
  <autoFilter ref="A1:B751" xr:uid="{00000000-0009-0000-0100-000003000000}"/>
  <tableColumns count="2">
    <tableColumn id="1" xr3:uid="{00000000-0010-0000-0200-000001000000}" name="id"/>
    <tableColumn id="2" xr3:uid="{00000000-0010-0000-0200-000002000000}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1"/>
  <sheetViews>
    <sheetView workbookViewId="0">
      <selection activeCell="B2" sqref="B2"/>
    </sheetView>
  </sheetViews>
  <sheetFormatPr defaultRowHeight="14.4" x14ac:dyDescent="0.3"/>
  <cols>
    <col min="1" max="1" width="13" customWidth="1"/>
    <col min="2" max="2" width="8.44140625" customWidth="1"/>
    <col min="3" max="3" width="18.77734375" customWidth="1"/>
    <col min="4" max="4" width="19.77734375" customWidth="1"/>
    <col min="5" max="5" width="20.33203125" customWidth="1"/>
    <col min="6" max="6" width="22.88671875" customWidth="1"/>
    <col min="7" max="7" width="25" customWidth="1"/>
    <col min="8" max="8" width="18.5546875" customWidth="1"/>
    <col min="9" max="9" width="20.6640625" customWidth="1"/>
    <col min="10" max="10" width="19.77734375" customWidth="1"/>
    <col min="11" max="11" width="23.77734375" customWidth="1"/>
    <col min="12" max="12" width="19.77734375" customWidth="1"/>
    <col min="13" max="13" width="21.88671875" customWidth="1"/>
    <col min="14" max="14" width="20.44140625" customWidth="1"/>
    <col min="15" max="15" width="20.77734375" customWidth="1"/>
    <col min="16" max="16" width="20.88671875" customWidth="1"/>
    <col min="17" max="17" width="20.21875" customWidth="1"/>
    <col min="18" max="18" width="18.44140625" customWidth="1"/>
    <col min="19" max="19" width="21.21875" customWidth="1"/>
    <col min="20" max="20" width="29.664062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>
        <v>1</v>
      </c>
      <c r="B2" t="s">
        <v>20</v>
      </c>
      <c r="C2">
        <v>128</v>
      </c>
      <c r="D2" t="s">
        <v>71</v>
      </c>
      <c r="E2" t="s">
        <v>74</v>
      </c>
      <c r="F2" t="s">
        <v>75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</row>
    <row r="3" spans="1:20" x14ac:dyDescent="0.3">
      <c r="A3">
        <v>2</v>
      </c>
      <c r="B3" t="s">
        <v>21</v>
      </c>
      <c r="C3">
        <v>118</v>
      </c>
      <c r="D3" t="s">
        <v>72</v>
      </c>
      <c r="E3" t="s">
        <v>75</v>
      </c>
      <c r="F3" t="s">
        <v>74</v>
      </c>
      <c r="G3">
        <v>0</v>
      </c>
      <c r="H3">
        <v>223.4</v>
      </c>
      <c r="I3">
        <v>98</v>
      </c>
      <c r="J3">
        <v>37.979999999999997</v>
      </c>
      <c r="K3">
        <v>220.6</v>
      </c>
      <c r="L3">
        <v>101</v>
      </c>
      <c r="M3">
        <v>18.75</v>
      </c>
      <c r="N3">
        <v>203.9</v>
      </c>
      <c r="O3">
        <v>118</v>
      </c>
      <c r="P3">
        <v>9.18</v>
      </c>
      <c r="Q3">
        <v>6.3</v>
      </c>
      <c r="R3">
        <v>6</v>
      </c>
      <c r="S3">
        <v>1.7</v>
      </c>
      <c r="T3">
        <v>0</v>
      </c>
    </row>
    <row r="4" spans="1:20" x14ac:dyDescent="0.3">
      <c r="A4">
        <v>3</v>
      </c>
      <c r="B4" t="s">
        <v>22</v>
      </c>
      <c r="C4">
        <v>62</v>
      </c>
      <c r="D4" t="s">
        <v>71</v>
      </c>
      <c r="E4" t="s">
        <v>74</v>
      </c>
      <c r="F4" t="s">
        <v>74</v>
      </c>
      <c r="G4">
        <v>0</v>
      </c>
      <c r="H4">
        <v>120.7</v>
      </c>
      <c r="I4">
        <v>70</v>
      </c>
      <c r="J4">
        <v>20.52</v>
      </c>
      <c r="K4">
        <v>307.2</v>
      </c>
      <c r="L4">
        <v>76</v>
      </c>
      <c r="M4">
        <v>26.11</v>
      </c>
      <c r="N4">
        <v>203</v>
      </c>
      <c r="O4">
        <v>99</v>
      </c>
      <c r="P4">
        <v>9.14</v>
      </c>
      <c r="Q4">
        <v>13.1</v>
      </c>
      <c r="R4">
        <v>6</v>
      </c>
      <c r="S4">
        <v>3.54</v>
      </c>
      <c r="T4">
        <v>4</v>
      </c>
    </row>
    <row r="5" spans="1:20" x14ac:dyDescent="0.3">
      <c r="A5">
        <v>4</v>
      </c>
      <c r="B5" t="s">
        <v>23</v>
      </c>
      <c r="C5">
        <v>93</v>
      </c>
      <c r="D5" t="s">
        <v>72</v>
      </c>
      <c r="E5" t="s">
        <v>74</v>
      </c>
      <c r="F5" t="s">
        <v>74</v>
      </c>
      <c r="G5">
        <v>0</v>
      </c>
      <c r="H5">
        <v>190.7</v>
      </c>
      <c r="I5">
        <v>114</v>
      </c>
      <c r="J5">
        <v>32.42</v>
      </c>
      <c r="K5">
        <v>218.2</v>
      </c>
      <c r="L5">
        <v>111</v>
      </c>
      <c r="M5">
        <v>18.55</v>
      </c>
      <c r="N5">
        <v>129.6</v>
      </c>
      <c r="O5">
        <v>121</v>
      </c>
      <c r="P5">
        <v>5.83</v>
      </c>
      <c r="Q5">
        <v>8.1</v>
      </c>
      <c r="R5">
        <v>3</v>
      </c>
      <c r="S5">
        <v>2.19</v>
      </c>
      <c r="T5">
        <v>3</v>
      </c>
    </row>
    <row r="6" spans="1:20" x14ac:dyDescent="0.3">
      <c r="A6">
        <v>5</v>
      </c>
      <c r="B6" t="s">
        <v>24</v>
      </c>
      <c r="C6">
        <v>174</v>
      </c>
      <c r="D6" t="s">
        <v>71</v>
      </c>
      <c r="E6" t="s">
        <v>74</v>
      </c>
      <c r="F6" t="s">
        <v>74</v>
      </c>
      <c r="G6">
        <v>0</v>
      </c>
      <c r="H6">
        <v>124.3</v>
      </c>
      <c r="I6">
        <v>76</v>
      </c>
      <c r="J6">
        <v>21.13</v>
      </c>
      <c r="K6">
        <v>277.10000000000002</v>
      </c>
      <c r="L6">
        <v>112</v>
      </c>
      <c r="M6">
        <v>23.55</v>
      </c>
      <c r="N6">
        <v>250.7</v>
      </c>
      <c r="O6">
        <v>115</v>
      </c>
      <c r="P6">
        <v>11.28</v>
      </c>
      <c r="Q6">
        <v>15.5</v>
      </c>
      <c r="R6">
        <v>5</v>
      </c>
      <c r="S6">
        <v>4.1900000000000004</v>
      </c>
      <c r="T6">
        <v>3</v>
      </c>
    </row>
    <row r="7" spans="1:20" x14ac:dyDescent="0.3">
      <c r="A7">
        <v>6</v>
      </c>
      <c r="B7" t="s">
        <v>25</v>
      </c>
      <c r="C7">
        <v>142</v>
      </c>
      <c r="D7" t="s">
        <v>71</v>
      </c>
      <c r="E7" t="s">
        <v>74</v>
      </c>
      <c r="F7" t="s">
        <v>74</v>
      </c>
      <c r="G7">
        <v>0</v>
      </c>
      <c r="H7">
        <v>84.8</v>
      </c>
      <c r="I7">
        <v>95</v>
      </c>
      <c r="J7">
        <v>14.42</v>
      </c>
      <c r="K7">
        <v>136.69999999999999</v>
      </c>
      <c r="L7">
        <v>63</v>
      </c>
      <c r="M7">
        <v>11.62</v>
      </c>
      <c r="N7">
        <v>250.5</v>
      </c>
      <c r="O7">
        <v>148</v>
      </c>
      <c r="P7">
        <v>11.27</v>
      </c>
      <c r="Q7">
        <v>14.2</v>
      </c>
      <c r="R7">
        <v>6</v>
      </c>
      <c r="S7">
        <v>3.83</v>
      </c>
      <c r="T7">
        <v>2</v>
      </c>
    </row>
    <row r="8" spans="1:20" x14ac:dyDescent="0.3">
      <c r="A8">
        <v>7</v>
      </c>
      <c r="B8" t="s">
        <v>26</v>
      </c>
      <c r="C8">
        <v>172</v>
      </c>
      <c r="D8" t="s">
        <v>73</v>
      </c>
      <c r="E8" t="s">
        <v>74</v>
      </c>
      <c r="F8" t="s">
        <v>74</v>
      </c>
      <c r="G8">
        <v>0</v>
      </c>
      <c r="H8">
        <v>212</v>
      </c>
      <c r="I8">
        <v>121</v>
      </c>
      <c r="J8">
        <v>36.04</v>
      </c>
      <c r="K8">
        <v>31.2</v>
      </c>
      <c r="L8">
        <v>115</v>
      </c>
      <c r="M8">
        <v>2.65</v>
      </c>
      <c r="N8">
        <v>293.3</v>
      </c>
      <c r="O8">
        <v>78</v>
      </c>
      <c r="P8">
        <v>13.2</v>
      </c>
      <c r="Q8">
        <v>12.6</v>
      </c>
      <c r="R8">
        <v>10</v>
      </c>
      <c r="S8">
        <v>3.4</v>
      </c>
      <c r="T8">
        <v>3</v>
      </c>
    </row>
    <row r="9" spans="1:20" x14ac:dyDescent="0.3">
      <c r="A9">
        <v>8</v>
      </c>
      <c r="B9" t="s">
        <v>27</v>
      </c>
      <c r="C9">
        <v>72</v>
      </c>
      <c r="D9" t="s">
        <v>71</v>
      </c>
      <c r="E9" t="s">
        <v>74</v>
      </c>
      <c r="F9" t="s">
        <v>75</v>
      </c>
      <c r="G9">
        <v>37</v>
      </c>
      <c r="H9">
        <v>220</v>
      </c>
      <c r="I9">
        <v>80</v>
      </c>
      <c r="J9">
        <v>37.4</v>
      </c>
      <c r="K9">
        <v>217.3</v>
      </c>
      <c r="L9">
        <v>102</v>
      </c>
      <c r="M9">
        <v>18.47</v>
      </c>
      <c r="N9">
        <v>152.80000000000001</v>
      </c>
      <c r="O9">
        <v>71</v>
      </c>
      <c r="P9">
        <v>6.88</v>
      </c>
      <c r="Q9">
        <v>14.7</v>
      </c>
      <c r="R9">
        <v>6</v>
      </c>
      <c r="S9">
        <v>3.97</v>
      </c>
      <c r="T9">
        <v>3</v>
      </c>
    </row>
    <row r="10" spans="1:20" x14ac:dyDescent="0.3">
      <c r="A10">
        <v>9</v>
      </c>
      <c r="B10" t="s">
        <v>28</v>
      </c>
      <c r="C10">
        <v>149</v>
      </c>
      <c r="D10" t="s">
        <v>73</v>
      </c>
      <c r="E10" t="s">
        <v>74</v>
      </c>
      <c r="F10" t="s">
        <v>74</v>
      </c>
      <c r="G10">
        <v>0</v>
      </c>
      <c r="H10">
        <v>140.4</v>
      </c>
      <c r="I10">
        <v>94</v>
      </c>
      <c r="J10">
        <v>23.87</v>
      </c>
      <c r="K10">
        <v>271.8</v>
      </c>
      <c r="L10">
        <v>92</v>
      </c>
      <c r="M10">
        <v>23.1</v>
      </c>
      <c r="N10">
        <v>188.3</v>
      </c>
      <c r="O10">
        <v>108</v>
      </c>
      <c r="P10">
        <v>8.4700000000000006</v>
      </c>
      <c r="Q10">
        <v>11.1</v>
      </c>
      <c r="R10">
        <v>9</v>
      </c>
      <c r="S10">
        <v>3</v>
      </c>
      <c r="T10">
        <v>1</v>
      </c>
    </row>
    <row r="11" spans="1:20" x14ac:dyDescent="0.3">
      <c r="A11">
        <v>10</v>
      </c>
      <c r="B11" t="s">
        <v>29</v>
      </c>
      <c r="C11">
        <v>119</v>
      </c>
      <c r="D11" t="s">
        <v>71</v>
      </c>
      <c r="E11" t="s">
        <v>74</v>
      </c>
      <c r="F11" t="s">
        <v>74</v>
      </c>
      <c r="G11">
        <v>0</v>
      </c>
      <c r="H11">
        <v>159.1</v>
      </c>
      <c r="I11">
        <v>114</v>
      </c>
      <c r="J11">
        <v>27.05</v>
      </c>
      <c r="K11">
        <v>231.3</v>
      </c>
      <c r="L11">
        <v>117</v>
      </c>
      <c r="M11">
        <v>19.66</v>
      </c>
      <c r="N11">
        <v>143.19999999999999</v>
      </c>
      <c r="O11">
        <v>91</v>
      </c>
      <c r="P11">
        <v>6.44</v>
      </c>
      <c r="Q11">
        <v>8.8000000000000007</v>
      </c>
      <c r="R11">
        <v>3</v>
      </c>
      <c r="S11">
        <v>2.38</v>
      </c>
      <c r="T11">
        <v>5</v>
      </c>
    </row>
    <row r="12" spans="1:20" x14ac:dyDescent="0.3">
      <c r="A12">
        <v>11</v>
      </c>
      <c r="B12" t="s">
        <v>30</v>
      </c>
      <c r="C12">
        <v>87</v>
      </c>
      <c r="D12" t="s">
        <v>71</v>
      </c>
      <c r="E12" t="s">
        <v>74</v>
      </c>
      <c r="F12" t="s">
        <v>74</v>
      </c>
      <c r="G12">
        <v>0</v>
      </c>
      <c r="H12">
        <v>151</v>
      </c>
      <c r="I12">
        <v>83</v>
      </c>
      <c r="J12">
        <v>25.67</v>
      </c>
      <c r="K12">
        <v>219.7</v>
      </c>
      <c r="L12">
        <v>116</v>
      </c>
      <c r="M12">
        <v>18.670000000000002</v>
      </c>
      <c r="N12">
        <v>203.9</v>
      </c>
      <c r="O12">
        <v>127</v>
      </c>
      <c r="P12">
        <v>9.18</v>
      </c>
      <c r="Q12">
        <v>9.6999999999999993</v>
      </c>
      <c r="R12">
        <v>3</v>
      </c>
      <c r="S12">
        <v>2.62</v>
      </c>
      <c r="T12">
        <v>5</v>
      </c>
    </row>
    <row r="13" spans="1:20" x14ac:dyDescent="0.3">
      <c r="A13">
        <v>12</v>
      </c>
      <c r="B13" t="s">
        <v>31</v>
      </c>
      <c r="C13">
        <v>68</v>
      </c>
      <c r="D13" t="s">
        <v>71</v>
      </c>
      <c r="E13" t="s">
        <v>74</v>
      </c>
      <c r="F13" t="s">
        <v>74</v>
      </c>
      <c r="G13">
        <v>0</v>
      </c>
      <c r="H13">
        <v>148.80000000000001</v>
      </c>
      <c r="I13">
        <v>70</v>
      </c>
      <c r="J13">
        <v>25.3</v>
      </c>
      <c r="K13">
        <v>246.5</v>
      </c>
      <c r="L13">
        <v>164</v>
      </c>
      <c r="M13">
        <v>20.95</v>
      </c>
      <c r="N13">
        <v>129.80000000000001</v>
      </c>
      <c r="O13">
        <v>103</v>
      </c>
      <c r="P13">
        <v>5.84</v>
      </c>
      <c r="Q13">
        <v>12.1</v>
      </c>
      <c r="R13">
        <v>3</v>
      </c>
      <c r="S13">
        <v>3.27</v>
      </c>
      <c r="T13">
        <v>3</v>
      </c>
    </row>
    <row r="14" spans="1:20" x14ac:dyDescent="0.3">
      <c r="A14">
        <v>13</v>
      </c>
      <c r="B14" t="s">
        <v>32</v>
      </c>
      <c r="C14">
        <v>74</v>
      </c>
      <c r="D14" t="s">
        <v>72</v>
      </c>
      <c r="E14" t="s">
        <v>74</v>
      </c>
      <c r="F14" t="s">
        <v>75</v>
      </c>
      <c r="G14">
        <v>33</v>
      </c>
      <c r="H14">
        <v>193.7</v>
      </c>
      <c r="I14">
        <v>91</v>
      </c>
      <c r="J14">
        <v>32.93</v>
      </c>
      <c r="K14">
        <v>246.1</v>
      </c>
      <c r="L14">
        <v>96</v>
      </c>
      <c r="M14">
        <v>20.92</v>
      </c>
      <c r="N14">
        <v>138</v>
      </c>
      <c r="O14">
        <v>92</v>
      </c>
      <c r="P14">
        <v>6.21</v>
      </c>
      <c r="Q14">
        <v>14.6</v>
      </c>
      <c r="R14">
        <v>3</v>
      </c>
      <c r="S14">
        <v>3.94</v>
      </c>
      <c r="T14">
        <v>2</v>
      </c>
    </row>
    <row r="15" spans="1:20" x14ac:dyDescent="0.3">
      <c r="A15">
        <v>14</v>
      </c>
      <c r="B15" t="s">
        <v>33</v>
      </c>
      <c r="C15">
        <v>55</v>
      </c>
      <c r="D15" t="s">
        <v>73</v>
      </c>
      <c r="E15" t="s">
        <v>74</v>
      </c>
      <c r="F15" t="s">
        <v>75</v>
      </c>
      <c r="G15">
        <v>25</v>
      </c>
      <c r="H15">
        <v>165.6</v>
      </c>
      <c r="I15">
        <v>123</v>
      </c>
      <c r="J15">
        <v>28.15</v>
      </c>
      <c r="K15">
        <v>136.1</v>
      </c>
      <c r="L15">
        <v>95</v>
      </c>
      <c r="M15">
        <v>11.57</v>
      </c>
      <c r="N15">
        <v>175.7</v>
      </c>
      <c r="O15">
        <v>90</v>
      </c>
      <c r="P15">
        <v>7.91</v>
      </c>
      <c r="Q15">
        <v>11</v>
      </c>
      <c r="R15">
        <v>2</v>
      </c>
      <c r="S15">
        <v>2.97</v>
      </c>
      <c r="T15">
        <v>3</v>
      </c>
    </row>
    <row r="16" spans="1:20" x14ac:dyDescent="0.3">
      <c r="A16">
        <v>15</v>
      </c>
      <c r="B16" t="s">
        <v>34</v>
      </c>
      <c r="C16">
        <v>106</v>
      </c>
      <c r="D16" t="s">
        <v>72</v>
      </c>
      <c r="E16" t="s">
        <v>74</v>
      </c>
      <c r="F16" t="s">
        <v>74</v>
      </c>
      <c r="G16">
        <v>0</v>
      </c>
      <c r="H16">
        <v>210.6</v>
      </c>
      <c r="I16">
        <v>96</v>
      </c>
      <c r="J16">
        <v>35.799999999999997</v>
      </c>
      <c r="K16">
        <v>249.2</v>
      </c>
      <c r="L16">
        <v>85</v>
      </c>
      <c r="M16">
        <v>21.18</v>
      </c>
      <c r="N16">
        <v>191.4</v>
      </c>
      <c r="O16">
        <v>88</v>
      </c>
      <c r="P16">
        <v>8.61</v>
      </c>
      <c r="Q16">
        <v>12.4</v>
      </c>
      <c r="R16">
        <v>1</v>
      </c>
      <c r="S16">
        <v>3.35</v>
      </c>
      <c r="T16">
        <v>2</v>
      </c>
    </row>
    <row r="17" spans="1:20" x14ac:dyDescent="0.3">
      <c r="A17">
        <v>16</v>
      </c>
      <c r="B17" t="s">
        <v>35</v>
      </c>
      <c r="C17">
        <v>104</v>
      </c>
      <c r="D17" t="s">
        <v>73</v>
      </c>
      <c r="E17" t="s">
        <v>74</v>
      </c>
      <c r="F17" t="s">
        <v>74</v>
      </c>
      <c r="G17">
        <v>0</v>
      </c>
      <c r="H17">
        <v>278.39999999999998</v>
      </c>
      <c r="I17">
        <v>106</v>
      </c>
      <c r="J17">
        <v>47.33</v>
      </c>
      <c r="K17">
        <v>81</v>
      </c>
      <c r="L17">
        <v>113</v>
      </c>
      <c r="M17">
        <v>6.89</v>
      </c>
      <c r="N17">
        <v>163.19999999999999</v>
      </c>
      <c r="O17">
        <v>137</v>
      </c>
      <c r="P17">
        <v>7.34</v>
      </c>
      <c r="Q17">
        <v>9.8000000000000007</v>
      </c>
      <c r="R17">
        <v>5</v>
      </c>
      <c r="S17">
        <v>2.65</v>
      </c>
      <c r="T17">
        <v>1</v>
      </c>
    </row>
    <row r="18" spans="1:20" x14ac:dyDescent="0.3">
      <c r="A18">
        <v>17</v>
      </c>
      <c r="B18" t="s">
        <v>23</v>
      </c>
      <c r="C18">
        <v>135</v>
      </c>
      <c r="D18" t="s">
        <v>71</v>
      </c>
      <c r="E18" t="s">
        <v>74</v>
      </c>
      <c r="F18" t="s">
        <v>74</v>
      </c>
      <c r="G18">
        <v>0</v>
      </c>
      <c r="H18">
        <v>151.69999999999999</v>
      </c>
      <c r="I18">
        <v>82</v>
      </c>
      <c r="J18">
        <v>25.79</v>
      </c>
      <c r="K18">
        <v>119</v>
      </c>
      <c r="L18">
        <v>105</v>
      </c>
      <c r="M18">
        <v>10.119999999999999</v>
      </c>
      <c r="N18">
        <v>180</v>
      </c>
      <c r="O18">
        <v>100</v>
      </c>
      <c r="P18">
        <v>8.1</v>
      </c>
      <c r="Q18">
        <v>10.5</v>
      </c>
      <c r="R18">
        <v>6</v>
      </c>
      <c r="S18">
        <v>2.84</v>
      </c>
      <c r="T18">
        <v>0</v>
      </c>
    </row>
    <row r="19" spans="1:20" x14ac:dyDescent="0.3">
      <c r="A19">
        <v>18</v>
      </c>
      <c r="B19" t="s">
        <v>33</v>
      </c>
      <c r="C19">
        <v>141</v>
      </c>
      <c r="D19" t="s">
        <v>71</v>
      </c>
      <c r="E19" t="s">
        <v>74</v>
      </c>
      <c r="F19" t="s">
        <v>75</v>
      </c>
      <c r="G19">
        <v>32</v>
      </c>
      <c r="H19">
        <v>148.6</v>
      </c>
      <c r="I19">
        <v>91</v>
      </c>
      <c r="J19">
        <v>25.26</v>
      </c>
      <c r="K19">
        <v>131.1</v>
      </c>
      <c r="L19">
        <v>97</v>
      </c>
      <c r="M19">
        <v>11.14</v>
      </c>
      <c r="N19">
        <v>219.4</v>
      </c>
      <c r="O19">
        <v>142</v>
      </c>
      <c r="P19">
        <v>9.8699999999999992</v>
      </c>
      <c r="Q19">
        <v>10.1</v>
      </c>
      <c r="R19">
        <v>1</v>
      </c>
      <c r="S19">
        <v>2.73</v>
      </c>
      <c r="T19">
        <v>1</v>
      </c>
    </row>
    <row r="20" spans="1:20" x14ac:dyDescent="0.3">
      <c r="A20">
        <v>19</v>
      </c>
      <c r="B20" t="s">
        <v>36</v>
      </c>
      <c r="C20">
        <v>103</v>
      </c>
      <c r="D20" t="s">
        <v>71</v>
      </c>
      <c r="E20" t="s">
        <v>74</v>
      </c>
      <c r="F20" t="s">
        <v>74</v>
      </c>
      <c r="G20">
        <v>0</v>
      </c>
      <c r="H20">
        <v>185</v>
      </c>
      <c r="I20">
        <v>117</v>
      </c>
      <c r="J20">
        <v>31.45</v>
      </c>
      <c r="K20">
        <v>223.3</v>
      </c>
      <c r="L20">
        <v>94</v>
      </c>
      <c r="M20">
        <v>18.98</v>
      </c>
      <c r="N20">
        <v>222.8</v>
      </c>
      <c r="O20">
        <v>91</v>
      </c>
      <c r="P20">
        <v>10.029999999999999</v>
      </c>
      <c r="Q20">
        <v>12.6</v>
      </c>
      <c r="R20">
        <v>2</v>
      </c>
      <c r="S20">
        <v>3.4</v>
      </c>
      <c r="T20">
        <v>2</v>
      </c>
    </row>
    <row r="21" spans="1:20" x14ac:dyDescent="0.3">
      <c r="A21">
        <v>20</v>
      </c>
      <c r="B21" t="s">
        <v>37</v>
      </c>
      <c r="C21">
        <v>112</v>
      </c>
      <c r="D21" t="s">
        <v>72</v>
      </c>
      <c r="E21" t="s">
        <v>74</v>
      </c>
      <c r="F21" t="s">
        <v>75</v>
      </c>
      <c r="G21">
        <v>36</v>
      </c>
      <c r="H21">
        <v>113.7</v>
      </c>
      <c r="I21">
        <v>117</v>
      </c>
      <c r="J21">
        <v>19.329999999999998</v>
      </c>
      <c r="K21">
        <v>157.5</v>
      </c>
      <c r="L21">
        <v>82</v>
      </c>
      <c r="M21">
        <v>13.39</v>
      </c>
      <c r="N21">
        <v>177.6</v>
      </c>
      <c r="O21">
        <v>118</v>
      </c>
      <c r="P21">
        <v>7.99</v>
      </c>
      <c r="Q21">
        <v>10</v>
      </c>
      <c r="R21">
        <v>3</v>
      </c>
      <c r="S21">
        <v>2.7</v>
      </c>
      <c r="T21">
        <v>2</v>
      </c>
    </row>
    <row r="22" spans="1:20" x14ac:dyDescent="0.3">
      <c r="A22">
        <v>21</v>
      </c>
      <c r="B22" t="s">
        <v>29</v>
      </c>
      <c r="C22">
        <v>97</v>
      </c>
      <c r="D22" t="s">
        <v>73</v>
      </c>
      <c r="E22" t="s">
        <v>74</v>
      </c>
      <c r="F22" t="s">
        <v>74</v>
      </c>
      <c r="G22">
        <v>0</v>
      </c>
      <c r="H22">
        <v>239.8</v>
      </c>
      <c r="I22">
        <v>125</v>
      </c>
      <c r="J22">
        <v>40.770000000000003</v>
      </c>
      <c r="K22">
        <v>214.8</v>
      </c>
      <c r="L22">
        <v>111</v>
      </c>
      <c r="M22">
        <v>18.260000000000002</v>
      </c>
      <c r="N22">
        <v>143.30000000000001</v>
      </c>
      <c r="O22">
        <v>81</v>
      </c>
      <c r="P22">
        <v>6.45</v>
      </c>
      <c r="Q22">
        <v>8.6999999999999993</v>
      </c>
      <c r="R22">
        <v>5</v>
      </c>
      <c r="S22">
        <v>2.35</v>
      </c>
      <c r="T22">
        <v>2</v>
      </c>
    </row>
    <row r="23" spans="1:20" x14ac:dyDescent="0.3">
      <c r="A23">
        <v>22</v>
      </c>
      <c r="B23" t="s">
        <v>24</v>
      </c>
      <c r="C23">
        <v>131</v>
      </c>
      <c r="D23" t="s">
        <v>73</v>
      </c>
      <c r="E23" t="s">
        <v>74</v>
      </c>
      <c r="F23" t="s">
        <v>75</v>
      </c>
      <c r="G23">
        <v>36</v>
      </c>
      <c r="H23">
        <v>214.2</v>
      </c>
      <c r="I23">
        <v>115</v>
      </c>
      <c r="J23">
        <v>36.409999999999997</v>
      </c>
      <c r="K23">
        <v>161.69999999999999</v>
      </c>
      <c r="L23">
        <v>117</v>
      </c>
      <c r="M23">
        <v>13.74</v>
      </c>
      <c r="N23">
        <v>264.7</v>
      </c>
      <c r="O23">
        <v>102</v>
      </c>
      <c r="P23">
        <v>11.91</v>
      </c>
      <c r="Q23">
        <v>9.5</v>
      </c>
      <c r="R23">
        <v>4</v>
      </c>
      <c r="S23">
        <v>2.57</v>
      </c>
      <c r="T23">
        <v>3</v>
      </c>
    </row>
    <row r="24" spans="1:20" x14ac:dyDescent="0.3">
      <c r="A24">
        <v>23</v>
      </c>
      <c r="B24" t="s">
        <v>38</v>
      </c>
      <c r="C24">
        <v>75</v>
      </c>
      <c r="D24" t="s">
        <v>71</v>
      </c>
      <c r="E24" t="s">
        <v>74</v>
      </c>
      <c r="F24" t="s">
        <v>75</v>
      </c>
      <c r="G24">
        <v>21</v>
      </c>
      <c r="H24">
        <v>175.8</v>
      </c>
      <c r="I24">
        <v>97</v>
      </c>
      <c r="J24">
        <v>29.89</v>
      </c>
      <c r="K24">
        <v>217.5</v>
      </c>
      <c r="L24">
        <v>106</v>
      </c>
      <c r="M24">
        <v>18.489999999999998</v>
      </c>
      <c r="N24">
        <v>237.5</v>
      </c>
      <c r="O24">
        <v>134</v>
      </c>
      <c r="P24">
        <v>10.69</v>
      </c>
      <c r="Q24">
        <v>5.3</v>
      </c>
      <c r="R24">
        <v>4</v>
      </c>
      <c r="S24">
        <v>1.43</v>
      </c>
      <c r="T24">
        <v>5</v>
      </c>
    </row>
    <row r="25" spans="1:20" x14ac:dyDescent="0.3">
      <c r="A25">
        <v>24</v>
      </c>
      <c r="B25" t="s">
        <v>39</v>
      </c>
      <c r="C25">
        <v>91</v>
      </c>
      <c r="D25" t="s">
        <v>72</v>
      </c>
      <c r="E25" t="s">
        <v>74</v>
      </c>
      <c r="F25" t="s">
        <v>74</v>
      </c>
      <c r="G25">
        <v>0</v>
      </c>
      <c r="H25">
        <v>203.1</v>
      </c>
      <c r="I25">
        <v>106</v>
      </c>
      <c r="J25">
        <v>34.53</v>
      </c>
      <c r="K25">
        <v>210.1</v>
      </c>
      <c r="L25">
        <v>113</v>
      </c>
      <c r="M25">
        <v>17.86</v>
      </c>
      <c r="N25">
        <v>195.6</v>
      </c>
      <c r="O25">
        <v>129</v>
      </c>
      <c r="P25">
        <v>8.8000000000000007</v>
      </c>
      <c r="Q25">
        <v>12</v>
      </c>
      <c r="R25">
        <v>3</v>
      </c>
      <c r="S25">
        <v>3.24</v>
      </c>
      <c r="T25">
        <v>3</v>
      </c>
    </row>
    <row r="26" spans="1:20" x14ac:dyDescent="0.3">
      <c r="A26">
        <v>25</v>
      </c>
      <c r="B26" t="s">
        <v>40</v>
      </c>
      <c r="C26">
        <v>140</v>
      </c>
      <c r="D26" t="s">
        <v>71</v>
      </c>
      <c r="E26" t="s">
        <v>74</v>
      </c>
      <c r="F26" t="s">
        <v>74</v>
      </c>
      <c r="G26">
        <v>0</v>
      </c>
      <c r="H26">
        <v>231.9</v>
      </c>
      <c r="I26">
        <v>101</v>
      </c>
      <c r="J26">
        <v>39.42</v>
      </c>
      <c r="K26">
        <v>160.1</v>
      </c>
      <c r="L26">
        <v>94</v>
      </c>
      <c r="M26">
        <v>13.61</v>
      </c>
      <c r="N26">
        <v>110.4</v>
      </c>
      <c r="O26">
        <v>98</v>
      </c>
      <c r="P26">
        <v>4.97</v>
      </c>
      <c r="Q26">
        <v>14.3</v>
      </c>
      <c r="R26">
        <v>6</v>
      </c>
      <c r="S26">
        <v>3.86</v>
      </c>
      <c r="T26">
        <v>3</v>
      </c>
    </row>
    <row r="27" spans="1:20" x14ac:dyDescent="0.3">
      <c r="A27">
        <v>26</v>
      </c>
      <c r="B27" t="s">
        <v>41</v>
      </c>
      <c r="C27">
        <v>127</v>
      </c>
      <c r="D27" t="s">
        <v>73</v>
      </c>
      <c r="E27" t="s">
        <v>74</v>
      </c>
      <c r="F27" t="s">
        <v>74</v>
      </c>
      <c r="G27">
        <v>0</v>
      </c>
      <c r="H27">
        <v>146.69999999999999</v>
      </c>
      <c r="I27">
        <v>91</v>
      </c>
      <c r="J27">
        <v>24.94</v>
      </c>
      <c r="K27">
        <v>203.5</v>
      </c>
      <c r="L27">
        <v>78</v>
      </c>
      <c r="M27">
        <v>17.3</v>
      </c>
      <c r="N27">
        <v>203.4</v>
      </c>
      <c r="O27">
        <v>110</v>
      </c>
      <c r="P27">
        <v>9.15</v>
      </c>
      <c r="Q27">
        <v>13.7</v>
      </c>
      <c r="R27">
        <v>3</v>
      </c>
      <c r="S27">
        <v>3.7</v>
      </c>
      <c r="T27">
        <v>1</v>
      </c>
    </row>
    <row r="28" spans="1:20" x14ac:dyDescent="0.3">
      <c r="A28">
        <v>27</v>
      </c>
      <c r="B28" t="s">
        <v>42</v>
      </c>
      <c r="C28">
        <v>83</v>
      </c>
      <c r="D28" t="s">
        <v>73</v>
      </c>
      <c r="E28" t="s">
        <v>75</v>
      </c>
      <c r="F28" t="s">
        <v>74</v>
      </c>
      <c r="G28">
        <v>0</v>
      </c>
      <c r="H28">
        <v>271.5</v>
      </c>
      <c r="I28">
        <v>87</v>
      </c>
      <c r="J28">
        <v>46.16</v>
      </c>
      <c r="K28">
        <v>216.3</v>
      </c>
      <c r="L28">
        <v>126</v>
      </c>
      <c r="M28">
        <v>18.39</v>
      </c>
      <c r="N28">
        <v>121.1</v>
      </c>
      <c r="O28">
        <v>105</v>
      </c>
      <c r="P28">
        <v>5.45</v>
      </c>
      <c r="Q28">
        <v>11.7</v>
      </c>
      <c r="R28">
        <v>4</v>
      </c>
      <c r="S28">
        <v>3.16</v>
      </c>
      <c r="T28">
        <v>1</v>
      </c>
    </row>
    <row r="29" spans="1:20" x14ac:dyDescent="0.3">
      <c r="A29">
        <v>28</v>
      </c>
      <c r="B29" t="s">
        <v>43</v>
      </c>
      <c r="C29">
        <v>87</v>
      </c>
      <c r="D29" t="s">
        <v>71</v>
      </c>
      <c r="E29" t="s">
        <v>74</v>
      </c>
      <c r="F29" t="s">
        <v>74</v>
      </c>
      <c r="G29">
        <v>0</v>
      </c>
      <c r="H29">
        <v>136.30000000000001</v>
      </c>
      <c r="I29">
        <v>97</v>
      </c>
      <c r="J29">
        <v>23.17</v>
      </c>
      <c r="K29">
        <v>172.2</v>
      </c>
      <c r="L29">
        <v>108</v>
      </c>
      <c r="M29">
        <v>14.64</v>
      </c>
      <c r="N29">
        <v>137.5</v>
      </c>
      <c r="O29">
        <v>101</v>
      </c>
      <c r="P29">
        <v>6.19</v>
      </c>
      <c r="Q29">
        <v>7.1</v>
      </c>
      <c r="R29">
        <v>5</v>
      </c>
      <c r="S29">
        <v>1.92</v>
      </c>
      <c r="T29">
        <v>0</v>
      </c>
    </row>
    <row r="30" spans="1:20" x14ac:dyDescent="0.3">
      <c r="A30">
        <v>29</v>
      </c>
      <c r="B30" t="s">
        <v>22</v>
      </c>
      <c r="C30">
        <v>141</v>
      </c>
      <c r="D30" t="s">
        <v>72</v>
      </c>
      <c r="E30" t="s">
        <v>74</v>
      </c>
      <c r="F30" t="s">
        <v>75</v>
      </c>
      <c r="G30">
        <v>36</v>
      </c>
      <c r="H30">
        <v>187.5</v>
      </c>
      <c r="I30">
        <v>99</v>
      </c>
      <c r="J30">
        <v>31.88</v>
      </c>
      <c r="K30">
        <v>241.4</v>
      </c>
      <c r="L30">
        <v>116</v>
      </c>
      <c r="M30">
        <v>20.52</v>
      </c>
      <c r="N30">
        <v>229.5</v>
      </c>
      <c r="O30">
        <v>105</v>
      </c>
      <c r="P30">
        <v>10.33</v>
      </c>
      <c r="Q30">
        <v>10.5</v>
      </c>
      <c r="R30">
        <v>5</v>
      </c>
      <c r="S30">
        <v>2.84</v>
      </c>
      <c r="T30">
        <v>3</v>
      </c>
    </row>
    <row r="31" spans="1:20" x14ac:dyDescent="0.3">
      <c r="A31">
        <v>30</v>
      </c>
      <c r="B31" t="s">
        <v>44</v>
      </c>
      <c r="C31">
        <v>146</v>
      </c>
      <c r="D31" t="s">
        <v>71</v>
      </c>
      <c r="E31" t="s">
        <v>74</v>
      </c>
      <c r="F31" t="s">
        <v>74</v>
      </c>
      <c r="G31">
        <v>0</v>
      </c>
      <c r="H31">
        <v>206.3</v>
      </c>
      <c r="I31">
        <v>151</v>
      </c>
      <c r="J31">
        <v>35.07</v>
      </c>
      <c r="K31">
        <v>148.6</v>
      </c>
      <c r="L31">
        <v>89</v>
      </c>
      <c r="M31">
        <v>12.63</v>
      </c>
      <c r="N31">
        <v>167.2</v>
      </c>
      <c r="O31">
        <v>91</v>
      </c>
      <c r="P31">
        <v>7.52</v>
      </c>
      <c r="Q31">
        <v>6.1</v>
      </c>
      <c r="R31">
        <v>3</v>
      </c>
      <c r="S31">
        <v>1.65</v>
      </c>
      <c r="T31">
        <v>1</v>
      </c>
    </row>
    <row r="32" spans="1:20" x14ac:dyDescent="0.3">
      <c r="A32">
        <v>31</v>
      </c>
      <c r="B32" t="s">
        <v>45</v>
      </c>
      <c r="C32">
        <v>92</v>
      </c>
      <c r="D32" t="s">
        <v>71</v>
      </c>
      <c r="E32" t="s">
        <v>74</v>
      </c>
      <c r="F32" t="s">
        <v>75</v>
      </c>
      <c r="G32">
        <v>33</v>
      </c>
      <c r="H32">
        <v>243.1</v>
      </c>
      <c r="I32">
        <v>92</v>
      </c>
      <c r="J32">
        <v>41.33</v>
      </c>
      <c r="K32">
        <v>213.8</v>
      </c>
      <c r="L32">
        <v>92</v>
      </c>
      <c r="M32">
        <v>18.170000000000002</v>
      </c>
      <c r="N32">
        <v>228.7</v>
      </c>
      <c r="O32">
        <v>104</v>
      </c>
      <c r="P32">
        <v>10.29</v>
      </c>
      <c r="Q32">
        <v>12.1</v>
      </c>
      <c r="R32">
        <v>2</v>
      </c>
      <c r="S32">
        <v>3.27</v>
      </c>
      <c r="T32">
        <v>2</v>
      </c>
    </row>
    <row r="33" spans="1:20" x14ac:dyDescent="0.3">
      <c r="A33">
        <v>32</v>
      </c>
      <c r="B33" t="s">
        <v>46</v>
      </c>
      <c r="C33">
        <v>64</v>
      </c>
      <c r="D33" t="s">
        <v>73</v>
      </c>
      <c r="E33" t="s">
        <v>74</v>
      </c>
      <c r="F33" t="s">
        <v>75</v>
      </c>
      <c r="G33">
        <v>27</v>
      </c>
      <c r="H33">
        <v>182.1</v>
      </c>
      <c r="I33">
        <v>91</v>
      </c>
      <c r="J33">
        <v>30.96</v>
      </c>
      <c r="K33">
        <v>169.7</v>
      </c>
      <c r="L33">
        <v>98</v>
      </c>
      <c r="M33">
        <v>14.42</v>
      </c>
      <c r="N33">
        <v>164.7</v>
      </c>
      <c r="O33">
        <v>86</v>
      </c>
      <c r="P33">
        <v>7.41</v>
      </c>
      <c r="Q33">
        <v>10.6</v>
      </c>
      <c r="R33">
        <v>5</v>
      </c>
      <c r="S33">
        <v>2.86</v>
      </c>
      <c r="T33">
        <v>2</v>
      </c>
    </row>
    <row r="34" spans="1:20" x14ac:dyDescent="0.3">
      <c r="A34">
        <v>33</v>
      </c>
      <c r="B34" t="s">
        <v>40</v>
      </c>
      <c r="C34">
        <v>127</v>
      </c>
      <c r="D34" t="s">
        <v>71</v>
      </c>
      <c r="E34" t="s">
        <v>74</v>
      </c>
      <c r="F34" t="s">
        <v>74</v>
      </c>
      <c r="G34">
        <v>0</v>
      </c>
      <c r="H34">
        <v>202.1</v>
      </c>
      <c r="I34">
        <v>103</v>
      </c>
      <c r="J34">
        <v>34.36</v>
      </c>
      <c r="K34">
        <v>229.4</v>
      </c>
      <c r="L34">
        <v>86</v>
      </c>
      <c r="M34">
        <v>19.5</v>
      </c>
      <c r="N34">
        <v>195.2</v>
      </c>
      <c r="O34">
        <v>113</v>
      </c>
      <c r="P34">
        <v>8.7799999999999994</v>
      </c>
      <c r="Q34">
        <v>11.5</v>
      </c>
      <c r="R34">
        <v>3</v>
      </c>
      <c r="S34">
        <v>3.11</v>
      </c>
      <c r="T34">
        <v>2</v>
      </c>
    </row>
    <row r="35" spans="1:20" x14ac:dyDescent="0.3">
      <c r="A35">
        <v>34</v>
      </c>
      <c r="B35" t="s">
        <v>30</v>
      </c>
      <c r="C35">
        <v>164</v>
      </c>
      <c r="D35" t="s">
        <v>72</v>
      </c>
      <c r="E35" t="s">
        <v>74</v>
      </c>
      <c r="F35" t="s">
        <v>74</v>
      </c>
      <c r="G35">
        <v>0</v>
      </c>
      <c r="H35">
        <v>160.6</v>
      </c>
      <c r="I35">
        <v>111</v>
      </c>
      <c r="J35">
        <v>27.3</v>
      </c>
      <c r="K35">
        <v>163.19999999999999</v>
      </c>
      <c r="L35">
        <v>126</v>
      </c>
      <c r="M35">
        <v>13.87</v>
      </c>
      <c r="N35">
        <v>187.1</v>
      </c>
      <c r="O35">
        <v>112</v>
      </c>
      <c r="P35">
        <v>8.42</v>
      </c>
      <c r="Q35">
        <v>9</v>
      </c>
      <c r="R35">
        <v>3</v>
      </c>
      <c r="S35">
        <v>2.4300000000000002</v>
      </c>
      <c r="T35">
        <v>1</v>
      </c>
    </row>
    <row r="36" spans="1:20" x14ac:dyDescent="0.3">
      <c r="A36">
        <v>35</v>
      </c>
      <c r="B36" t="s">
        <v>33</v>
      </c>
      <c r="C36">
        <v>107</v>
      </c>
      <c r="D36" t="s">
        <v>71</v>
      </c>
      <c r="E36" t="s">
        <v>74</v>
      </c>
      <c r="F36" t="s">
        <v>74</v>
      </c>
      <c r="G36">
        <v>0</v>
      </c>
      <c r="H36">
        <v>133.80000000000001</v>
      </c>
      <c r="I36">
        <v>85</v>
      </c>
      <c r="J36">
        <v>22.75</v>
      </c>
      <c r="K36">
        <v>180.5</v>
      </c>
      <c r="L36">
        <v>94</v>
      </c>
      <c r="M36">
        <v>15.34</v>
      </c>
      <c r="N36">
        <v>112.2</v>
      </c>
      <c r="O36">
        <v>115</v>
      </c>
      <c r="P36">
        <v>5.05</v>
      </c>
      <c r="Q36">
        <v>8.9</v>
      </c>
      <c r="R36">
        <v>4</v>
      </c>
      <c r="S36">
        <v>2.4</v>
      </c>
      <c r="T36">
        <v>0</v>
      </c>
    </row>
    <row r="37" spans="1:20" x14ac:dyDescent="0.3">
      <c r="A37">
        <v>36</v>
      </c>
      <c r="B37" t="s">
        <v>47</v>
      </c>
      <c r="C37">
        <v>82</v>
      </c>
      <c r="D37" t="s">
        <v>71</v>
      </c>
      <c r="E37" t="s">
        <v>74</v>
      </c>
      <c r="F37" t="s">
        <v>75</v>
      </c>
      <c r="G37">
        <v>24</v>
      </c>
      <c r="H37">
        <v>155.19999999999999</v>
      </c>
      <c r="I37">
        <v>131</v>
      </c>
      <c r="J37">
        <v>26.38</v>
      </c>
      <c r="K37">
        <v>244.5</v>
      </c>
      <c r="L37">
        <v>106</v>
      </c>
      <c r="M37">
        <v>20.78</v>
      </c>
      <c r="N37">
        <v>122.4</v>
      </c>
      <c r="O37">
        <v>68</v>
      </c>
      <c r="P37">
        <v>5.51</v>
      </c>
      <c r="Q37">
        <v>10.7</v>
      </c>
      <c r="R37">
        <v>3</v>
      </c>
      <c r="S37">
        <v>2.89</v>
      </c>
      <c r="T37">
        <v>1</v>
      </c>
    </row>
    <row r="38" spans="1:20" x14ac:dyDescent="0.3">
      <c r="A38">
        <v>37</v>
      </c>
      <c r="B38" t="s">
        <v>48</v>
      </c>
      <c r="C38">
        <v>86</v>
      </c>
      <c r="D38" t="s">
        <v>73</v>
      </c>
      <c r="E38" t="s">
        <v>74</v>
      </c>
      <c r="F38" t="s">
        <v>75</v>
      </c>
      <c r="G38">
        <v>31</v>
      </c>
      <c r="H38">
        <v>167.6</v>
      </c>
      <c r="I38">
        <v>139</v>
      </c>
      <c r="J38">
        <v>28.49</v>
      </c>
      <c r="K38">
        <v>113</v>
      </c>
      <c r="L38">
        <v>118</v>
      </c>
      <c r="M38">
        <v>9.61</v>
      </c>
      <c r="N38">
        <v>246.9</v>
      </c>
      <c r="O38">
        <v>121</v>
      </c>
      <c r="P38">
        <v>11.11</v>
      </c>
      <c r="Q38">
        <v>12.2</v>
      </c>
      <c r="R38">
        <v>6</v>
      </c>
      <c r="S38">
        <v>3.29</v>
      </c>
      <c r="T38">
        <v>1</v>
      </c>
    </row>
    <row r="39" spans="1:20" x14ac:dyDescent="0.3">
      <c r="A39">
        <v>38</v>
      </c>
      <c r="B39" t="s">
        <v>39</v>
      </c>
      <c r="C39">
        <v>70</v>
      </c>
      <c r="D39" t="s">
        <v>72</v>
      </c>
      <c r="E39" t="s">
        <v>75</v>
      </c>
      <c r="F39" t="s">
        <v>74</v>
      </c>
      <c r="G39">
        <v>0</v>
      </c>
      <c r="H39">
        <v>226.7</v>
      </c>
      <c r="I39">
        <v>98</v>
      </c>
      <c r="J39">
        <v>38.54</v>
      </c>
      <c r="K39">
        <v>228.1</v>
      </c>
      <c r="L39">
        <v>115</v>
      </c>
      <c r="M39">
        <v>19.39</v>
      </c>
      <c r="N39">
        <v>73.2</v>
      </c>
      <c r="O39">
        <v>93</v>
      </c>
      <c r="P39">
        <v>3.29</v>
      </c>
      <c r="Q39">
        <v>17.600000000000001</v>
      </c>
      <c r="R39">
        <v>4</v>
      </c>
      <c r="S39">
        <v>4.75</v>
      </c>
      <c r="T39">
        <v>2</v>
      </c>
    </row>
    <row r="40" spans="1:20" x14ac:dyDescent="0.3">
      <c r="A40">
        <v>39</v>
      </c>
      <c r="B40" t="s">
        <v>39</v>
      </c>
      <c r="C40">
        <v>93</v>
      </c>
      <c r="D40" t="s">
        <v>71</v>
      </c>
      <c r="E40" t="s">
        <v>74</v>
      </c>
      <c r="F40" t="s">
        <v>74</v>
      </c>
      <c r="G40">
        <v>0</v>
      </c>
      <c r="H40">
        <v>151.4</v>
      </c>
      <c r="I40">
        <v>89</v>
      </c>
      <c r="J40">
        <v>25.74</v>
      </c>
      <c r="K40">
        <v>186.4</v>
      </c>
      <c r="L40">
        <v>76</v>
      </c>
      <c r="M40">
        <v>15.84</v>
      </c>
      <c r="N40">
        <v>172.5</v>
      </c>
      <c r="O40">
        <v>120</v>
      </c>
      <c r="P40">
        <v>7.76</v>
      </c>
      <c r="Q40">
        <v>10.9</v>
      </c>
      <c r="R40">
        <v>3</v>
      </c>
      <c r="S40">
        <v>2.94</v>
      </c>
      <c r="T40">
        <v>0</v>
      </c>
    </row>
    <row r="41" spans="1:20" x14ac:dyDescent="0.3">
      <c r="A41">
        <v>40</v>
      </c>
      <c r="B41" t="s">
        <v>49</v>
      </c>
      <c r="C41">
        <v>136</v>
      </c>
      <c r="D41" t="s">
        <v>71</v>
      </c>
      <c r="E41" t="s">
        <v>74</v>
      </c>
      <c r="F41" t="s">
        <v>74</v>
      </c>
      <c r="G41">
        <v>0</v>
      </c>
      <c r="H41">
        <v>250.2</v>
      </c>
      <c r="I41">
        <v>121</v>
      </c>
      <c r="J41">
        <v>42.53</v>
      </c>
      <c r="K41">
        <v>267.10000000000002</v>
      </c>
      <c r="L41">
        <v>118</v>
      </c>
      <c r="M41">
        <v>22.7</v>
      </c>
      <c r="N41">
        <v>151</v>
      </c>
      <c r="O41">
        <v>114</v>
      </c>
      <c r="P41">
        <v>6.8</v>
      </c>
      <c r="Q41">
        <v>13</v>
      </c>
      <c r="R41">
        <v>2</v>
      </c>
      <c r="S41">
        <v>3.51</v>
      </c>
      <c r="T41">
        <v>1</v>
      </c>
    </row>
    <row r="42" spans="1:20" x14ac:dyDescent="0.3">
      <c r="A42">
        <v>41</v>
      </c>
      <c r="B42" t="s">
        <v>50</v>
      </c>
      <c r="C42">
        <v>104</v>
      </c>
      <c r="D42" t="s">
        <v>71</v>
      </c>
      <c r="E42" t="s">
        <v>74</v>
      </c>
      <c r="F42" t="s">
        <v>75</v>
      </c>
      <c r="G42">
        <v>23</v>
      </c>
      <c r="H42">
        <v>280.2</v>
      </c>
      <c r="I42">
        <v>136</v>
      </c>
      <c r="J42">
        <v>47.63</v>
      </c>
      <c r="K42">
        <v>220.5</v>
      </c>
      <c r="L42">
        <v>92</v>
      </c>
      <c r="M42">
        <v>18.739999999999998</v>
      </c>
      <c r="N42">
        <v>136.9</v>
      </c>
      <c r="O42">
        <v>102</v>
      </c>
      <c r="P42">
        <v>6.16</v>
      </c>
      <c r="Q42">
        <v>13.3</v>
      </c>
      <c r="R42">
        <v>3</v>
      </c>
      <c r="S42">
        <v>3.59</v>
      </c>
      <c r="T42">
        <v>4</v>
      </c>
    </row>
    <row r="43" spans="1:20" x14ac:dyDescent="0.3">
      <c r="A43">
        <v>42</v>
      </c>
      <c r="B43" t="s">
        <v>21</v>
      </c>
      <c r="C43">
        <v>73</v>
      </c>
      <c r="D43" t="s">
        <v>71</v>
      </c>
      <c r="E43" t="s">
        <v>74</v>
      </c>
      <c r="F43" t="s">
        <v>74</v>
      </c>
      <c r="G43">
        <v>0</v>
      </c>
      <c r="H43">
        <v>192.2</v>
      </c>
      <c r="I43">
        <v>86</v>
      </c>
      <c r="J43">
        <v>32.67</v>
      </c>
      <c r="K43">
        <v>168.6</v>
      </c>
      <c r="L43">
        <v>116</v>
      </c>
      <c r="M43">
        <v>14.33</v>
      </c>
      <c r="N43">
        <v>139.80000000000001</v>
      </c>
      <c r="O43">
        <v>87</v>
      </c>
      <c r="P43">
        <v>6.29</v>
      </c>
      <c r="Q43">
        <v>9.4</v>
      </c>
      <c r="R43">
        <v>6</v>
      </c>
      <c r="S43">
        <v>2.54</v>
      </c>
      <c r="T43">
        <v>1</v>
      </c>
    </row>
    <row r="44" spans="1:20" x14ac:dyDescent="0.3">
      <c r="A44">
        <v>43</v>
      </c>
      <c r="B44" t="s">
        <v>51</v>
      </c>
      <c r="C44">
        <v>36</v>
      </c>
      <c r="D44" t="s">
        <v>71</v>
      </c>
      <c r="E44" t="s">
        <v>74</v>
      </c>
      <c r="F44" t="s">
        <v>74</v>
      </c>
      <c r="G44">
        <v>0</v>
      </c>
      <c r="H44">
        <v>253.4</v>
      </c>
      <c r="I44">
        <v>77</v>
      </c>
      <c r="J44">
        <v>43.08</v>
      </c>
      <c r="K44">
        <v>182.4</v>
      </c>
      <c r="L44">
        <v>151</v>
      </c>
      <c r="M44">
        <v>15.5</v>
      </c>
      <c r="N44">
        <v>275.8</v>
      </c>
      <c r="O44">
        <v>103</v>
      </c>
      <c r="P44">
        <v>12.41</v>
      </c>
      <c r="Q44">
        <v>8.4</v>
      </c>
      <c r="R44">
        <v>2</v>
      </c>
      <c r="S44">
        <v>2.27</v>
      </c>
      <c r="T44">
        <v>1</v>
      </c>
    </row>
    <row r="45" spans="1:20" x14ac:dyDescent="0.3">
      <c r="A45">
        <v>44</v>
      </c>
      <c r="B45" t="s">
        <v>50</v>
      </c>
      <c r="C45">
        <v>108</v>
      </c>
      <c r="D45" t="s">
        <v>73</v>
      </c>
      <c r="E45" t="s">
        <v>74</v>
      </c>
      <c r="F45" t="s">
        <v>74</v>
      </c>
      <c r="G45">
        <v>0</v>
      </c>
      <c r="H45">
        <v>198.5</v>
      </c>
      <c r="I45">
        <v>99</v>
      </c>
      <c r="J45">
        <v>33.75</v>
      </c>
      <c r="K45">
        <v>267.8</v>
      </c>
      <c r="L45">
        <v>60</v>
      </c>
      <c r="M45">
        <v>22.76</v>
      </c>
      <c r="N45">
        <v>354.9</v>
      </c>
      <c r="O45">
        <v>75</v>
      </c>
      <c r="P45">
        <v>15.97</v>
      </c>
      <c r="Q45">
        <v>9.4</v>
      </c>
      <c r="R45">
        <v>3</v>
      </c>
      <c r="S45">
        <v>2.54</v>
      </c>
      <c r="T45">
        <v>0</v>
      </c>
    </row>
    <row r="46" spans="1:20" x14ac:dyDescent="0.3">
      <c r="A46">
        <v>45</v>
      </c>
      <c r="B46" t="s">
        <v>52</v>
      </c>
      <c r="C46">
        <v>119</v>
      </c>
      <c r="D46" t="s">
        <v>72</v>
      </c>
      <c r="E46" t="s">
        <v>74</v>
      </c>
      <c r="F46" t="s">
        <v>75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</row>
    <row r="47" spans="1:20" x14ac:dyDescent="0.3">
      <c r="A47">
        <v>46</v>
      </c>
      <c r="B47" t="s">
        <v>53</v>
      </c>
      <c r="C47">
        <v>82</v>
      </c>
      <c r="D47" t="s">
        <v>73</v>
      </c>
      <c r="E47" t="s">
        <v>74</v>
      </c>
      <c r="F47" t="s">
        <v>74</v>
      </c>
      <c r="G47">
        <v>0</v>
      </c>
      <c r="H47">
        <v>207</v>
      </c>
      <c r="I47">
        <v>90</v>
      </c>
      <c r="J47">
        <v>35.19</v>
      </c>
      <c r="K47">
        <v>232.9</v>
      </c>
      <c r="L47">
        <v>83</v>
      </c>
      <c r="M47">
        <v>19.8</v>
      </c>
      <c r="N47">
        <v>172.4</v>
      </c>
      <c r="O47">
        <v>108</v>
      </c>
      <c r="P47">
        <v>7.76</v>
      </c>
      <c r="Q47">
        <v>9.1</v>
      </c>
      <c r="R47">
        <v>8</v>
      </c>
      <c r="S47">
        <v>2.46</v>
      </c>
      <c r="T47">
        <v>3</v>
      </c>
    </row>
    <row r="48" spans="1:20" x14ac:dyDescent="0.3">
      <c r="A48">
        <v>47</v>
      </c>
      <c r="B48" t="s">
        <v>37</v>
      </c>
      <c r="C48">
        <v>64</v>
      </c>
      <c r="D48" t="s">
        <v>72</v>
      </c>
      <c r="E48" t="s">
        <v>74</v>
      </c>
      <c r="F48" t="s">
        <v>75</v>
      </c>
      <c r="G48">
        <v>48</v>
      </c>
      <c r="H48">
        <v>94.4</v>
      </c>
      <c r="I48">
        <v>104</v>
      </c>
      <c r="J48">
        <v>16.05</v>
      </c>
      <c r="K48">
        <v>136.19999999999999</v>
      </c>
      <c r="L48">
        <v>101</v>
      </c>
      <c r="M48">
        <v>11.58</v>
      </c>
      <c r="N48">
        <v>147.4</v>
      </c>
      <c r="O48">
        <v>89</v>
      </c>
      <c r="P48">
        <v>6.63</v>
      </c>
      <c r="Q48">
        <v>4.5</v>
      </c>
      <c r="R48">
        <v>4</v>
      </c>
      <c r="S48">
        <v>1.22</v>
      </c>
      <c r="T48">
        <v>0</v>
      </c>
    </row>
    <row r="49" spans="1:20" x14ac:dyDescent="0.3">
      <c r="A49">
        <v>48</v>
      </c>
      <c r="B49" t="s">
        <v>41</v>
      </c>
      <c r="C49">
        <v>83</v>
      </c>
      <c r="D49" t="s">
        <v>71</v>
      </c>
      <c r="E49" t="s">
        <v>74</v>
      </c>
      <c r="F49" t="s">
        <v>74</v>
      </c>
      <c r="G49">
        <v>0</v>
      </c>
      <c r="H49">
        <v>221.4</v>
      </c>
      <c r="I49">
        <v>103</v>
      </c>
      <c r="J49">
        <v>37.64</v>
      </c>
      <c r="K49">
        <v>231.8</v>
      </c>
      <c r="L49">
        <v>103</v>
      </c>
      <c r="M49">
        <v>19.7</v>
      </c>
      <c r="N49">
        <v>122.5</v>
      </c>
      <c r="O49">
        <v>100</v>
      </c>
      <c r="P49">
        <v>5.51</v>
      </c>
      <c r="Q49">
        <v>9.8000000000000007</v>
      </c>
      <c r="R49">
        <v>5</v>
      </c>
      <c r="S49">
        <v>2.65</v>
      </c>
      <c r="T49">
        <v>3</v>
      </c>
    </row>
    <row r="50" spans="1:20" x14ac:dyDescent="0.3">
      <c r="A50">
        <v>49</v>
      </c>
      <c r="B50" t="s">
        <v>40</v>
      </c>
      <c r="C50">
        <v>86</v>
      </c>
      <c r="D50" t="s">
        <v>71</v>
      </c>
      <c r="E50" t="s">
        <v>74</v>
      </c>
      <c r="F50" t="s">
        <v>75</v>
      </c>
      <c r="G50">
        <v>28</v>
      </c>
      <c r="H50">
        <v>221.6</v>
      </c>
      <c r="I50">
        <v>74</v>
      </c>
      <c r="J50">
        <v>37.67</v>
      </c>
      <c r="K50">
        <v>288.39999999999998</v>
      </c>
      <c r="L50">
        <v>100</v>
      </c>
      <c r="M50">
        <v>24.51</v>
      </c>
      <c r="N50">
        <v>240.3</v>
      </c>
      <c r="O50">
        <v>105</v>
      </c>
      <c r="P50">
        <v>10.81</v>
      </c>
      <c r="Q50">
        <v>9</v>
      </c>
      <c r="R50">
        <v>2</v>
      </c>
      <c r="S50">
        <v>2.4300000000000002</v>
      </c>
      <c r="T50">
        <v>1</v>
      </c>
    </row>
    <row r="51" spans="1:20" x14ac:dyDescent="0.3">
      <c r="A51">
        <v>50</v>
      </c>
      <c r="B51" t="s">
        <v>45</v>
      </c>
      <c r="C51">
        <v>71</v>
      </c>
      <c r="D51" t="s">
        <v>71</v>
      </c>
      <c r="E51" t="s">
        <v>74</v>
      </c>
      <c r="F51" t="s">
        <v>74</v>
      </c>
      <c r="G51">
        <v>0</v>
      </c>
      <c r="H51">
        <v>197.9</v>
      </c>
      <c r="I51">
        <v>108</v>
      </c>
      <c r="J51">
        <v>33.64</v>
      </c>
      <c r="K51">
        <v>181.5</v>
      </c>
      <c r="L51">
        <v>109</v>
      </c>
      <c r="M51">
        <v>15.43</v>
      </c>
      <c r="N51">
        <v>281.39999999999998</v>
      </c>
      <c r="O51">
        <v>56</v>
      </c>
      <c r="P51">
        <v>12.66</v>
      </c>
      <c r="Q51">
        <v>6.7</v>
      </c>
      <c r="R51">
        <v>5</v>
      </c>
      <c r="S51">
        <v>1.81</v>
      </c>
      <c r="T51">
        <v>3</v>
      </c>
    </row>
    <row r="52" spans="1:20" x14ac:dyDescent="0.3">
      <c r="A52">
        <v>51</v>
      </c>
      <c r="B52" t="s">
        <v>54</v>
      </c>
      <c r="C52">
        <v>96</v>
      </c>
      <c r="D52" t="s">
        <v>71</v>
      </c>
      <c r="E52" t="s">
        <v>74</v>
      </c>
      <c r="F52" t="s">
        <v>75</v>
      </c>
      <c r="G52">
        <v>37</v>
      </c>
      <c r="H52">
        <v>172.7</v>
      </c>
      <c r="I52">
        <v>93</v>
      </c>
      <c r="J52">
        <v>29.36</v>
      </c>
      <c r="K52">
        <v>120.1</v>
      </c>
      <c r="L52">
        <v>116</v>
      </c>
      <c r="M52">
        <v>10.210000000000001</v>
      </c>
      <c r="N52">
        <v>216.1</v>
      </c>
      <c r="O52">
        <v>86</v>
      </c>
      <c r="P52">
        <v>9.7200000000000006</v>
      </c>
      <c r="Q52">
        <v>10.3</v>
      </c>
      <c r="R52">
        <v>5</v>
      </c>
      <c r="S52">
        <v>2.78</v>
      </c>
      <c r="T52">
        <v>5</v>
      </c>
    </row>
    <row r="53" spans="1:20" x14ac:dyDescent="0.3">
      <c r="A53">
        <v>52</v>
      </c>
      <c r="B53" t="s">
        <v>32</v>
      </c>
      <c r="C53">
        <v>94</v>
      </c>
      <c r="D53" t="s">
        <v>71</v>
      </c>
      <c r="E53" t="s">
        <v>74</v>
      </c>
      <c r="F53" t="s">
        <v>74</v>
      </c>
      <c r="G53">
        <v>0</v>
      </c>
      <c r="H53">
        <v>181.5</v>
      </c>
      <c r="I53">
        <v>98</v>
      </c>
      <c r="J53">
        <v>30.86</v>
      </c>
      <c r="K53">
        <v>199.9</v>
      </c>
      <c r="L53">
        <v>88</v>
      </c>
      <c r="M53">
        <v>16.989999999999998</v>
      </c>
      <c r="N53">
        <v>287.7</v>
      </c>
      <c r="O53">
        <v>114</v>
      </c>
      <c r="P53">
        <v>12.95</v>
      </c>
      <c r="Q53">
        <v>6.6</v>
      </c>
      <c r="R53">
        <v>5</v>
      </c>
      <c r="S53">
        <v>1.78</v>
      </c>
      <c r="T53">
        <v>1</v>
      </c>
    </row>
    <row r="54" spans="1:20" x14ac:dyDescent="0.3">
      <c r="A54">
        <v>53</v>
      </c>
      <c r="B54" t="s">
        <v>55</v>
      </c>
      <c r="C54">
        <v>121</v>
      </c>
      <c r="D54" t="s">
        <v>73</v>
      </c>
      <c r="E54" t="s">
        <v>74</v>
      </c>
      <c r="F54" t="s">
        <v>74</v>
      </c>
      <c r="G54">
        <v>0</v>
      </c>
      <c r="H54">
        <v>170.4</v>
      </c>
      <c r="I54">
        <v>108</v>
      </c>
      <c r="J54">
        <v>28.97</v>
      </c>
      <c r="K54">
        <v>350.5</v>
      </c>
      <c r="L54">
        <v>68</v>
      </c>
      <c r="M54">
        <v>29.79</v>
      </c>
      <c r="N54">
        <v>297</v>
      </c>
      <c r="O54">
        <v>87</v>
      </c>
      <c r="P54">
        <v>13.37</v>
      </c>
      <c r="Q54">
        <v>11.2</v>
      </c>
      <c r="R54">
        <v>3</v>
      </c>
      <c r="S54">
        <v>3.02</v>
      </c>
      <c r="T54">
        <v>0</v>
      </c>
    </row>
    <row r="55" spans="1:20" x14ac:dyDescent="0.3">
      <c r="A55">
        <v>54</v>
      </c>
      <c r="B55" t="s">
        <v>29</v>
      </c>
      <c r="C55">
        <v>173</v>
      </c>
      <c r="D55" t="s">
        <v>72</v>
      </c>
      <c r="E55" t="s">
        <v>74</v>
      </c>
      <c r="F55" t="s">
        <v>75</v>
      </c>
      <c r="G55">
        <v>21</v>
      </c>
      <c r="H55">
        <v>232.4</v>
      </c>
      <c r="I55">
        <v>96</v>
      </c>
      <c r="J55">
        <v>39.51</v>
      </c>
      <c r="K55">
        <v>211.9</v>
      </c>
      <c r="L55">
        <v>118</v>
      </c>
      <c r="M55">
        <v>18.010000000000002</v>
      </c>
      <c r="N55">
        <v>273</v>
      </c>
      <c r="O55">
        <v>102</v>
      </c>
      <c r="P55">
        <v>12.29</v>
      </c>
      <c r="Q55">
        <v>5</v>
      </c>
      <c r="R55">
        <v>5</v>
      </c>
      <c r="S55">
        <v>1.35</v>
      </c>
      <c r="T55">
        <v>3</v>
      </c>
    </row>
    <row r="56" spans="1:20" x14ac:dyDescent="0.3">
      <c r="A56">
        <v>55</v>
      </c>
      <c r="B56" t="s">
        <v>56</v>
      </c>
      <c r="C56">
        <v>128</v>
      </c>
      <c r="D56" t="s">
        <v>72</v>
      </c>
      <c r="E56" t="s">
        <v>75</v>
      </c>
      <c r="F56" t="s">
        <v>75</v>
      </c>
      <c r="G56">
        <v>32</v>
      </c>
      <c r="H56">
        <v>223.5</v>
      </c>
      <c r="I56">
        <v>81</v>
      </c>
      <c r="J56">
        <v>38</v>
      </c>
      <c r="K56">
        <v>188.8</v>
      </c>
      <c r="L56">
        <v>74</v>
      </c>
      <c r="M56">
        <v>16.05</v>
      </c>
      <c r="N56">
        <v>154.9</v>
      </c>
      <c r="O56">
        <v>101</v>
      </c>
      <c r="P56">
        <v>6.97</v>
      </c>
      <c r="Q56">
        <v>9.4</v>
      </c>
      <c r="R56">
        <v>2</v>
      </c>
      <c r="S56">
        <v>2.54</v>
      </c>
      <c r="T56">
        <v>2</v>
      </c>
    </row>
    <row r="57" spans="1:20" x14ac:dyDescent="0.3">
      <c r="A57">
        <v>56</v>
      </c>
      <c r="B57" t="s">
        <v>57</v>
      </c>
      <c r="C57">
        <v>66</v>
      </c>
      <c r="D57" t="s">
        <v>72</v>
      </c>
      <c r="E57" t="s">
        <v>74</v>
      </c>
      <c r="F57" t="s">
        <v>74</v>
      </c>
      <c r="G57">
        <v>0</v>
      </c>
      <c r="H57">
        <v>201.3</v>
      </c>
      <c r="I57">
        <v>95</v>
      </c>
      <c r="J57">
        <v>34.22</v>
      </c>
      <c r="K57">
        <v>152.80000000000001</v>
      </c>
      <c r="L57">
        <v>66</v>
      </c>
      <c r="M57">
        <v>12.99</v>
      </c>
      <c r="N57">
        <v>233.2</v>
      </c>
      <c r="O57">
        <v>101</v>
      </c>
      <c r="P57">
        <v>10.49</v>
      </c>
      <c r="Q57">
        <v>7.5</v>
      </c>
      <c r="R57">
        <v>4</v>
      </c>
      <c r="S57">
        <v>2.0299999999999998</v>
      </c>
      <c r="T57">
        <v>1</v>
      </c>
    </row>
    <row r="58" spans="1:20" x14ac:dyDescent="0.3">
      <c r="A58">
        <v>57</v>
      </c>
      <c r="B58" t="s">
        <v>58</v>
      </c>
      <c r="C58">
        <v>77</v>
      </c>
      <c r="D58" t="s">
        <v>72</v>
      </c>
      <c r="E58" t="s">
        <v>74</v>
      </c>
      <c r="F58" t="s">
        <v>74</v>
      </c>
      <c r="G58">
        <v>0</v>
      </c>
      <c r="H58">
        <v>233.8</v>
      </c>
      <c r="I58">
        <v>104</v>
      </c>
      <c r="J58">
        <v>39.75</v>
      </c>
      <c r="K58">
        <v>266.5</v>
      </c>
      <c r="L58">
        <v>94</v>
      </c>
      <c r="M58">
        <v>22.65</v>
      </c>
      <c r="N58">
        <v>212.7</v>
      </c>
      <c r="O58">
        <v>104</v>
      </c>
      <c r="P58">
        <v>9.57</v>
      </c>
      <c r="Q58">
        <v>7.6</v>
      </c>
      <c r="R58">
        <v>3</v>
      </c>
      <c r="S58">
        <v>2.0499999999999998</v>
      </c>
      <c r="T58">
        <v>2</v>
      </c>
    </row>
    <row r="59" spans="1:20" x14ac:dyDescent="0.3">
      <c r="A59">
        <v>58</v>
      </c>
      <c r="B59" t="s">
        <v>32</v>
      </c>
      <c r="C59">
        <v>101</v>
      </c>
      <c r="D59" t="s">
        <v>71</v>
      </c>
      <c r="E59" t="s">
        <v>74</v>
      </c>
      <c r="F59" t="s">
        <v>74</v>
      </c>
      <c r="G59">
        <v>0</v>
      </c>
      <c r="H59">
        <v>183.9</v>
      </c>
      <c r="I59">
        <v>115</v>
      </c>
      <c r="J59">
        <v>31.26</v>
      </c>
      <c r="K59">
        <v>255.9</v>
      </c>
      <c r="L59">
        <v>101</v>
      </c>
      <c r="M59">
        <v>21.75</v>
      </c>
      <c r="N59">
        <v>275</v>
      </c>
      <c r="O59">
        <v>145</v>
      </c>
      <c r="P59">
        <v>12.38</v>
      </c>
      <c r="Q59">
        <v>10.8</v>
      </c>
      <c r="R59">
        <v>11</v>
      </c>
      <c r="S59">
        <v>2.92</v>
      </c>
      <c r="T59">
        <v>1</v>
      </c>
    </row>
    <row r="60" spans="1:20" x14ac:dyDescent="0.3">
      <c r="A60">
        <v>59</v>
      </c>
      <c r="B60" t="s">
        <v>39</v>
      </c>
      <c r="C60">
        <v>100</v>
      </c>
      <c r="D60" t="s">
        <v>72</v>
      </c>
      <c r="E60" t="s">
        <v>74</v>
      </c>
      <c r="F60" t="s">
        <v>74</v>
      </c>
      <c r="G60">
        <v>0</v>
      </c>
      <c r="H60">
        <v>107</v>
      </c>
      <c r="I60">
        <v>63</v>
      </c>
      <c r="J60">
        <v>18.190000000000001</v>
      </c>
      <c r="K60">
        <v>105.7</v>
      </c>
      <c r="L60">
        <v>67</v>
      </c>
      <c r="M60">
        <v>8.98</v>
      </c>
      <c r="N60">
        <v>243.1</v>
      </c>
      <c r="O60">
        <v>74</v>
      </c>
      <c r="P60">
        <v>10.94</v>
      </c>
      <c r="Q60">
        <v>12.8</v>
      </c>
      <c r="R60">
        <v>3</v>
      </c>
      <c r="S60">
        <v>3.46</v>
      </c>
      <c r="T60">
        <v>4</v>
      </c>
    </row>
    <row r="61" spans="1:20" x14ac:dyDescent="0.3">
      <c r="A61">
        <v>60</v>
      </c>
      <c r="B61" t="s">
        <v>59</v>
      </c>
      <c r="C61">
        <v>31</v>
      </c>
      <c r="D61" t="s">
        <v>71</v>
      </c>
      <c r="E61" t="s">
        <v>74</v>
      </c>
      <c r="F61" t="s">
        <v>74</v>
      </c>
      <c r="G61">
        <v>0</v>
      </c>
      <c r="H61">
        <v>166.1</v>
      </c>
      <c r="I61">
        <v>105</v>
      </c>
      <c r="J61">
        <v>28.24</v>
      </c>
      <c r="K61">
        <v>79.3</v>
      </c>
      <c r="L61">
        <v>93</v>
      </c>
      <c r="M61">
        <v>6.74</v>
      </c>
      <c r="N61">
        <v>213.7</v>
      </c>
      <c r="O61">
        <v>98</v>
      </c>
      <c r="P61">
        <v>9.6199999999999992</v>
      </c>
      <c r="Q61">
        <v>12.7</v>
      </c>
      <c r="R61">
        <v>2</v>
      </c>
      <c r="S61">
        <v>3.43</v>
      </c>
      <c r="T61">
        <v>1</v>
      </c>
    </row>
    <row r="62" spans="1:20" x14ac:dyDescent="0.3">
      <c r="A62">
        <v>61</v>
      </c>
      <c r="B62" t="s">
        <v>60</v>
      </c>
      <c r="C62">
        <v>124</v>
      </c>
      <c r="D62" t="s">
        <v>73</v>
      </c>
      <c r="E62" t="s">
        <v>75</v>
      </c>
      <c r="F62" t="s">
        <v>74</v>
      </c>
      <c r="G62">
        <v>0</v>
      </c>
      <c r="H62">
        <v>244.6</v>
      </c>
      <c r="I62">
        <v>89</v>
      </c>
      <c r="J62">
        <v>41.58</v>
      </c>
      <c r="K62">
        <v>188.8</v>
      </c>
      <c r="L62">
        <v>80</v>
      </c>
      <c r="M62">
        <v>16.05</v>
      </c>
      <c r="N62">
        <v>206</v>
      </c>
      <c r="O62">
        <v>114</v>
      </c>
      <c r="P62">
        <v>9.27</v>
      </c>
      <c r="Q62">
        <v>11.3</v>
      </c>
      <c r="R62">
        <v>4</v>
      </c>
      <c r="S62">
        <v>3.05</v>
      </c>
      <c r="T62">
        <v>1</v>
      </c>
    </row>
    <row r="63" spans="1:20" x14ac:dyDescent="0.3">
      <c r="A63">
        <v>62</v>
      </c>
      <c r="B63" t="s">
        <v>24</v>
      </c>
      <c r="C63">
        <v>37</v>
      </c>
      <c r="D63" t="s">
        <v>73</v>
      </c>
      <c r="E63" t="s">
        <v>75</v>
      </c>
      <c r="F63" t="s">
        <v>75</v>
      </c>
      <c r="G63">
        <v>39</v>
      </c>
      <c r="H63">
        <v>149.69999999999999</v>
      </c>
      <c r="I63">
        <v>122</v>
      </c>
      <c r="J63">
        <v>25.45</v>
      </c>
      <c r="K63">
        <v>211.1</v>
      </c>
      <c r="L63">
        <v>75</v>
      </c>
      <c r="M63">
        <v>17.940000000000001</v>
      </c>
      <c r="N63">
        <v>114.3</v>
      </c>
      <c r="O63">
        <v>90</v>
      </c>
      <c r="P63">
        <v>5.14</v>
      </c>
      <c r="Q63">
        <v>9.1999999999999993</v>
      </c>
      <c r="R63">
        <v>4</v>
      </c>
      <c r="S63">
        <v>2.48</v>
      </c>
      <c r="T63">
        <v>1</v>
      </c>
    </row>
    <row r="64" spans="1:20" x14ac:dyDescent="0.3">
      <c r="A64">
        <v>63</v>
      </c>
      <c r="B64" t="s">
        <v>33</v>
      </c>
      <c r="C64">
        <v>154</v>
      </c>
      <c r="D64" t="s">
        <v>71</v>
      </c>
      <c r="E64" t="s">
        <v>74</v>
      </c>
      <c r="F64" t="s">
        <v>74</v>
      </c>
      <c r="G64">
        <v>0</v>
      </c>
      <c r="H64">
        <v>350.8</v>
      </c>
      <c r="I64">
        <v>75</v>
      </c>
      <c r="J64">
        <v>59.64</v>
      </c>
      <c r="K64">
        <v>216.5</v>
      </c>
      <c r="L64">
        <v>94</v>
      </c>
      <c r="M64">
        <v>18.399999999999999</v>
      </c>
      <c r="N64">
        <v>253.9</v>
      </c>
      <c r="O64">
        <v>100</v>
      </c>
      <c r="P64">
        <v>11.43</v>
      </c>
      <c r="Q64">
        <v>10.1</v>
      </c>
      <c r="R64">
        <v>9</v>
      </c>
      <c r="S64">
        <v>2.73</v>
      </c>
      <c r="T64">
        <v>1</v>
      </c>
    </row>
    <row r="65" spans="1:20" x14ac:dyDescent="0.3">
      <c r="A65">
        <v>64</v>
      </c>
      <c r="B65" t="s">
        <v>36</v>
      </c>
      <c r="C65">
        <v>128</v>
      </c>
      <c r="D65" t="s">
        <v>71</v>
      </c>
      <c r="E65" t="s">
        <v>74</v>
      </c>
      <c r="F65" t="s">
        <v>74</v>
      </c>
      <c r="G65">
        <v>0</v>
      </c>
      <c r="H65">
        <v>195.6</v>
      </c>
      <c r="I65">
        <v>99</v>
      </c>
      <c r="J65">
        <v>33.25</v>
      </c>
      <c r="K65">
        <v>267.8</v>
      </c>
      <c r="L65">
        <v>120</v>
      </c>
      <c r="M65">
        <v>22.76</v>
      </c>
      <c r="N65">
        <v>164.9</v>
      </c>
      <c r="O65">
        <v>76</v>
      </c>
      <c r="P65">
        <v>7.42</v>
      </c>
      <c r="Q65">
        <v>16</v>
      </c>
      <c r="R65">
        <v>2</v>
      </c>
      <c r="S65">
        <v>4.32</v>
      </c>
      <c r="T65">
        <v>0</v>
      </c>
    </row>
    <row r="66" spans="1:20" x14ac:dyDescent="0.3">
      <c r="A66">
        <v>65</v>
      </c>
      <c r="B66" t="s">
        <v>48</v>
      </c>
      <c r="C66">
        <v>90</v>
      </c>
      <c r="D66" t="s">
        <v>71</v>
      </c>
      <c r="E66" t="s">
        <v>74</v>
      </c>
      <c r="F66" t="s">
        <v>74</v>
      </c>
      <c r="G66">
        <v>0</v>
      </c>
      <c r="H66">
        <v>179.2</v>
      </c>
      <c r="I66">
        <v>77</v>
      </c>
      <c r="J66">
        <v>30.46</v>
      </c>
      <c r="K66">
        <v>210.7</v>
      </c>
      <c r="L66">
        <v>99</v>
      </c>
      <c r="M66">
        <v>17.91</v>
      </c>
      <c r="N66">
        <v>276.89999999999998</v>
      </c>
      <c r="O66">
        <v>58</v>
      </c>
      <c r="P66">
        <v>12.46</v>
      </c>
      <c r="Q66">
        <v>9.1999999999999993</v>
      </c>
      <c r="R66">
        <v>6</v>
      </c>
      <c r="S66">
        <v>2.48</v>
      </c>
      <c r="T66">
        <v>2</v>
      </c>
    </row>
    <row r="67" spans="1:20" x14ac:dyDescent="0.3">
      <c r="A67">
        <v>66</v>
      </c>
      <c r="B67" t="s">
        <v>54</v>
      </c>
      <c r="C67">
        <v>99</v>
      </c>
      <c r="D67" t="s">
        <v>71</v>
      </c>
      <c r="E67" t="s">
        <v>74</v>
      </c>
      <c r="F67" t="s">
        <v>74</v>
      </c>
      <c r="G67">
        <v>0</v>
      </c>
      <c r="H67">
        <v>146.69999999999999</v>
      </c>
      <c r="I67">
        <v>64</v>
      </c>
      <c r="J67">
        <v>24.94</v>
      </c>
      <c r="K67">
        <v>274</v>
      </c>
      <c r="L67">
        <v>99</v>
      </c>
      <c r="M67">
        <v>23.29</v>
      </c>
      <c r="N67">
        <v>321.3</v>
      </c>
      <c r="O67">
        <v>98</v>
      </c>
      <c r="P67">
        <v>14.46</v>
      </c>
      <c r="Q67">
        <v>8.9</v>
      </c>
      <c r="R67">
        <v>1</v>
      </c>
      <c r="S67">
        <v>2.4</v>
      </c>
      <c r="T67">
        <v>3</v>
      </c>
    </row>
    <row r="68" spans="1:20" x14ac:dyDescent="0.3">
      <c r="A68">
        <v>67</v>
      </c>
      <c r="B68" t="s">
        <v>53</v>
      </c>
      <c r="C68">
        <v>150</v>
      </c>
      <c r="D68" t="s">
        <v>72</v>
      </c>
      <c r="E68" t="s">
        <v>74</v>
      </c>
      <c r="F68" t="s">
        <v>74</v>
      </c>
      <c r="G68">
        <v>0</v>
      </c>
      <c r="H68">
        <v>126</v>
      </c>
      <c r="I68">
        <v>99</v>
      </c>
      <c r="J68">
        <v>21.42</v>
      </c>
      <c r="K68">
        <v>238.5</v>
      </c>
      <c r="L68">
        <v>73</v>
      </c>
      <c r="M68">
        <v>20.27</v>
      </c>
      <c r="N68">
        <v>285.10000000000002</v>
      </c>
      <c r="O68">
        <v>100</v>
      </c>
      <c r="P68">
        <v>12.83</v>
      </c>
      <c r="Q68">
        <v>10.199999999999999</v>
      </c>
      <c r="R68">
        <v>6</v>
      </c>
      <c r="S68">
        <v>2.75</v>
      </c>
      <c r="T68">
        <v>3</v>
      </c>
    </row>
    <row r="69" spans="1:20" x14ac:dyDescent="0.3">
      <c r="A69">
        <v>68</v>
      </c>
      <c r="B69" t="s">
        <v>34</v>
      </c>
      <c r="C69">
        <v>84</v>
      </c>
      <c r="D69" t="s">
        <v>73</v>
      </c>
      <c r="E69" t="s">
        <v>74</v>
      </c>
      <c r="F69" t="s">
        <v>74</v>
      </c>
      <c r="G69">
        <v>0</v>
      </c>
      <c r="H69">
        <v>138.6</v>
      </c>
      <c r="I69">
        <v>102</v>
      </c>
      <c r="J69">
        <v>23.56</v>
      </c>
      <c r="K69">
        <v>199</v>
      </c>
      <c r="L69">
        <v>93</v>
      </c>
      <c r="M69">
        <v>16.920000000000002</v>
      </c>
      <c r="N69">
        <v>204.1</v>
      </c>
      <c r="O69">
        <v>137</v>
      </c>
      <c r="P69">
        <v>9.18</v>
      </c>
      <c r="Q69">
        <v>7.8</v>
      </c>
      <c r="R69">
        <v>4</v>
      </c>
      <c r="S69">
        <v>2.11</v>
      </c>
      <c r="T69">
        <v>0</v>
      </c>
    </row>
    <row r="70" spans="1:20" x14ac:dyDescent="0.3">
      <c r="A70">
        <v>69</v>
      </c>
      <c r="B70" t="s">
        <v>58</v>
      </c>
      <c r="C70">
        <v>94</v>
      </c>
      <c r="D70" t="s">
        <v>71</v>
      </c>
      <c r="E70" t="s">
        <v>74</v>
      </c>
      <c r="F70" t="s">
        <v>74</v>
      </c>
      <c r="G70">
        <v>0</v>
      </c>
      <c r="H70">
        <v>234.4</v>
      </c>
      <c r="I70">
        <v>103</v>
      </c>
      <c r="J70">
        <v>39.85</v>
      </c>
      <c r="K70">
        <v>279.3</v>
      </c>
      <c r="L70">
        <v>109</v>
      </c>
      <c r="M70">
        <v>23.74</v>
      </c>
      <c r="N70">
        <v>234.2</v>
      </c>
      <c r="O70">
        <v>121</v>
      </c>
      <c r="P70">
        <v>10.54</v>
      </c>
      <c r="Q70">
        <v>2</v>
      </c>
      <c r="R70">
        <v>2</v>
      </c>
      <c r="S70">
        <v>0.54</v>
      </c>
      <c r="T70">
        <v>1</v>
      </c>
    </row>
    <row r="71" spans="1:20" x14ac:dyDescent="0.3">
      <c r="A71">
        <v>70</v>
      </c>
      <c r="B71" t="s">
        <v>27</v>
      </c>
      <c r="C71">
        <v>98</v>
      </c>
      <c r="D71" t="s">
        <v>71</v>
      </c>
      <c r="E71" t="s">
        <v>74</v>
      </c>
      <c r="F71" t="s">
        <v>75</v>
      </c>
      <c r="G71">
        <v>31</v>
      </c>
      <c r="H71">
        <v>121</v>
      </c>
      <c r="I71">
        <v>105</v>
      </c>
      <c r="J71">
        <v>20.57</v>
      </c>
      <c r="K71">
        <v>218.9</v>
      </c>
      <c r="L71">
        <v>98</v>
      </c>
      <c r="M71">
        <v>18.61</v>
      </c>
      <c r="N71">
        <v>226.7</v>
      </c>
      <c r="O71">
        <v>110</v>
      </c>
      <c r="P71">
        <v>10.199999999999999</v>
      </c>
      <c r="Q71">
        <v>12</v>
      </c>
      <c r="R71">
        <v>1</v>
      </c>
      <c r="S71">
        <v>3.24</v>
      </c>
      <c r="T71">
        <v>1</v>
      </c>
    </row>
    <row r="72" spans="1:20" x14ac:dyDescent="0.3">
      <c r="A72">
        <v>71</v>
      </c>
      <c r="B72" t="s">
        <v>61</v>
      </c>
      <c r="C72">
        <v>73</v>
      </c>
      <c r="D72" t="s">
        <v>71</v>
      </c>
      <c r="E72" t="s">
        <v>74</v>
      </c>
      <c r="F72" t="s">
        <v>74</v>
      </c>
      <c r="G72">
        <v>0</v>
      </c>
      <c r="H72">
        <v>183.4</v>
      </c>
      <c r="I72">
        <v>80</v>
      </c>
      <c r="J72">
        <v>31.18</v>
      </c>
      <c r="K72">
        <v>242</v>
      </c>
      <c r="L72">
        <v>115</v>
      </c>
      <c r="M72">
        <v>20.57</v>
      </c>
      <c r="N72">
        <v>201.4</v>
      </c>
      <c r="O72">
        <v>100</v>
      </c>
      <c r="P72">
        <v>9.06</v>
      </c>
      <c r="Q72">
        <v>7.5</v>
      </c>
      <c r="R72">
        <v>3</v>
      </c>
      <c r="S72">
        <v>2.0299999999999998</v>
      </c>
      <c r="T72">
        <v>4</v>
      </c>
    </row>
    <row r="73" spans="1:20" x14ac:dyDescent="0.3">
      <c r="A73">
        <v>72</v>
      </c>
      <c r="B73" t="s">
        <v>53</v>
      </c>
      <c r="C73">
        <v>126</v>
      </c>
      <c r="D73" t="s">
        <v>71</v>
      </c>
      <c r="E73" t="s">
        <v>74</v>
      </c>
      <c r="F73" t="s">
        <v>74</v>
      </c>
      <c r="G73">
        <v>0</v>
      </c>
      <c r="H73">
        <v>256.5</v>
      </c>
      <c r="I73">
        <v>112</v>
      </c>
      <c r="J73">
        <v>43.61</v>
      </c>
      <c r="K73">
        <v>199.5</v>
      </c>
      <c r="L73">
        <v>90</v>
      </c>
      <c r="M73">
        <v>16.96</v>
      </c>
      <c r="N73">
        <v>188.3</v>
      </c>
      <c r="O73">
        <v>122</v>
      </c>
      <c r="P73">
        <v>8.4700000000000006</v>
      </c>
      <c r="Q73">
        <v>7</v>
      </c>
      <c r="R73">
        <v>5</v>
      </c>
      <c r="S73">
        <v>1.89</v>
      </c>
      <c r="T73">
        <v>3</v>
      </c>
    </row>
    <row r="74" spans="1:20" x14ac:dyDescent="0.3">
      <c r="A74">
        <v>73</v>
      </c>
      <c r="B74" t="s">
        <v>45</v>
      </c>
      <c r="C74">
        <v>113</v>
      </c>
      <c r="D74" t="s">
        <v>71</v>
      </c>
      <c r="E74" t="s">
        <v>74</v>
      </c>
      <c r="F74" t="s">
        <v>74</v>
      </c>
      <c r="G74">
        <v>0</v>
      </c>
      <c r="H74">
        <v>239.7</v>
      </c>
      <c r="I74">
        <v>47</v>
      </c>
      <c r="J74">
        <v>40.75</v>
      </c>
      <c r="K74">
        <v>282.89999999999998</v>
      </c>
      <c r="L74">
        <v>110</v>
      </c>
      <c r="M74">
        <v>24.05</v>
      </c>
      <c r="N74">
        <v>238.4</v>
      </c>
      <c r="O74">
        <v>88</v>
      </c>
      <c r="P74">
        <v>10.73</v>
      </c>
      <c r="Q74">
        <v>8.6999999999999993</v>
      </c>
      <c r="R74">
        <v>3</v>
      </c>
      <c r="S74">
        <v>2.35</v>
      </c>
      <c r="T74">
        <v>2</v>
      </c>
    </row>
    <row r="75" spans="1:20" x14ac:dyDescent="0.3">
      <c r="A75">
        <v>74</v>
      </c>
      <c r="B75" t="s">
        <v>52</v>
      </c>
      <c r="C75">
        <v>155</v>
      </c>
      <c r="D75" t="s">
        <v>71</v>
      </c>
      <c r="E75" t="s">
        <v>74</v>
      </c>
      <c r="F75" t="s">
        <v>74</v>
      </c>
      <c r="G75">
        <v>0</v>
      </c>
      <c r="H75">
        <v>190.3</v>
      </c>
      <c r="I75">
        <v>123</v>
      </c>
      <c r="J75">
        <v>32.35</v>
      </c>
      <c r="K75">
        <v>301.3</v>
      </c>
      <c r="L75">
        <v>96</v>
      </c>
      <c r="M75">
        <v>25.61</v>
      </c>
      <c r="N75">
        <v>214.6</v>
      </c>
      <c r="O75">
        <v>134</v>
      </c>
      <c r="P75">
        <v>9.66</v>
      </c>
      <c r="Q75">
        <v>8</v>
      </c>
      <c r="R75">
        <v>3</v>
      </c>
      <c r="S75">
        <v>2.16</v>
      </c>
      <c r="T75">
        <v>1</v>
      </c>
    </row>
    <row r="76" spans="1:20" x14ac:dyDescent="0.3">
      <c r="A76">
        <v>75</v>
      </c>
      <c r="B76" t="s">
        <v>62</v>
      </c>
      <c r="C76">
        <v>59</v>
      </c>
      <c r="D76" t="s">
        <v>72</v>
      </c>
      <c r="E76" t="s">
        <v>74</v>
      </c>
      <c r="F76" t="s">
        <v>75</v>
      </c>
      <c r="G76">
        <v>29</v>
      </c>
      <c r="H76">
        <v>133.1</v>
      </c>
      <c r="I76">
        <v>114</v>
      </c>
      <c r="J76">
        <v>22.63</v>
      </c>
      <c r="K76">
        <v>221.2</v>
      </c>
      <c r="L76">
        <v>82</v>
      </c>
      <c r="M76">
        <v>18.8</v>
      </c>
      <c r="N76">
        <v>131.6</v>
      </c>
      <c r="O76">
        <v>103</v>
      </c>
      <c r="P76">
        <v>5.92</v>
      </c>
      <c r="Q76">
        <v>6.8</v>
      </c>
      <c r="R76">
        <v>3</v>
      </c>
      <c r="S76">
        <v>1.84</v>
      </c>
      <c r="T76">
        <v>1</v>
      </c>
    </row>
    <row r="77" spans="1:20" x14ac:dyDescent="0.3">
      <c r="A77">
        <v>76</v>
      </c>
      <c r="B77" t="s">
        <v>34</v>
      </c>
      <c r="C77">
        <v>70</v>
      </c>
      <c r="D77" t="s">
        <v>72</v>
      </c>
      <c r="E77" t="s">
        <v>74</v>
      </c>
      <c r="F77" t="s">
        <v>74</v>
      </c>
      <c r="G77">
        <v>0</v>
      </c>
      <c r="H77">
        <v>59.5</v>
      </c>
      <c r="I77">
        <v>103</v>
      </c>
      <c r="J77">
        <v>10.119999999999999</v>
      </c>
      <c r="K77">
        <v>257.2</v>
      </c>
      <c r="L77">
        <v>106</v>
      </c>
      <c r="M77">
        <v>21.86</v>
      </c>
      <c r="N77">
        <v>208.3</v>
      </c>
      <c r="O77">
        <v>86</v>
      </c>
      <c r="P77">
        <v>9.3699999999999992</v>
      </c>
      <c r="Q77">
        <v>11.1</v>
      </c>
      <c r="R77">
        <v>6</v>
      </c>
      <c r="S77">
        <v>3</v>
      </c>
      <c r="T77">
        <v>0</v>
      </c>
    </row>
    <row r="78" spans="1:20" x14ac:dyDescent="0.3">
      <c r="A78">
        <v>77</v>
      </c>
      <c r="B78" t="s">
        <v>27</v>
      </c>
      <c r="C78">
        <v>75</v>
      </c>
      <c r="D78" t="s">
        <v>71</v>
      </c>
      <c r="E78" t="s">
        <v>74</v>
      </c>
      <c r="F78" t="s">
        <v>74</v>
      </c>
      <c r="G78">
        <v>0</v>
      </c>
      <c r="H78">
        <v>117.3</v>
      </c>
      <c r="I78">
        <v>114</v>
      </c>
      <c r="J78">
        <v>19.940000000000001</v>
      </c>
      <c r="K78">
        <v>201.1</v>
      </c>
      <c r="L78">
        <v>61</v>
      </c>
      <c r="M78">
        <v>17.09</v>
      </c>
      <c r="N78">
        <v>107.9</v>
      </c>
      <c r="O78">
        <v>82</v>
      </c>
      <c r="P78">
        <v>4.8600000000000003</v>
      </c>
      <c r="Q78">
        <v>12.2</v>
      </c>
      <c r="R78">
        <v>3</v>
      </c>
      <c r="S78">
        <v>3.29</v>
      </c>
      <c r="T78">
        <v>1</v>
      </c>
    </row>
    <row r="79" spans="1:20" x14ac:dyDescent="0.3">
      <c r="A79">
        <v>78</v>
      </c>
      <c r="B79" t="s">
        <v>63</v>
      </c>
      <c r="C79">
        <v>11</v>
      </c>
      <c r="D79" t="s">
        <v>71</v>
      </c>
      <c r="E79" t="s">
        <v>74</v>
      </c>
      <c r="F79" t="s">
        <v>75</v>
      </c>
      <c r="G79">
        <v>28</v>
      </c>
      <c r="H79">
        <v>190.6</v>
      </c>
      <c r="I79">
        <v>86</v>
      </c>
      <c r="J79">
        <v>32.4</v>
      </c>
      <c r="K79">
        <v>220.1</v>
      </c>
      <c r="L79">
        <v>122</v>
      </c>
      <c r="M79">
        <v>18.71</v>
      </c>
      <c r="N79">
        <v>180.3</v>
      </c>
      <c r="O79">
        <v>80</v>
      </c>
      <c r="P79">
        <v>8.11</v>
      </c>
      <c r="Q79">
        <v>6</v>
      </c>
      <c r="R79">
        <v>3</v>
      </c>
      <c r="S79">
        <v>1.62</v>
      </c>
      <c r="T79">
        <v>3</v>
      </c>
    </row>
    <row r="80" spans="1:20" x14ac:dyDescent="0.3">
      <c r="A80">
        <v>79</v>
      </c>
      <c r="B80" t="s">
        <v>64</v>
      </c>
      <c r="C80">
        <v>105</v>
      </c>
      <c r="D80" t="s">
        <v>71</v>
      </c>
      <c r="E80" t="s">
        <v>74</v>
      </c>
      <c r="F80" t="s">
        <v>75</v>
      </c>
      <c r="G80">
        <v>23</v>
      </c>
      <c r="H80">
        <v>193.5</v>
      </c>
      <c r="I80">
        <v>85</v>
      </c>
      <c r="J80">
        <v>32.9</v>
      </c>
      <c r="K80">
        <v>220.2</v>
      </c>
      <c r="L80">
        <v>90</v>
      </c>
      <c r="M80">
        <v>18.72</v>
      </c>
      <c r="N80">
        <v>272.39999999999998</v>
      </c>
      <c r="O80">
        <v>111</v>
      </c>
      <c r="P80">
        <v>12.26</v>
      </c>
      <c r="Q80">
        <v>8.5</v>
      </c>
      <c r="R80">
        <v>5</v>
      </c>
      <c r="S80">
        <v>2.2999999999999998</v>
      </c>
      <c r="T80">
        <v>0</v>
      </c>
    </row>
    <row r="81" spans="1:20" x14ac:dyDescent="0.3">
      <c r="A81">
        <v>80</v>
      </c>
      <c r="B81" t="s">
        <v>49</v>
      </c>
      <c r="C81">
        <v>112</v>
      </c>
      <c r="D81" t="s">
        <v>71</v>
      </c>
      <c r="E81" t="s">
        <v>74</v>
      </c>
      <c r="F81" t="s">
        <v>74</v>
      </c>
      <c r="G81">
        <v>0</v>
      </c>
      <c r="H81">
        <v>170.4</v>
      </c>
      <c r="I81">
        <v>103</v>
      </c>
      <c r="J81">
        <v>28.97</v>
      </c>
      <c r="K81">
        <v>200.2</v>
      </c>
      <c r="L81">
        <v>71</v>
      </c>
      <c r="M81">
        <v>17.02</v>
      </c>
      <c r="N81">
        <v>258.3</v>
      </c>
      <c r="O81">
        <v>100</v>
      </c>
      <c r="P81">
        <v>11.62</v>
      </c>
      <c r="Q81">
        <v>11.6</v>
      </c>
      <c r="R81">
        <v>4</v>
      </c>
      <c r="S81">
        <v>3.13</v>
      </c>
      <c r="T81">
        <v>1</v>
      </c>
    </row>
    <row r="82" spans="1:20" x14ac:dyDescent="0.3">
      <c r="A82">
        <v>81</v>
      </c>
      <c r="B82" t="s">
        <v>48</v>
      </c>
      <c r="C82">
        <v>86</v>
      </c>
      <c r="D82" t="s">
        <v>71</v>
      </c>
      <c r="E82" t="s">
        <v>74</v>
      </c>
      <c r="F82" t="s">
        <v>75</v>
      </c>
      <c r="G82">
        <v>32</v>
      </c>
      <c r="H82">
        <v>70.900000000000006</v>
      </c>
      <c r="I82">
        <v>163</v>
      </c>
      <c r="J82">
        <v>12.05</v>
      </c>
      <c r="K82">
        <v>166.7</v>
      </c>
      <c r="L82">
        <v>121</v>
      </c>
      <c r="M82">
        <v>14.17</v>
      </c>
      <c r="N82">
        <v>244.9</v>
      </c>
      <c r="O82">
        <v>105</v>
      </c>
      <c r="P82">
        <v>11.02</v>
      </c>
      <c r="Q82">
        <v>11.1</v>
      </c>
      <c r="R82">
        <v>5</v>
      </c>
      <c r="S82">
        <v>3</v>
      </c>
      <c r="T82">
        <v>3</v>
      </c>
    </row>
    <row r="83" spans="1:20" x14ac:dyDescent="0.3">
      <c r="A83">
        <v>82</v>
      </c>
      <c r="B83" t="s">
        <v>62</v>
      </c>
      <c r="C83">
        <v>74</v>
      </c>
      <c r="D83" t="s">
        <v>72</v>
      </c>
      <c r="E83" t="s">
        <v>74</v>
      </c>
      <c r="F83" t="s">
        <v>74</v>
      </c>
      <c r="G83">
        <v>0</v>
      </c>
      <c r="H83">
        <v>148.5</v>
      </c>
      <c r="I83">
        <v>111</v>
      </c>
      <c r="J83">
        <v>25.25</v>
      </c>
      <c r="K83">
        <v>146.5</v>
      </c>
      <c r="L83">
        <v>42</v>
      </c>
      <c r="M83">
        <v>12.45</v>
      </c>
      <c r="N83">
        <v>289.2</v>
      </c>
      <c r="O83">
        <v>83</v>
      </c>
      <c r="P83">
        <v>13.01</v>
      </c>
      <c r="Q83">
        <v>9.9</v>
      </c>
      <c r="R83">
        <v>6</v>
      </c>
      <c r="S83">
        <v>2.67</v>
      </c>
      <c r="T83">
        <v>3</v>
      </c>
    </row>
    <row r="84" spans="1:20" x14ac:dyDescent="0.3">
      <c r="A84">
        <v>83</v>
      </c>
      <c r="B84" t="s">
        <v>42</v>
      </c>
      <c r="C84">
        <v>50</v>
      </c>
      <c r="D84" t="s">
        <v>72</v>
      </c>
      <c r="E84" t="s">
        <v>74</v>
      </c>
      <c r="F84" t="s">
        <v>74</v>
      </c>
      <c r="G84">
        <v>0</v>
      </c>
      <c r="H84">
        <v>258.10000000000002</v>
      </c>
      <c r="I84">
        <v>106</v>
      </c>
      <c r="J84">
        <v>43.88</v>
      </c>
      <c r="K84">
        <v>161.4</v>
      </c>
      <c r="L84">
        <v>106</v>
      </c>
      <c r="M84">
        <v>13.72</v>
      </c>
      <c r="N84">
        <v>225.1</v>
      </c>
      <c r="O84">
        <v>110</v>
      </c>
      <c r="P84">
        <v>10.130000000000001</v>
      </c>
      <c r="Q84">
        <v>11.7</v>
      </c>
      <c r="R84">
        <v>5</v>
      </c>
      <c r="S84">
        <v>3.16</v>
      </c>
      <c r="T84">
        <v>1</v>
      </c>
    </row>
    <row r="85" spans="1:20" x14ac:dyDescent="0.3">
      <c r="A85">
        <v>84</v>
      </c>
      <c r="B85" t="s">
        <v>51</v>
      </c>
      <c r="C85">
        <v>78</v>
      </c>
      <c r="D85" t="s">
        <v>71</v>
      </c>
      <c r="E85" t="s">
        <v>74</v>
      </c>
      <c r="F85" t="s">
        <v>74</v>
      </c>
      <c r="G85">
        <v>0</v>
      </c>
      <c r="H85">
        <v>208.9</v>
      </c>
      <c r="I85">
        <v>119</v>
      </c>
      <c r="J85">
        <v>35.51</v>
      </c>
      <c r="K85">
        <v>252.4</v>
      </c>
      <c r="L85">
        <v>132</v>
      </c>
      <c r="M85">
        <v>21.45</v>
      </c>
      <c r="N85">
        <v>280.2</v>
      </c>
      <c r="O85">
        <v>120</v>
      </c>
      <c r="P85">
        <v>12.61</v>
      </c>
      <c r="Q85">
        <v>12.8</v>
      </c>
      <c r="R85">
        <v>7</v>
      </c>
      <c r="S85">
        <v>3.46</v>
      </c>
      <c r="T85">
        <v>0</v>
      </c>
    </row>
    <row r="86" spans="1:20" x14ac:dyDescent="0.3">
      <c r="A86">
        <v>85</v>
      </c>
      <c r="B86" t="s">
        <v>60</v>
      </c>
      <c r="C86">
        <v>93</v>
      </c>
      <c r="D86" t="s">
        <v>71</v>
      </c>
      <c r="E86" t="s">
        <v>74</v>
      </c>
      <c r="F86" t="s">
        <v>75</v>
      </c>
      <c r="G86">
        <v>36</v>
      </c>
      <c r="H86">
        <v>178.7</v>
      </c>
      <c r="I86">
        <v>134</v>
      </c>
      <c r="J86">
        <v>30.38</v>
      </c>
      <c r="K86">
        <v>178.6</v>
      </c>
      <c r="L86">
        <v>102</v>
      </c>
      <c r="M86">
        <v>15.18</v>
      </c>
      <c r="N86">
        <v>126.8</v>
      </c>
      <c r="O86">
        <v>82</v>
      </c>
      <c r="P86">
        <v>5.71</v>
      </c>
      <c r="Q86">
        <v>8</v>
      </c>
      <c r="R86">
        <v>4</v>
      </c>
      <c r="S86">
        <v>2.16</v>
      </c>
      <c r="T86">
        <v>2</v>
      </c>
    </row>
    <row r="87" spans="1:20" x14ac:dyDescent="0.3">
      <c r="A87">
        <v>86</v>
      </c>
      <c r="B87" t="s">
        <v>21</v>
      </c>
      <c r="C87">
        <v>144</v>
      </c>
      <c r="D87" t="s">
        <v>71</v>
      </c>
      <c r="E87" t="s">
        <v>74</v>
      </c>
      <c r="F87" t="s">
        <v>74</v>
      </c>
      <c r="G87">
        <v>0</v>
      </c>
      <c r="H87">
        <v>177.5</v>
      </c>
      <c r="I87">
        <v>93</v>
      </c>
      <c r="J87">
        <v>30.18</v>
      </c>
      <c r="K87">
        <v>287.39999999999998</v>
      </c>
      <c r="L87">
        <v>75</v>
      </c>
      <c r="M87">
        <v>24.43</v>
      </c>
      <c r="N87">
        <v>180.5</v>
      </c>
      <c r="O87">
        <v>118</v>
      </c>
      <c r="P87">
        <v>8.1199999999999992</v>
      </c>
      <c r="Q87">
        <v>11.9</v>
      </c>
      <c r="R87">
        <v>3</v>
      </c>
      <c r="S87">
        <v>3.21</v>
      </c>
      <c r="T87">
        <v>2</v>
      </c>
    </row>
    <row r="88" spans="1:20" x14ac:dyDescent="0.3">
      <c r="A88">
        <v>87</v>
      </c>
      <c r="B88" t="s">
        <v>65</v>
      </c>
      <c r="C88">
        <v>95</v>
      </c>
      <c r="D88" t="s">
        <v>71</v>
      </c>
      <c r="E88" t="s">
        <v>74</v>
      </c>
      <c r="F88" t="s">
        <v>74</v>
      </c>
      <c r="G88">
        <v>0</v>
      </c>
      <c r="H88">
        <v>175.2</v>
      </c>
      <c r="I88">
        <v>91</v>
      </c>
      <c r="J88">
        <v>29.78</v>
      </c>
      <c r="K88">
        <v>244.4</v>
      </c>
      <c r="L88">
        <v>109</v>
      </c>
      <c r="M88">
        <v>20.77</v>
      </c>
      <c r="N88">
        <v>75.8</v>
      </c>
      <c r="O88">
        <v>95</v>
      </c>
      <c r="P88">
        <v>3.41</v>
      </c>
      <c r="Q88">
        <v>7.5</v>
      </c>
      <c r="R88">
        <v>2</v>
      </c>
      <c r="S88">
        <v>2.0299999999999998</v>
      </c>
      <c r="T88">
        <v>1</v>
      </c>
    </row>
    <row r="89" spans="1:20" x14ac:dyDescent="0.3">
      <c r="A89">
        <v>88</v>
      </c>
      <c r="B89" t="s">
        <v>39</v>
      </c>
      <c r="C89">
        <v>124</v>
      </c>
      <c r="D89" t="s">
        <v>71</v>
      </c>
      <c r="E89" t="s">
        <v>74</v>
      </c>
      <c r="F89" t="s">
        <v>75</v>
      </c>
      <c r="G89">
        <v>28</v>
      </c>
      <c r="H89">
        <v>251.4</v>
      </c>
      <c r="I89">
        <v>104</v>
      </c>
      <c r="J89">
        <v>42.74</v>
      </c>
      <c r="K89">
        <v>225.1</v>
      </c>
      <c r="L89">
        <v>89</v>
      </c>
      <c r="M89">
        <v>19.13</v>
      </c>
      <c r="N89">
        <v>251.9</v>
      </c>
      <c r="O89">
        <v>121</v>
      </c>
      <c r="P89">
        <v>11.34</v>
      </c>
      <c r="Q89">
        <v>7.5</v>
      </c>
      <c r="R89">
        <v>5</v>
      </c>
      <c r="S89">
        <v>2.0299999999999998</v>
      </c>
      <c r="T89">
        <v>1</v>
      </c>
    </row>
    <row r="90" spans="1:20" x14ac:dyDescent="0.3">
      <c r="A90">
        <v>89</v>
      </c>
      <c r="B90" t="s">
        <v>29</v>
      </c>
      <c r="C90">
        <v>148</v>
      </c>
      <c r="D90" t="s">
        <v>72</v>
      </c>
      <c r="E90" t="s">
        <v>74</v>
      </c>
      <c r="F90" t="s">
        <v>75</v>
      </c>
      <c r="G90">
        <v>14</v>
      </c>
      <c r="H90">
        <v>93.6</v>
      </c>
      <c r="I90">
        <v>137</v>
      </c>
      <c r="J90">
        <v>15.91</v>
      </c>
      <c r="K90">
        <v>193.8</v>
      </c>
      <c r="L90">
        <v>72</v>
      </c>
      <c r="M90">
        <v>16.47</v>
      </c>
      <c r="N90">
        <v>144.9</v>
      </c>
      <c r="O90">
        <v>84</v>
      </c>
      <c r="P90">
        <v>6.52</v>
      </c>
      <c r="Q90">
        <v>17.5</v>
      </c>
      <c r="R90">
        <v>5</v>
      </c>
      <c r="S90">
        <v>4.7300000000000004</v>
      </c>
      <c r="T90">
        <v>1</v>
      </c>
    </row>
    <row r="91" spans="1:20" x14ac:dyDescent="0.3">
      <c r="A91">
        <v>90</v>
      </c>
      <c r="B91" t="s">
        <v>44</v>
      </c>
      <c r="C91">
        <v>176</v>
      </c>
      <c r="D91" t="s">
        <v>73</v>
      </c>
      <c r="E91" t="s">
        <v>74</v>
      </c>
      <c r="F91" t="s">
        <v>74</v>
      </c>
      <c r="G91">
        <v>0</v>
      </c>
      <c r="H91">
        <v>47.4</v>
      </c>
      <c r="I91">
        <v>125</v>
      </c>
      <c r="J91">
        <v>8.06</v>
      </c>
      <c r="K91">
        <v>167.8</v>
      </c>
      <c r="L91">
        <v>90</v>
      </c>
      <c r="M91">
        <v>14.26</v>
      </c>
      <c r="N91">
        <v>163.1</v>
      </c>
      <c r="O91">
        <v>107</v>
      </c>
      <c r="P91">
        <v>7.34</v>
      </c>
      <c r="Q91">
        <v>10.5</v>
      </c>
      <c r="R91">
        <v>8</v>
      </c>
      <c r="S91">
        <v>2.84</v>
      </c>
      <c r="T91">
        <v>2</v>
      </c>
    </row>
    <row r="92" spans="1:20" x14ac:dyDescent="0.3">
      <c r="A92">
        <v>91</v>
      </c>
      <c r="B92" t="s">
        <v>38</v>
      </c>
      <c r="C92">
        <v>47</v>
      </c>
      <c r="D92" t="s">
        <v>71</v>
      </c>
      <c r="E92" t="s">
        <v>74</v>
      </c>
      <c r="F92" t="s">
        <v>75</v>
      </c>
      <c r="G92">
        <v>37</v>
      </c>
      <c r="H92">
        <v>163.5</v>
      </c>
      <c r="I92">
        <v>77</v>
      </c>
      <c r="J92">
        <v>27.8</v>
      </c>
      <c r="K92">
        <v>203.1</v>
      </c>
      <c r="L92">
        <v>102</v>
      </c>
      <c r="M92">
        <v>17.260000000000002</v>
      </c>
      <c r="N92">
        <v>232</v>
      </c>
      <c r="O92">
        <v>87</v>
      </c>
      <c r="P92">
        <v>10.44</v>
      </c>
      <c r="Q92">
        <v>7.8</v>
      </c>
      <c r="R92">
        <v>4</v>
      </c>
      <c r="S92">
        <v>2.11</v>
      </c>
      <c r="T92">
        <v>2</v>
      </c>
    </row>
    <row r="93" spans="1:20" x14ac:dyDescent="0.3">
      <c r="A93">
        <v>92</v>
      </c>
      <c r="B93" t="s">
        <v>26</v>
      </c>
      <c r="C93">
        <v>67</v>
      </c>
      <c r="D93" t="s">
        <v>72</v>
      </c>
      <c r="E93" t="s">
        <v>74</v>
      </c>
      <c r="F93" t="s">
        <v>74</v>
      </c>
      <c r="G93">
        <v>0</v>
      </c>
      <c r="H93">
        <v>310.39999999999998</v>
      </c>
      <c r="I93">
        <v>97</v>
      </c>
      <c r="J93">
        <v>52.77</v>
      </c>
      <c r="K93">
        <v>66.5</v>
      </c>
      <c r="L93">
        <v>123</v>
      </c>
      <c r="M93">
        <v>5.65</v>
      </c>
      <c r="N93">
        <v>246.5</v>
      </c>
      <c r="O93">
        <v>99</v>
      </c>
      <c r="P93">
        <v>11.09</v>
      </c>
      <c r="Q93">
        <v>9.1999999999999993</v>
      </c>
      <c r="R93">
        <v>10</v>
      </c>
      <c r="S93">
        <v>2.48</v>
      </c>
      <c r="T93">
        <v>4</v>
      </c>
    </row>
    <row r="94" spans="1:20" x14ac:dyDescent="0.3">
      <c r="A94">
        <v>93</v>
      </c>
      <c r="B94" t="s">
        <v>34</v>
      </c>
      <c r="C94">
        <v>128</v>
      </c>
      <c r="D94" t="s">
        <v>71</v>
      </c>
      <c r="E94" t="s">
        <v>74</v>
      </c>
      <c r="F94" t="s">
        <v>75</v>
      </c>
      <c r="G94">
        <v>40</v>
      </c>
      <c r="H94">
        <v>171.2</v>
      </c>
      <c r="I94">
        <v>88</v>
      </c>
      <c r="J94">
        <v>29.1</v>
      </c>
      <c r="K94">
        <v>145.69999999999999</v>
      </c>
      <c r="L94">
        <v>109</v>
      </c>
      <c r="M94">
        <v>12.38</v>
      </c>
      <c r="N94">
        <v>196.8</v>
      </c>
      <c r="O94">
        <v>93</v>
      </c>
      <c r="P94">
        <v>8.86</v>
      </c>
      <c r="Q94">
        <v>14</v>
      </c>
      <c r="R94">
        <v>6</v>
      </c>
      <c r="S94">
        <v>3.78</v>
      </c>
      <c r="T94">
        <v>1</v>
      </c>
    </row>
    <row r="95" spans="1:20" x14ac:dyDescent="0.3">
      <c r="A95">
        <v>94</v>
      </c>
      <c r="B95" t="s">
        <v>35</v>
      </c>
      <c r="C95">
        <v>111</v>
      </c>
      <c r="D95" t="s">
        <v>71</v>
      </c>
      <c r="E95" t="s">
        <v>74</v>
      </c>
      <c r="F95" t="s">
        <v>74</v>
      </c>
      <c r="G95">
        <v>0</v>
      </c>
      <c r="H95">
        <v>172.8</v>
      </c>
      <c r="I95">
        <v>58</v>
      </c>
      <c r="J95">
        <v>29.38</v>
      </c>
      <c r="K95">
        <v>183.1</v>
      </c>
      <c r="L95">
        <v>108</v>
      </c>
      <c r="M95">
        <v>15.56</v>
      </c>
      <c r="N95">
        <v>158.80000000000001</v>
      </c>
      <c r="O95">
        <v>104</v>
      </c>
      <c r="P95">
        <v>7.15</v>
      </c>
      <c r="Q95">
        <v>7.9</v>
      </c>
      <c r="R95">
        <v>3</v>
      </c>
      <c r="S95">
        <v>2.13</v>
      </c>
      <c r="T95">
        <v>4</v>
      </c>
    </row>
    <row r="96" spans="1:20" x14ac:dyDescent="0.3">
      <c r="A96">
        <v>95</v>
      </c>
      <c r="B96" t="s">
        <v>38</v>
      </c>
      <c r="C96">
        <v>157</v>
      </c>
      <c r="D96" t="s">
        <v>71</v>
      </c>
      <c r="E96" t="s">
        <v>74</v>
      </c>
      <c r="F96" t="s">
        <v>74</v>
      </c>
      <c r="G96">
        <v>0</v>
      </c>
      <c r="H96">
        <v>224.5</v>
      </c>
      <c r="I96">
        <v>111</v>
      </c>
      <c r="J96">
        <v>38.17</v>
      </c>
      <c r="K96">
        <v>200.7</v>
      </c>
      <c r="L96">
        <v>99</v>
      </c>
      <c r="M96">
        <v>17.059999999999999</v>
      </c>
      <c r="N96">
        <v>116.6</v>
      </c>
      <c r="O96">
        <v>118</v>
      </c>
      <c r="P96">
        <v>5.25</v>
      </c>
      <c r="Q96">
        <v>11.5</v>
      </c>
      <c r="R96">
        <v>2</v>
      </c>
      <c r="S96">
        <v>3.11</v>
      </c>
      <c r="T96">
        <v>2</v>
      </c>
    </row>
    <row r="97" spans="1:20" x14ac:dyDescent="0.3">
      <c r="A97">
        <v>96</v>
      </c>
      <c r="B97" t="s">
        <v>42</v>
      </c>
      <c r="C97">
        <v>61</v>
      </c>
      <c r="D97" t="s">
        <v>72</v>
      </c>
      <c r="E97" t="s">
        <v>75</v>
      </c>
      <c r="F97" t="s">
        <v>74</v>
      </c>
      <c r="G97">
        <v>0</v>
      </c>
      <c r="H97">
        <v>78.2</v>
      </c>
      <c r="I97">
        <v>103</v>
      </c>
      <c r="J97">
        <v>13.29</v>
      </c>
      <c r="K97">
        <v>195.9</v>
      </c>
      <c r="L97">
        <v>149</v>
      </c>
      <c r="M97">
        <v>16.649999999999999</v>
      </c>
      <c r="N97">
        <v>108</v>
      </c>
      <c r="O97">
        <v>100</v>
      </c>
      <c r="P97">
        <v>4.8600000000000003</v>
      </c>
      <c r="Q97">
        <v>10.1</v>
      </c>
      <c r="R97">
        <v>6</v>
      </c>
      <c r="S97">
        <v>2.73</v>
      </c>
      <c r="T97">
        <v>2</v>
      </c>
    </row>
    <row r="98" spans="1:20" x14ac:dyDescent="0.3">
      <c r="A98">
        <v>97</v>
      </c>
      <c r="B98" t="s">
        <v>52</v>
      </c>
      <c r="C98">
        <v>65</v>
      </c>
      <c r="D98" t="s">
        <v>71</v>
      </c>
      <c r="E98" t="s">
        <v>74</v>
      </c>
      <c r="F98" t="s">
        <v>74</v>
      </c>
      <c r="G98">
        <v>0</v>
      </c>
      <c r="H98">
        <v>148.69999999999999</v>
      </c>
      <c r="I98">
        <v>80</v>
      </c>
      <c r="J98">
        <v>25.28</v>
      </c>
      <c r="K98">
        <v>259</v>
      </c>
      <c r="L98">
        <v>94</v>
      </c>
      <c r="M98">
        <v>22.02</v>
      </c>
      <c r="N98">
        <v>149.5</v>
      </c>
      <c r="O98">
        <v>107</v>
      </c>
      <c r="P98">
        <v>6.73</v>
      </c>
      <c r="Q98">
        <v>12.7</v>
      </c>
      <c r="R98">
        <v>6</v>
      </c>
      <c r="S98">
        <v>3.43</v>
      </c>
      <c r="T98">
        <v>2</v>
      </c>
    </row>
    <row r="99" spans="1:20" x14ac:dyDescent="0.3">
      <c r="A99">
        <v>98</v>
      </c>
      <c r="B99" t="s">
        <v>28</v>
      </c>
      <c r="C99">
        <v>123</v>
      </c>
      <c r="D99" t="s">
        <v>73</v>
      </c>
      <c r="E99" t="s">
        <v>74</v>
      </c>
      <c r="F99" t="s">
        <v>74</v>
      </c>
      <c r="G99">
        <v>0</v>
      </c>
      <c r="H99">
        <v>159.5</v>
      </c>
      <c r="I99">
        <v>77</v>
      </c>
      <c r="J99">
        <v>27.12</v>
      </c>
      <c r="K99">
        <v>303.8</v>
      </c>
      <c r="L99">
        <v>92</v>
      </c>
      <c r="M99">
        <v>25.82</v>
      </c>
      <c r="N99">
        <v>226.9</v>
      </c>
      <c r="O99">
        <v>120</v>
      </c>
      <c r="P99">
        <v>10.210000000000001</v>
      </c>
      <c r="Q99">
        <v>12</v>
      </c>
      <c r="R99">
        <v>4</v>
      </c>
      <c r="S99">
        <v>3.24</v>
      </c>
      <c r="T99">
        <v>0</v>
      </c>
    </row>
    <row r="100" spans="1:20" x14ac:dyDescent="0.3">
      <c r="A100">
        <v>99</v>
      </c>
      <c r="B100" t="s">
        <v>55</v>
      </c>
      <c r="C100">
        <v>53</v>
      </c>
      <c r="D100" t="s">
        <v>73</v>
      </c>
      <c r="E100" t="s">
        <v>74</v>
      </c>
      <c r="F100" t="s">
        <v>75</v>
      </c>
      <c r="G100">
        <v>18</v>
      </c>
      <c r="H100">
        <v>146.80000000000001</v>
      </c>
      <c r="I100">
        <v>107</v>
      </c>
      <c r="J100">
        <v>24.96</v>
      </c>
      <c r="K100">
        <v>310</v>
      </c>
      <c r="L100">
        <v>84</v>
      </c>
      <c r="M100">
        <v>26.35</v>
      </c>
      <c r="N100">
        <v>178.7</v>
      </c>
      <c r="O100">
        <v>130</v>
      </c>
      <c r="P100">
        <v>8.0399999999999991</v>
      </c>
      <c r="Q100">
        <v>7.2</v>
      </c>
      <c r="R100">
        <v>7</v>
      </c>
      <c r="S100">
        <v>1.94</v>
      </c>
      <c r="T100">
        <v>0</v>
      </c>
    </row>
    <row r="101" spans="1:20" x14ac:dyDescent="0.3">
      <c r="A101">
        <v>100</v>
      </c>
      <c r="B101" t="s">
        <v>66</v>
      </c>
      <c r="C101">
        <v>133</v>
      </c>
      <c r="D101" t="s">
        <v>73</v>
      </c>
      <c r="E101" t="s">
        <v>75</v>
      </c>
      <c r="F101" t="s">
        <v>75</v>
      </c>
      <c r="G101">
        <v>32</v>
      </c>
      <c r="H101">
        <v>221.1</v>
      </c>
      <c r="I101">
        <v>137</v>
      </c>
      <c r="J101">
        <v>37.590000000000003</v>
      </c>
      <c r="K101">
        <v>264.89999999999998</v>
      </c>
      <c r="L101">
        <v>99</v>
      </c>
      <c r="M101">
        <v>22.52</v>
      </c>
      <c r="N101">
        <v>168.9</v>
      </c>
      <c r="O101">
        <v>108</v>
      </c>
      <c r="P101">
        <v>7.6</v>
      </c>
      <c r="Q101">
        <v>15.4</v>
      </c>
      <c r="R101">
        <v>4</v>
      </c>
      <c r="S101">
        <v>4.16</v>
      </c>
      <c r="T101">
        <v>2</v>
      </c>
    </row>
    <row r="102" spans="1:20" x14ac:dyDescent="0.3">
      <c r="A102">
        <v>101</v>
      </c>
      <c r="B102" t="s">
        <v>39</v>
      </c>
      <c r="C102">
        <v>92</v>
      </c>
      <c r="D102" t="s">
        <v>71</v>
      </c>
      <c r="E102" t="s">
        <v>74</v>
      </c>
      <c r="F102" t="s">
        <v>74</v>
      </c>
      <c r="G102">
        <v>0</v>
      </c>
      <c r="H102">
        <v>201.9</v>
      </c>
      <c r="I102">
        <v>74</v>
      </c>
      <c r="J102">
        <v>34.32</v>
      </c>
      <c r="K102">
        <v>226.8</v>
      </c>
      <c r="L102">
        <v>119</v>
      </c>
      <c r="M102">
        <v>19.28</v>
      </c>
      <c r="N102">
        <v>217.5</v>
      </c>
      <c r="O102">
        <v>80</v>
      </c>
      <c r="P102">
        <v>9.7899999999999991</v>
      </c>
      <c r="Q102">
        <v>13.7</v>
      </c>
      <c r="R102">
        <v>6</v>
      </c>
      <c r="S102">
        <v>3.7</v>
      </c>
      <c r="T102">
        <v>3</v>
      </c>
    </row>
    <row r="103" spans="1:20" x14ac:dyDescent="0.3">
      <c r="A103">
        <v>102</v>
      </c>
      <c r="B103" t="s">
        <v>21</v>
      </c>
      <c r="C103">
        <v>109</v>
      </c>
      <c r="D103" t="s">
        <v>73</v>
      </c>
      <c r="E103" t="s">
        <v>74</v>
      </c>
      <c r="F103" t="s">
        <v>74</v>
      </c>
      <c r="G103">
        <v>0</v>
      </c>
      <c r="H103">
        <v>218.9</v>
      </c>
      <c r="I103">
        <v>105</v>
      </c>
      <c r="J103">
        <v>37.21</v>
      </c>
      <c r="K103">
        <v>299.89999999999998</v>
      </c>
      <c r="L103">
        <v>87</v>
      </c>
      <c r="M103">
        <v>25.49</v>
      </c>
      <c r="N103">
        <v>158.6</v>
      </c>
      <c r="O103">
        <v>110</v>
      </c>
      <c r="P103">
        <v>7.14</v>
      </c>
      <c r="Q103">
        <v>11.3</v>
      </c>
      <c r="R103">
        <v>4</v>
      </c>
      <c r="S103">
        <v>3.05</v>
      </c>
      <c r="T103">
        <v>2</v>
      </c>
    </row>
    <row r="104" spans="1:20" x14ac:dyDescent="0.3">
      <c r="A104">
        <v>103</v>
      </c>
      <c r="B104" t="s">
        <v>67</v>
      </c>
      <c r="C104">
        <v>87</v>
      </c>
      <c r="D104" t="s">
        <v>73</v>
      </c>
      <c r="E104" t="s">
        <v>74</v>
      </c>
      <c r="F104" t="s">
        <v>75</v>
      </c>
      <c r="G104">
        <v>28</v>
      </c>
      <c r="H104">
        <v>151.4</v>
      </c>
      <c r="I104">
        <v>95</v>
      </c>
      <c r="J104">
        <v>25.74</v>
      </c>
      <c r="K104">
        <v>152.4</v>
      </c>
      <c r="L104">
        <v>97</v>
      </c>
      <c r="M104">
        <v>12.95</v>
      </c>
      <c r="N104">
        <v>250.1</v>
      </c>
      <c r="O104">
        <v>109</v>
      </c>
      <c r="P104">
        <v>11.25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104</v>
      </c>
      <c r="B105" t="s">
        <v>48</v>
      </c>
      <c r="C105">
        <v>84</v>
      </c>
      <c r="D105" t="s">
        <v>71</v>
      </c>
      <c r="E105" t="s">
        <v>74</v>
      </c>
      <c r="F105" t="s">
        <v>74</v>
      </c>
      <c r="G105">
        <v>0</v>
      </c>
      <c r="H105">
        <v>159</v>
      </c>
      <c r="I105">
        <v>80</v>
      </c>
      <c r="J105">
        <v>27.03</v>
      </c>
      <c r="K105">
        <v>167.9</v>
      </c>
      <c r="L105">
        <v>128</v>
      </c>
      <c r="M105">
        <v>14.27</v>
      </c>
      <c r="N105">
        <v>167.6</v>
      </c>
      <c r="O105">
        <v>101</v>
      </c>
      <c r="P105">
        <v>7.54</v>
      </c>
      <c r="Q105">
        <v>12.3</v>
      </c>
      <c r="R105">
        <v>5</v>
      </c>
      <c r="S105">
        <v>3.32</v>
      </c>
      <c r="T105">
        <v>1</v>
      </c>
    </row>
    <row r="106" spans="1:20" x14ac:dyDescent="0.3">
      <c r="A106">
        <v>105</v>
      </c>
      <c r="B106" t="s">
        <v>36</v>
      </c>
      <c r="C106">
        <v>62</v>
      </c>
      <c r="D106" t="s">
        <v>71</v>
      </c>
      <c r="E106" t="s">
        <v>75</v>
      </c>
      <c r="F106" t="s">
        <v>74</v>
      </c>
      <c r="G106">
        <v>0</v>
      </c>
      <c r="H106">
        <v>159.69999999999999</v>
      </c>
      <c r="I106">
        <v>86</v>
      </c>
      <c r="J106">
        <v>27.15</v>
      </c>
      <c r="K106">
        <v>197.5</v>
      </c>
      <c r="L106">
        <v>76</v>
      </c>
      <c r="M106">
        <v>16.79</v>
      </c>
      <c r="N106">
        <v>121.6</v>
      </c>
      <c r="O106">
        <v>105</v>
      </c>
      <c r="P106">
        <v>5.47</v>
      </c>
      <c r="Q106">
        <v>13.9</v>
      </c>
      <c r="R106">
        <v>6</v>
      </c>
      <c r="S106">
        <v>3.75</v>
      </c>
      <c r="T106">
        <v>0</v>
      </c>
    </row>
    <row r="107" spans="1:20" x14ac:dyDescent="0.3">
      <c r="A107">
        <v>106</v>
      </c>
      <c r="B107" t="s">
        <v>30</v>
      </c>
      <c r="C107">
        <v>111</v>
      </c>
      <c r="D107" t="s">
        <v>71</v>
      </c>
      <c r="E107" t="s">
        <v>74</v>
      </c>
      <c r="F107" t="s">
        <v>74</v>
      </c>
      <c r="G107">
        <v>0</v>
      </c>
      <c r="H107">
        <v>146.19999999999999</v>
      </c>
      <c r="I107">
        <v>55</v>
      </c>
      <c r="J107">
        <v>24.85</v>
      </c>
      <c r="K107">
        <v>261.5</v>
      </c>
      <c r="L107">
        <v>83</v>
      </c>
      <c r="M107">
        <v>22.23</v>
      </c>
      <c r="N107">
        <v>163.19999999999999</v>
      </c>
      <c r="O107">
        <v>116</v>
      </c>
      <c r="P107">
        <v>7.34</v>
      </c>
      <c r="Q107">
        <v>8.6999999999999993</v>
      </c>
      <c r="R107">
        <v>3</v>
      </c>
      <c r="S107">
        <v>2.35</v>
      </c>
      <c r="T107">
        <v>3</v>
      </c>
    </row>
    <row r="108" spans="1:20" x14ac:dyDescent="0.3">
      <c r="A108">
        <v>107</v>
      </c>
      <c r="B108" t="s">
        <v>47</v>
      </c>
      <c r="C108">
        <v>91</v>
      </c>
      <c r="D108" t="s">
        <v>72</v>
      </c>
      <c r="E108" t="s">
        <v>74</v>
      </c>
      <c r="F108" t="s">
        <v>74</v>
      </c>
      <c r="G108">
        <v>0</v>
      </c>
      <c r="H108">
        <v>231.8</v>
      </c>
      <c r="I108">
        <v>120</v>
      </c>
      <c r="J108">
        <v>39.409999999999997</v>
      </c>
      <c r="K108">
        <v>150.6</v>
      </c>
      <c r="L108">
        <v>106</v>
      </c>
      <c r="M108">
        <v>12.8</v>
      </c>
      <c r="N108">
        <v>269.2</v>
      </c>
      <c r="O108">
        <v>129</v>
      </c>
      <c r="P108">
        <v>12.11</v>
      </c>
      <c r="Q108">
        <v>11.6</v>
      </c>
      <c r="R108">
        <v>7</v>
      </c>
      <c r="S108">
        <v>3.13</v>
      </c>
      <c r="T108">
        <v>3</v>
      </c>
    </row>
    <row r="109" spans="1:20" x14ac:dyDescent="0.3">
      <c r="A109">
        <v>108</v>
      </c>
      <c r="B109" t="s">
        <v>63</v>
      </c>
      <c r="C109">
        <v>126</v>
      </c>
      <c r="D109" t="s">
        <v>72</v>
      </c>
      <c r="E109" t="s">
        <v>74</v>
      </c>
      <c r="F109" t="s">
        <v>74</v>
      </c>
      <c r="G109">
        <v>0</v>
      </c>
      <c r="H109">
        <v>122.4</v>
      </c>
      <c r="I109">
        <v>88</v>
      </c>
      <c r="J109">
        <v>20.81</v>
      </c>
      <c r="K109">
        <v>143.80000000000001</v>
      </c>
      <c r="L109">
        <v>111</v>
      </c>
      <c r="M109">
        <v>12.22</v>
      </c>
      <c r="N109">
        <v>157</v>
      </c>
      <c r="O109">
        <v>106</v>
      </c>
      <c r="P109">
        <v>7.07</v>
      </c>
      <c r="Q109">
        <v>11.5</v>
      </c>
      <c r="R109">
        <v>3</v>
      </c>
      <c r="S109">
        <v>3.11</v>
      </c>
      <c r="T109">
        <v>1</v>
      </c>
    </row>
    <row r="110" spans="1:20" x14ac:dyDescent="0.3">
      <c r="A110">
        <v>109</v>
      </c>
      <c r="B110" t="s">
        <v>27</v>
      </c>
      <c r="C110">
        <v>76</v>
      </c>
      <c r="D110" t="s">
        <v>71</v>
      </c>
      <c r="E110" t="s">
        <v>74</v>
      </c>
      <c r="F110" t="s">
        <v>74</v>
      </c>
      <c r="G110">
        <v>0</v>
      </c>
      <c r="H110">
        <v>299.5</v>
      </c>
      <c r="I110">
        <v>125</v>
      </c>
      <c r="J110">
        <v>50.92</v>
      </c>
      <c r="K110">
        <v>226.7</v>
      </c>
      <c r="L110">
        <v>92</v>
      </c>
      <c r="M110">
        <v>19.27</v>
      </c>
      <c r="N110">
        <v>210.7</v>
      </c>
      <c r="O110">
        <v>134</v>
      </c>
      <c r="P110">
        <v>9.48</v>
      </c>
      <c r="Q110">
        <v>13.7</v>
      </c>
      <c r="R110">
        <v>4</v>
      </c>
      <c r="S110">
        <v>3.7</v>
      </c>
      <c r="T110">
        <v>0</v>
      </c>
    </row>
    <row r="111" spans="1:20" x14ac:dyDescent="0.3">
      <c r="A111">
        <v>110</v>
      </c>
      <c r="B111" t="s">
        <v>65</v>
      </c>
      <c r="C111">
        <v>153</v>
      </c>
      <c r="D111" t="s">
        <v>73</v>
      </c>
      <c r="E111" t="s">
        <v>74</v>
      </c>
      <c r="F111" t="s">
        <v>75</v>
      </c>
      <c r="G111">
        <v>28</v>
      </c>
      <c r="H111">
        <v>235.6</v>
      </c>
      <c r="I111">
        <v>74</v>
      </c>
      <c r="J111">
        <v>40.049999999999997</v>
      </c>
      <c r="K111">
        <v>227.9</v>
      </c>
      <c r="L111">
        <v>37</v>
      </c>
      <c r="M111">
        <v>19.37</v>
      </c>
      <c r="N111">
        <v>170.3</v>
      </c>
      <c r="O111">
        <v>103</v>
      </c>
      <c r="P111">
        <v>7.66</v>
      </c>
      <c r="Q111">
        <v>15.4</v>
      </c>
      <c r="R111">
        <v>9</v>
      </c>
      <c r="S111">
        <v>4.16</v>
      </c>
      <c r="T111">
        <v>0</v>
      </c>
    </row>
    <row r="112" spans="1:20" x14ac:dyDescent="0.3">
      <c r="A112">
        <v>111</v>
      </c>
      <c r="B112" t="s">
        <v>62</v>
      </c>
      <c r="C112">
        <v>54</v>
      </c>
      <c r="D112" t="s">
        <v>71</v>
      </c>
      <c r="E112" t="s">
        <v>74</v>
      </c>
      <c r="F112" t="s">
        <v>75</v>
      </c>
      <c r="G112">
        <v>39</v>
      </c>
      <c r="H112">
        <v>206.9</v>
      </c>
      <c r="I112">
        <v>143</v>
      </c>
      <c r="J112">
        <v>35.17</v>
      </c>
      <c r="K112">
        <v>127.8</v>
      </c>
      <c r="L112">
        <v>72</v>
      </c>
      <c r="M112">
        <v>10.86</v>
      </c>
      <c r="N112">
        <v>199.2</v>
      </c>
      <c r="O112">
        <v>120</v>
      </c>
      <c r="P112">
        <v>8.9600000000000009</v>
      </c>
      <c r="Q112">
        <v>9.1999999999999993</v>
      </c>
      <c r="R112">
        <v>1</v>
      </c>
      <c r="S112">
        <v>2.48</v>
      </c>
      <c r="T112">
        <v>3</v>
      </c>
    </row>
    <row r="113" spans="1:20" x14ac:dyDescent="0.3">
      <c r="A113">
        <v>112</v>
      </c>
      <c r="B113" t="s">
        <v>24</v>
      </c>
      <c r="C113">
        <v>63</v>
      </c>
      <c r="D113" t="s">
        <v>71</v>
      </c>
      <c r="E113" t="s">
        <v>74</v>
      </c>
      <c r="F113" t="s">
        <v>74</v>
      </c>
      <c r="G113">
        <v>0</v>
      </c>
      <c r="H113">
        <v>211.2</v>
      </c>
      <c r="I113">
        <v>80</v>
      </c>
      <c r="J113">
        <v>35.9</v>
      </c>
      <c r="K113">
        <v>237.7</v>
      </c>
      <c r="L113">
        <v>93</v>
      </c>
      <c r="M113">
        <v>20.2</v>
      </c>
      <c r="N113">
        <v>259.2</v>
      </c>
      <c r="O113">
        <v>58</v>
      </c>
      <c r="P113">
        <v>11.66</v>
      </c>
      <c r="Q113">
        <v>12.3</v>
      </c>
      <c r="R113">
        <v>2</v>
      </c>
      <c r="S113">
        <v>3.32</v>
      </c>
      <c r="T113">
        <v>0</v>
      </c>
    </row>
    <row r="114" spans="1:20" x14ac:dyDescent="0.3">
      <c r="A114">
        <v>113</v>
      </c>
      <c r="B114" t="s">
        <v>57</v>
      </c>
      <c r="C114">
        <v>27</v>
      </c>
      <c r="D114" t="s">
        <v>72</v>
      </c>
      <c r="E114" t="s">
        <v>74</v>
      </c>
      <c r="F114" t="s">
        <v>74</v>
      </c>
      <c r="G114">
        <v>0</v>
      </c>
      <c r="H114">
        <v>193.8</v>
      </c>
      <c r="I114">
        <v>102</v>
      </c>
      <c r="J114">
        <v>32.950000000000003</v>
      </c>
      <c r="K114">
        <v>118.9</v>
      </c>
      <c r="L114">
        <v>104</v>
      </c>
      <c r="M114">
        <v>10.11</v>
      </c>
      <c r="N114">
        <v>135.9</v>
      </c>
      <c r="O114">
        <v>124</v>
      </c>
      <c r="P114">
        <v>6.12</v>
      </c>
      <c r="Q114">
        <v>9.1999999999999993</v>
      </c>
      <c r="R114">
        <v>3</v>
      </c>
      <c r="S114">
        <v>2.48</v>
      </c>
      <c r="T114">
        <v>0</v>
      </c>
    </row>
    <row r="115" spans="1:20" x14ac:dyDescent="0.3">
      <c r="A115">
        <v>114</v>
      </c>
      <c r="B115" t="s">
        <v>54</v>
      </c>
      <c r="C115">
        <v>3</v>
      </c>
      <c r="D115" t="s">
        <v>71</v>
      </c>
      <c r="E115" t="s">
        <v>74</v>
      </c>
      <c r="F115" t="s">
        <v>75</v>
      </c>
      <c r="G115">
        <v>36</v>
      </c>
      <c r="H115">
        <v>118.1</v>
      </c>
      <c r="I115">
        <v>117</v>
      </c>
      <c r="J115">
        <v>20.079999999999998</v>
      </c>
      <c r="K115">
        <v>221.5</v>
      </c>
      <c r="L115">
        <v>125</v>
      </c>
      <c r="M115">
        <v>18.829999999999998</v>
      </c>
      <c r="N115">
        <v>103.9</v>
      </c>
      <c r="O115">
        <v>89</v>
      </c>
      <c r="P115">
        <v>4.68</v>
      </c>
      <c r="Q115">
        <v>11.9</v>
      </c>
      <c r="R115">
        <v>6</v>
      </c>
      <c r="S115">
        <v>3.21</v>
      </c>
      <c r="T115">
        <v>2</v>
      </c>
    </row>
    <row r="116" spans="1:20" x14ac:dyDescent="0.3">
      <c r="A116">
        <v>115</v>
      </c>
      <c r="B116" t="s">
        <v>36</v>
      </c>
      <c r="C116">
        <v>42</v>
      </c>
      <c r="D116" t="s">
        <v>73</v>
      </c>
      <c r="E116" t="s">
        <v>74</v>
      </c>
      <c r="F116" t="s">
        <v>74</v>
      </c>
      <c r="G116">
        <v>0</v>
      </c>
      <c r="H116">
        <v>241.2</v>
      </c>
      <c r="I116">
        <v>134</v>
      </c>
      <c r="J116">
        <v>41</v>
      </c>
      <c r="K116">
        <v>116.5</v>
      </c>
      <c r="L116">
        <v>114</v>
      </c>
      <c r="M116">
        <v>9.9</v>
      </c>
      <c r="N116">
        <v>152.19999999999999</v>
      </c>
      <c r="O116">
        <v>91</v>
      </c>
      <c r="P116">
        <v>6.85</v>
      </c>
      <c r="Q116">
        <v>10.6</v>
      </c>
      <c r="R116">
        <v>4</v>
      </c>
      <c r="S116">
        <v>2.86</v>
      </c>
      <c r="T116">
        <v>0</v>
      </c>
    </row>
    <row r="117" spans="1:20" x14ac:dyDescent="0.3">
      <c r="A117">
        <v>116</v>
      </c>
      <c r="B117" t="s">
        <v>32</v>
      </c>
      <c r="C117">
        <v>13</v>
      </c>
      <c r="D117" t="s">
        <v>72</v>
      </c>
      <c r="E117" t="s">
        <v>74</v>
      </c>
      <c r="F117" t="s">
        <v>75</v>
      </c>
      <c r="G117">
        <v>21</v>
      </c>
      <c r="H117">
        <v>315.60000000000002</v>
      </c>
      <c r="I117">
        <v>105</v>
      </c>
      <c r="J117">
        <v>53.65</v>
      </c>
      <c r="K117">
        <v>208.9</v>
      </c>
      <c r="L117">
        <v>71</v>
      </c>
      <c r="M117">
        <v>17.760000000000002</v>
      </c>
      <c r="N117">
        <v>260.10000000000002</v>
      </c>
      <c r="O117">
        <v>123</v>
      </c>
      <c r="P117">
        <v>11.7</v>
      </c>
      <c r="Q117">
        <v>12.1</v>
      </c>
      <c r="R117">
        <v>3</v>
      </c>
      <c r="S117">
        <v>3.27</v>
      </c>
      <c r="T117">
        <v>3</v>
      </c>
    </row>
    <row r="118" spans="1:20" x14ac:dyDescent="0.3">
      <c r="A118">
        <v>117</v>
      </c>
      <c r="B118" t="s">
        <v>20</v>
      </c>
      <c r="C118">
        <v>88</v>
      </c>
      <c r="D118" t="s">
        <v>71</v>
      </c>
      <c r="E118" t="s">
        <v>74</v>
      </c>
      <c r="F118" t="s">
        <v>74</v>
      </c>
      <c r="G118">
        <v>0</v>
      </c>
      <c r="H118">
        <v>189.8</v>
      </c>
      <c r="I118">
        <v>111</v>
      </c>
      <c r="J118">
        <v>32.270000000000003</v>
      </c>
      <c r="K118">
        <v>197.3</v>
      </c>
      <c r="L118">
        <v>101</v>
      </c>
      <c r="M118">
        <v>16.77</v>
      </c>
      <c r="N118">
        <v>234.5</v>
      </c>
      <c r="O118">
        <v>111</v>
      </c>
      <c r="P118">
        <v>10.55</v>
      </c>
      <c r="Q118">
        <v>14.9</v>
      </c>
      <c r="R118">
        <v>3</v>
      </c>
      <c r="S118">
        <v>4.0199999999999996</v>
      </c>
      <c r="T118">
        <v>2</v>
      </c>
    </row>
    <row r="119" spans="1:20" x14ac:dyDescent="0.3">
      <c r="A119">
        <v>118</v>
      </c>
      <c r="B119" t="s">
        <v>67</v>
      </c>
      <c r="C119">
        <v>99</v>
      </c>
      <c r="D119" t="s">
        <v>71</v>
      </c>
      <c r="E119" t="s">
        <v>74</v>
      </c>
      <c r="F119" t="s">
        <v>74</v>
      </c>
      <c r="G119">
        <v>0</v>
      </c>
      <c r="H119">
        <v>62.9</v>
      </c>
      <c r="I119">
        <v>81</v>
      </c>
      <c r="J119">
        <v>10.69</v>
      </c>
      <c r="K119">
        <v>231</v>
      </c>
      <c r="L119">
        <v>64</v>
      </c>
      <c r="M119">
        <v>19.64</v>
      </c>
      <c r="N119">
        <v>168.9</v>
      </c>
      <c r="O119">
        <v>121</v>
      </c>
      <c r="P119">
        <v>7.6</v>
      </c>
      <c r="Q119">
        <v>8.5</v>
      </c>
      <c r="R119">
        <v>5</v>
      </c>
      <c r="S119">
        <v>2.2999999999999998</v>
      </c>
      <c r="T119">
        <v>1</v>
      </c>
    </row>
    <row r="120" spans="1:20" x14ac:dyDescent="0.3">
      <c r="A120">
        <v>119</v>
      </c>
      <c r="B120" t="s">
        <v>30</v>
      </c>
      <c r="C120">
        <v>129</v>
      </c>
      <c r="D120" t="s">
        <v>72</v>
      </c>
      <c r="E120" t="s">
        <v>74</v>
      </c>
      <c r="F120" t="s">
        <v>74</v>
      </c>
      <c r="G120">
        <v>0</v>
      </c>
      <c r="H120">
        <v>143.69999999999999</v>
      </c>
      <c r="I120">
        <v>114</v>
      </c>
      <c r="J120">
        <v>24.43</v>
      </c>
      <c r="K120">
        <v>297.8</v>
      </c>
      <c r="L120">
        <v>98</v>
      </c>
      <c r="M120">
        <v>25.31</v>
      </c>
      <c r="N120">
        <v>212.6</v>
      </c>
      <c r="O120">
        <v>86</v>
      </c>
      <c r="P120">
        <v>9.57</v>
      </c>
      <c r="Q120">
        <v>11.4</v>
      </c>
      <c r="R120">
        <v>8</v>
      </c>
      <c r="S120">
        <v>3.08</v>
      </c>
      <c r="T120">
        <v>4</v>
      </c>
    </row>
    <row r="121" spans="1:20" x14ac:dyDescent="0.3">
      <c r="A121">
        <v>120</v>
      </c>
      <c r="B121" t="s">
        <v>40</v>
      </c>
      <c r="C121">
        <v>78</v>
      </c>
      <c r="D121" t="s">
        <v>72</v>
      </c>
      <c r="E121" t="s">
        <v>74</v>
      </c>
      <c r="F121" t="s">
        <v>74</v>
      </c>
      <c r="G121">
        <v>0</v>
      </c>
      <c r="H121">
        <v>137.4</v>
      </c>
      <c r="I121">
        <v>109</v>
      </c>
      <c r="J121">
        <v>23.36</v>
      </c>
      <c r="K121">
        <v>237.6</v>
      </c>
      <c r="L121">
        <v>49</v>
      </c>
      <c r="M121">
        <v>20.2</v>
      </c>
      <c r="N121">
        <v>206.7</v>
      </c>
      <c r="O121">
        <v>136</v>
      </c>
      <c r="P121">
        <v>9.3000000000000007</v>
      </c>
      <c r="Q121">
        <v>14</v>
      </c>
      <c r="R121">
        <v>11</v>
      </c>
      <c r="S121">
        <v>3.78</v>
      </c>
      <c r="T121">
        <v>3</v>
      </c>
    </row>
    <row r="122" spans="1:20" x14ac:dyDescent="0.3">
      <c r="A122">
        <v>121</v>
      </c>
      <c r="B122" t="s">
        <v>52</v>
      </c>
      <c r="C122">
        <v>85</v>
      </c>
      <c r="D122" t="s">
        <v>73</v>
      </c>
      <c r="E122" t="s">
        <v>74</v>
      </c>
      <c r="F122" t="s">
        <v>75</v>
      </c>
      <c r="G122">
        <v>37</v>
      </c>
      <c r="H122">
        <v>229.6</v>
      </c>
      <c r="I122">
        <v>123</v>
      </c>
      <c r="J122">
        <v>39.03</v>
      </c>
      <c r="K122">
        <v>132.30000000000001</v>
      </c>
      <c r="L122">
        <v>90</v>
      </c>
      <c r="M122">
        <v>11.25</v>
      </c>
      <c r="N122">
        <v>211.9</v>
      </c>
      <c r="O122">
        <v>76</v>
      </c>
      <c r="P122">
        <v>9.5399999999999991</v>
      </c>
      <c r="Q122">
        <v>9.5</v>
      </c>
      <c r="R122">
        <v>8</v>
      </c>
      <c r="S122">
        <v>2.57</v>
      </c>
      <c r="T122">
        <v>2</v>
      </c>
    </row>
    <row r="123" spans="1:20" x14ac:dyDescent="0.3">
      <c r="A123">
        <v>122</v>
      </c>
      <c r="B123" t="s">
        <v>42</v>
      </c>
      <c r="C123">
        <v>68</v>
      </c>
      <c r="D123" t="s">
        <v>71</v>
      </c>
      <c r="E123" t="s">
        <v>74</v>
      </c>
      <c r="F123" t="s">
        <v>74</v>
      </c>
      <c r="G123">
        <v>0</v>
      </c>
      <c r="H123">
        <v>162.1</v>
      </c>
      <c r="I123">
        <v>86</v>
      </c>
      <c r="J123">
        <v>27.56</v>
      </c>
      <c r="K123">
        <v>155</v>
      </c>
      <c r="L123">
        <v>86</v>
      </c>
      <c r="M123">
        <v>13.18</v>
      </c>
      <c r="N123">
        <v>189.7</v>
      </c>
      <c r="O123">
        <v>87</v>
      </c>
      <c r="P123">
        <v>8.5399999999999991</v>
      </c>
      <c r="Q123">
        <v>11</v>
      </c>
      <c r="R123">
        <v>9</v>
      </c>
      <c r="S123">
        <v>2.97</v>
      </c>
      <c r="T123">
        <v>5</v>
      </c>
    </row>
    <row r="124" spans="1:20" x14ac:dyDescent="0.3">
      <c r="A124">
        <v>123</v>
      </c>
      <c r="B124" t="s">
        <v>20</v>
      </c>
      <c r="C124">
        <v>68</v>
      </c>
      <c r="D124" t="s">
        <v>72</v>
      </c>
      <c r="E124" t="s">
        <v>74</v>
      </c>
      <c r="F124" t="s">
        <v>74</v>
      </c>
      <c r="G124">
        <v>0</v>
      </c>
      <c r="H124">
        <v>159.5</v>
      </c>
      <c r="I124">
        <v>123</v>
      </c>
      <c r="J124">
        <v>27.12</v>
      </c>
      <c r="K124">
        <v>240.8</v>
      </c>
      <c r="L124">
        <v>93</v>
      </c>
      <c r="M124">
        <v>20.47</v>
      </c>
      <c r="N124">
        <v>210.3</v>
      </c>
      <c r="O124">
        <v>76</v>
      </c>
      <c r="P124">
        <v>9.4600000000000009</v>
      </c>
      <c r="Q124">
        <v>11.4</v>
      </c>
      <c r="R124">
        <v>3</v>
      </c>
      <c r="S124">
        <v>3.08</v>
      </c>
      <c r="T124">
        <v>1</v>
      </c>
    </row>
    <row r="125" spans="1:20" x14ac:dyDescent="0.3">
      <c r="A125">
        <v>124</v>
      </c>
      <c r="B125" t="s">
        <v>57</v>
      </c>
      <c r="C125">
        <v>78</v>
      </c>
      <c r="D125" t="s">
        <v>71</v>
      </c>
      <c r="E125" t="s">
        <v>74</v>
      </c>
      <c r="F125" t="s">
        <v>74</v>
      </c>
      <c r="G125">
        <v>0</v>
      </c>
      <c r="H125">
        <v>191.7</v>
      </c>
      <c r="I125">
        <v>122</v>
      </c>
      <c r="J125">
        <v>32.590000000000003</v>
      </c>
      <c r="K125">
        <v>241.4</v>
      </c>
      <c r="L125">
        <v>88</v>
      </c>
      <c r="M125">
        <v>20.52</v>
      </c>
      <c r="N125">
        <v>203.5</v>
      </c>
      <c r="O125">
        <v>86</v>
      </c>
      <c r="P125">
        <v>9.16</v>
      </c>
      <c r="Q125">
        <v>9.1</v>
      </c>
      <c r="R125">
        <v>5</v>
      </c>
      <c r="S125">
        <v>2.46</v>
      </c>
      <c r="T125">
        <v>1</v>
      </c>
    </row>
    <row r="126" spans="1:20" x14ac:dyDescent="0.3">
      <c r="A126">
        <v>125</v>
      </c>
      <c r="B126" t="s">
        <v>52</v>
      </c>
      <c r="C126">
        <v>87</v>
      </c>
      <c r="D126" t="s">
        <v>72</v>
      </c>
      <c r="E126" t="s">
        <v>75</v>
      </c>
      <c r="F126" t="s">
        <v>74</v>
      </c>
      <c r="G126">
        <v>0</v>
      </c>
      <c r="H126">
        <v>167.3</v>
      </c>
      <c r="I126">
        <v>119</v>
      </c>
      <c r="J126">
        <v>28.44</v>
      </c>
      <c r="K126">
        <v>198.5</v>
      </c>
      <c r="L126">
        <v>119</v>
      </c>
      <c r="M126">
        <v>16.87</v>
      </c>
      <c r="N126">
        <v>133.1</v>
      </c>
      <c r="O126">
        <v>88</v>
      </c>
      <c r="P126">
        <v>5.99</v>
      </c>
      <c r="Q126">
        <v>11</v>
      </c>
      <c r="R126">
        <v>6</v>
      </c>
      <c r="S126">
        <v>2.97</v>
      </c>
      <c r="T126">
        <v>1</v>
      </c>
    </row>
    <row r="127" spans="1:20" x14ac:dyDescent="0.3">
      <c r="A127">
        <v>126</v>
      </c>
      <c r="B127" t="s">
        <v>58</v>
      </c>
      <c r="C127">
        <v>69</v>
      </c>
      <c r="D127" t="s">
        <v>71</v>
      </c>
      <c r="E127" t="s">
        <v>74</v>
      </c>
      <c r="F127" t="s">
        <v>74</v>
      </c>
      <c r="G127">
        <v>0</v>
      </c>
      <c r="H127">
        <v>167.5</v>
      </c>
      <c r="I127">
        <v>76</v>
      </c>
      <c r="J127">
        <v>28.48</v>
      </c>
      <c r="K127">
        <v>242.1</v>
      </c>
      <c r="L127">
        <v>92</v>
      </c>
      <c r="M127">
        <v>20.58</v>
      </c>
      <c r="N127">
        <v>101.2</v>
      </c>
      <c r="O127">
        <v>103</v>
      </c>
      <c r="P127">
        <v>4.55</v>
      </c>
      <c r="Q127">
        <v>11.4</v>
      </c>
      <c r="R127">
        <v>4</v>
      </c>
      <c r="S127">
        <v>3.08</v>
      </c>
      <c r="T127">
        <v>2</v>
      </c>
    </row>
    <row r="128" spans="1:20" x14ac:dyDescent="0.3">
      <c r="A128">
        <v>127</v>
      </c>
      <c r="B128" t="s">
        <v>60</v>
      </c>
      <c r="C128">
        <v>113</v>
      </c>
      <c r="D128" t="s">
        <v>71</v>
      </c>
      <c r="E128" t="s">
        <v>74</v>
      </c>
      <c r="F128" t="s">
        <v>74</v>
      </c>
      <c r="G128">
        <v>0</v>
      </c>
      <c r="H128">
        <v>187.6</v>
      </c>
      <c r="I128">
        <v>97</v>
      </c>
      <c r="J128">
        <v>31.89</v>
      </c>
      <c r="K128">
        <v>208.2</v>
      </c>
      <c r="L128">
        <v>118</v>
      </c>
      <c r="M128">
        <v>17.7</v>
      </c>
      <c r="N128">
        <v>158.9</v>
      </c>
      <c r="O128">
        <v>101</v>
      </c>
      <c r="P128">
        <v>7.15</v>
      </c>
      <c r="Q128">
        <v>8.6999999999999993</v>
      </c>
      <c r="R128">
        <v>6</v>
      </c>
      <c r="S128">
        <v>2.35</v>
      </c>
      <c r="T128">
        <v>2</v>
      </c>
    </row>
    <row r="129" spans="1:20" x14ac:dyDescent="0.3">
      <c r="A129">
        <v>128</v>
      </c>
      <c r="B129" t="s">
        <v>58</v>
      </c>
      <c r="C129">
        <v>80</v>
      </c>
      <c r="D129" t="s">
        <v>71</v>
      </c>
      <c r="E129" t="s">
        <v>74</v>
      </c>
      <c r="F129" t="s">
        <v>74</v>
      </c>
      <c r="G129">
        <v>0</v>
      </c>
      <c r="H129">
        <v>161.1</v>
      </c>
      <c r="I129">
        <v>99</v>
      </c>
      <c r="J129">
        <v>27.39</v>
      </c>
      <c r="K129">
        <v>198.8</v>
      </c>
      <c r="L129">
        <v>81</v>
      </c>
      <c r="M129">
        <v>16.899999999999999</v>
      </c>
      <c r="N129">
        <v>228.4</v>
      </c>
      <c r="O129">
        <v>116</v>
      </c>
      <c r="P129">
        <v>10.28</v>
      </c>
      <c r="Q129">
        <v>10.6</v>
      </c>
      <c r="R129">
        <v>4</v>
      </c>
      <c r="S129">
        <v>2.86</v>
      </c>
      <c r="T129">
        <v>1</v>
      </c>
    </row>
    <row r="130" spans="1:20" x14ac:dyDescent="0.3">
      <c r="A130">
        <v>129</v>
      </c>
      <c r="B130" t="s">
        <v>53</v>
      </c>
      <c r="C130">
        <v>107</v>
      </c>
      <c r="D130" t="s">
        <v>72</v>
      </c>
      <c r="E130" t="s">
        <v>75</v>
      </c>
      <c r="F130" t="s">
        <v>74</v>
      </c>
      <c r="G130">
        <v>0</v>
      </c>
      <c r="H130">
        <v>273.5</v>
      </c>
      <c r="I130">
        <v>104</v>
      </c>
      <c r="J130">
        <v>46.5</v>
      </c>
      <c r="K130">
        <v>183.8</v>
      </c>
      <c r="L130">
        <v>68</v>
      </c>
      <c r="M130">
        <v>15.62</v>
      </c>
      <c r="N130">
        <v>153.80000000000001</v>
      </c>
      <c r="O130">
        <v>67</v>
      </c>
      <c r="P130">
        <v>6.92</v>
      </c>
      <c r="Q130">
        <v>11</v>
      </c>
      <c r="R130">
        <v>9</v>
      </c>
      <c r="S130">
        <v>2.97</v>
      </c>
      <c r="T130">
        <v>2</v>
      </c>
    </row>
    <row r="131" spans="1:20" x14ac:dyDescent="0.3">
      <c r="A131">
        <v>130</v>
      </c>
      <c r="B131" t="s">
        <v>56</v>
      </c>
      <c r="C131">
        <v>85</v>
      </c>
      <c r="D131" t="s">
        <v>73</v>
      </c>
      <c r="E131" t="s">
        <v>74</v>
      </c>
      <c r="F131" t="s">
        <v>74</v>
      </c>
      <c r="G131">
        <v>0</v>
      </c>
      <c r="H131">
        <v>209.8</v>
      </c>
      <c r="I131">
        <v>82</v>
      </c>
      <c r="J131">
        <v>35.67</v>
      </c>
      <c r="K131">
        <v>194.5</v>
      </c>
      <c r="L131">
        <v>94</v>
      </c>
      <c r="M131">
        <v>16.53</v>
      </c>
      <c r="N131">
        <v>200.4</v>
      </c>
      <c r="O131">
        <v>85</v>
      </c>
      <c r="P131">
        <v>9.02</v>
      </c>
      <c r="Q131">
        <v>11.3</v>
      </c>
      <c r="R131">
        <v>3</v>
      </c>
      <c r="S131">
        <v>3.05</v>
      </c>
      <c r="T131">
        <v>0</v>
      </c>
    </row>
    <row r="132" spans="1:20" x14ac:dyDescent="0.3">
      <c r="A132">
        <v>131</v>
      </c>
      <c r="B132" t="s">
        <v>31</v>
      </c>
      <c r="C132">
        <v>45</v>
      </c>
      <c r="D132" t="s">
        <v>73</v>
      </c>
      <c r="E132" t="s">
        <v>74</v>
      </c>
      <c r="F132" t="s">
        <v>74</v>
      </c>
      <c r="G132">
        <v>0</v>
      </c>
      <c r="H132">
        <v>112.8</v>
      </c>
      <c r="I132">
        <v>108</v>
      </c>
      <c r="J132">
        <v>19.18</v>
      </c>
      <c r="K132">
        <v>218.8</v>
      </c>
      <c r="L132">
        <v>120</v>
      </c>
      <c r="M132">
        <v>18.600000000000001</v>
      </c>
      <c r="N132">
        <v>240.2</v>
      </c>
      <c r="O132">
        <v>106</v>
      </c>
      <c r="P132">
        <v>10.81</v>
      </c>
      <c r="Q132">
        <v>9</v>
      </c>
      <c r="R132">
        <v>3</v>
      </c>
      <c r="S132">
        <v>2.4300000000000002</v>
      </c>
      <c r="T132">
        <v>2</v>
      </c>
    </row>
    <row r="133" spans="1:20" x14ac:dyDescent="0.3">
      <c r="A133">
        <v>132</v>
      </c>
      <c r="B133" t="s">
        <v>65</v>
      </c>
      <c r="C133">
        <v>137</v>
      </c>
      <c r="D133" t="s">
        <v>73</v>
      </c>
      <c r="E133" t="s">
        <v>74</v>
      </c>
      <c r="F133" t="s">
        <v>74</v>
      </c>
      <c r="G133">
        <v>0</v>
      </c>
      <c r="H133">
        <v>174.4</v>
      </c>
      <c r="I133">
        <v>120</v>
      </c>
      <c r="J133">
        <v>29.65</v>
      </c>
      <c r="K133">
        <v>156.30000000000001</v>
      </c>
      <c r="L133">
        <v>98</v>
      </c>
      <c r="M133">
        <v>13.29</v>
      </c>
      <c r="N133">
        <v>136.5</v>
      </c>
      <c r="O133">
        <v>121</v>
      </c>
      <c r="P133">
        <v>6.14</v>
      </c>
      <c r="Q133">
        <v>10.199999999999999</v>
      </c>
      <c r="R133">
        <v>5</v>
      </c>
      <c r="S133">
        <v>2.75</v>
      </c>
      <c r="T133">
        <v>0</v>
      </c>
    </row>
    <row r="134" spans="1:20" x14ac:dyDescent="0.3">
      <c r="A134">
        <v>133</v>
      </c>
      <c r="B134" t="s">
        <v>61</v>
      </c>
      <c r="C134">
        <v>61</v>
      </c>
      <c r="D134" t="s">
        <v>72</v>
      </c>
      <c r="E134" t="s">
        <v>75</v>
      </c>
      <c r="F134" t="s">
        <v>75</v>
      </c>
      <c r="G134">
        <v>16</v>
      </c>
      <c r="H134">
        <v>143.5</v>
      </c>
      <c r="I134">
        <v>76</v>
      </c>
      <c r="J134">
        <v>24.4</v>
      </c>
      <c r="K134">
        <v>242.6</v>
      </c>
      <c r="L134">
        <v>58</v>
      </c>
      <c r="M134">
        <v>20.62</v>
      </c>
      <c r="N134">
        <v>147.69999999999999</v>
      </c>
      <c r="O134">
        <v>95</v>
      </c>
      <c r="P134">
        <v>6.65</v>
      </c>
      <c r="Q134">
        <v>11.3</v>
      </c>
      <c r="R134">
        <v>3</v>
      </c>
      <c r="S134">
        <v>3.05</v>
      </c>
      <c r="T134">
        <v>0</v>
      </c>
    </row>
    <row r="135" spans="1:20" x14ac:dyDescent="0.3">
      <c r="A135">
        <v>134</v>
      </c>
      <c r="B135" t="s">
        <v>21</v>
      </c>
      <c r="C135">
        <v>134</v>
      </c>
      <c r="D135" t="s">
        <v>71</v>
      </c>
      <c r="E135" t="s">
        <v>74</v>
      </c>
      <c r="F135" t="s">
        <v>74</v>
      </c>
      <c r="G135">
        <v>0</v>
      </c>
      <c r="H135">
        <v>178</v>
      </c>
      <c r="I135">
        <v>110</v>
      </c>
      <c r="J135">
        <v>30.26</v>
      </c>
      <c r="K135">
        <v>153.80000000000001</v>
      </c>
      <c r="L135">
        <v>64</v>
      </c>
      <c r="M135">
        <v>13.07</v>
      </c>
      <c r="N135">
        <v>236.6</v>
      </c>
      <c r="O135">
        <v>105</v>
      </c>
      <c r="P135">
        <v>10.65</v>
      </c>
      <c r="Q135">
        <v>11.7</v>
      </c>
      <c r="R135">
        <v>4</v>
      </c>
      <c r="S135">
        <v>3.16</v>
      </c>
      <c r="T135">
        <v>1</v>
      </c>
    </row>
    <row r="136" spans="1:20" x14ac:dyDescent="0.3">
      <c r="A136">
        <v>135</v>
      </c>
      <c r="B136" t="s">
        <v>45</v>
      </c>
      <c r="C136">
        <v>147</v>
      </c>
      <c r="D136" t="s">
        <v>72</v>
      </c>
      <c r="E136" t="s">
        <v>74</v>
      </c>
      <c r="F136" t="s">
        <v>74</v>
      </c>
      <c r="G136">
        <v>0</v>
      </c>
      <c r="H136">
        <v>209.4</v>
      </c>
      <c r="I136">
        <v>104</v>
      </c>
      <c r="J136">
        <v>35.6</v>
      </c>
      <c r="K136">
        <v>132.5</v>
      </c>
      <c r="L136">
        <v>78</v>
      </c>
      <c r="M136">
        <v>11.26</v>
      </c>
      <c r="N136">
        <v>149.4</v>
      </c>
      <c r="O136">
        <v>123</v>
      </c>
      <c r="P136">
        <v>6.72</v>
      </c>
      <c r="Q136">
        <v>11.3</v>
      </c>
      <c r="R136">
        <v>3</v>
      </c>
      <c r="S136">
        <v>3.05</v>
      </c>
      <c r="T136">
        <v>2</v>
      </c>
    </row>
    <row r="137" spans="1:20" x14ac:dyDescent="0.3">
      <c r="A137">
        <v>136</v>
      </c>
      <c r="B137" t="s">
        <v>25</v>
      </c>
      <c r="C137">
        <v>138</v>
      </c>
      <c r="D137" t="s">
        <v>72</v>
      </c>
      <c r="E137" t="s">
        <v>75</v>
      </c>
      <c r="F137" t="s">
        <v>74</v>
      </c>
      <c r="G137">
        <v>0</v>
      </c>
      <c r="H137">
        <v>169.3</v>
      </c>
      <c r="I137">
        <v>82</v>
      </c>
      <c r="J137">
        <v>28.78</v>
      </c>
      <c r="K137">
        <v>217.9</v>
      </c>
      <c r="L137">
        <v>147</v>
      </c>
      <c r="M137">
        <v>18.52</v>
      </c>
      <c r="N137">
        <v>184.2</v>
      </c>
      <c r="O137">
        <v>77</v>
      </c>
      <c r="P137">
        <v>8.2899999999999991</v>
      </c>
      <c r="Q137">
        <v>9.4</v>
      </c>
      <c r="R137">
        <v>9</v>
      </c>
      <c r="S137">
        <v>2.54</v>
      </c>
      <c r="T137">
        <v>1</v>
      </c>
    </row>
    <row r="138" spans="1:20" x14ac:dyDescent="0.3">
      <c r="A138">
        <v>137</v>
      </c>
      <c r="B138" t="s">
        <v>63</v>
      </c>
      <c r="C138">
        <v>88</v>
      </c>
      <c r="D138" t="s">
        <v>71</v>
      </c>
      <c r="E138" t="s">
        <v>74</v>
      </c>
      <c r="F138" t="s">
        <v>75</v>
      </c>
      <c r="G138">
        <v>17</v>
      </c>
      <c r="H138">
        <v>219.5</v>
      </c>
      <c r="I138">
        <v>78</v>
      </c>
      <c r="J138">
        <v>37.32</v>
      </c>
      <c r="K138">
        <v>222.1</v>
      </c>
      <c r="L138">
        <v>94</v>
      </c>
      <c r="M138">
        <v>18.88</v>
      </c>
      <c r="N138">
        <v>188.3</v>
      </c>
      <c r="O138">
        <v>92</v>
      </c>
      <c r="P138">
        <v>8.4700000000000006</v>
      </c>
      <c r="Q138">
        <v>16.100000000000001</v>
      </c>
      <c r="R138">
        <v>5</v>
      </c>
      <c r="S138">
        <v>4.3499999999999996</v>
      </c>
      <c r="T138">
        <v>1</v>
      </c>
    </row>
    <row r="139" spans="1:20" x14ac:dyDescent="0.3">
      <c r="A139">
        <v>138</v>
      </c>
      <c r="B139" t="s">
        <v>39</v>
      </c>
      <c r="C139">
        <v>144</v>
      </c>
      <c r="D139" t="s">
        <v>71</v>
      </c>
      <c r="E139" t="s">
        <v>74</v>
      </c>
      <c r="F139" t="s">
        <v>75</v>
      </c>
      <c r="G139">
        <v>51</v>
      </c>
      <c r="H139">
        <v>283.89999999999998</v>
      </c>
      <c r="I139">
        <v>98</v>
      </c>
      <c r="J139">
        <v>48.26</v>
      </c>
      <c r="K139">
        <v>192</v>
      </c>
      <c r="L139">
        <v>109</v>
      </c>
      <c r="M139">
        <v>16.32</v>
      </c>
      <c r="N139">
        <v>196.3</v>
      </c>
      <c r="O139">
        <v>85</v>
      </c>
      <c r="P139">
        <v>8.83</v>
      </c>
      <c r="Q139">
        <v>10</v>
      </c>
      <c r="R139">
        <v>4</v>
      </c>
      <c r="S139">
        <v>2.7</v>
      </c>
      <c r="T139">
        <v>1</v>
      </c>
    </row>
    <row r="140" spans="1:20" x14ac:dyDescent="0.3">
      <c r="A140">
        <v>139</v>
      </c>
      <c r="B140" t="s">
        <v>37</v>
      </c>
      <c r="C140">
        <v>120</v>
      </c>
      <c r="D140" t="s">
        <v>71</v>
      </c>
      <c r="E140" t="s">
        <v>74</v>
      </c>
      <c r="F140" t="s">
        <v>75</v>
      </c>
      <c r="G140">
        <v>24</v>
      </c>
      <c r="H140">
        <v>212.7</v>
      </c>
      <c r="I140">
        <v>73</v>
      </c>
      <c r="J140">
        <v>36.159999999999997</v>
      </c>
      <c r="K140">
        <v>257.5</v>
      </c>
      <c r="L140">
        <v>103</v>
      </c>
      <c r="M140">
        <v>21.89</v>
      </c>
      <c r="N140">
        <v>227.8</v>
      </c>
      <c r="O140">
        <v>119</v>
      </c>
      <c r="P140">
        <v>10.25</v>
      </c>
      <c r="Q140">
        <v>9.6999999999999993</v>
      </c>
      <c r="R140">
        <v>13</v>
      </c>
      <c r="S140">
        <v>2.62</v>
      </c>
      <c r="T140">
        <v>2</v>
      </c>
    </row>
    <row r="141" spans="1:20" x14ac:dyDescent="0.3">
      <c r="A141">
        <v>140</v>
      </c>
      <c r="B141" t="s">
        <v>61</v>
      </c>
      <c r="C141">
        <v>123</v>
      </c>
      <c r="D141" t="s">
        <v>73</v>
      </c>
      <c r="E141" t="s">
        <v>74</v>
      </c>
      <c r="F141" t="s">
        <v>74</v>
      </c>
      <c r="G141">
        <v>0</v>
      </c>
      <c r="H141">
        <v>105</v>
      </c>
      <c r="I141">
        <v>150</v>
      </c>
      <c r="J141">
        <v>17.850000000000001</v>
      </c>
      <c r="K141">
        <v>251.6</v>
      </c>
      <c r="L141">
        <v>90</v>
      </c>
      <c r="M141">
        <v>21.39</v>
      </c>
      <c r="N141">
        <v>258</v>
      </c>
      <c r="O141">
        <v>93</v>
      </c>
      <c r="P141">
        <v>11.61</v>
      </c>
      <c r="Q141">
        <v>14.9</v>
      </c>
      <c r="R141">
        <v>5</v>
      </c>
      <c r="S141">
        <v>4.0199999999999996</v>
      </c>
      <c r="T141">
        <v>0</v>
      </c>
    </row>
    <row r="142" spans="1:20" x14ac:dyDescent="0.3">
      <c r="A142">
        <v>141</v>
      </c>
      <c r="B142" t="s">
        <v>36</v>
      </c>
      <c r="C142">
        <v>98</v>
      </c>
      <c r="D142" t="s">
        <v>72</v>
      </c>
      <c r="E142" t="s">
        <v>74</v>
      </c>
      <c r="F142" t="s">
        <v>74</v>
      </c>
      <c r="G142">
        <v>0</v>
      </c>
      <c r="H142">
        <v>271.39999999999998</v>
      </c>
      <c r="I142">
        <v>119</v>
      </c>
      <c r="J142">
        <v>46.14</v>
      </c>
      <c r="K142">
        <v>190.4</v>
      </c>
      <c r="L142">
        <v>102</v>
      </c>
      <c r="M142">
        <v>16.18</v>
      </c>
      <c r="N142">
        <v>284.7</v>
      </c>
      <c r="O142">
        <v>118</v>
      </c>
      <c r="P142">
        <v>12.81</v>
      </c>
      <c r="Q142">
        <v>11.1</v>
      </c>
      <c r="R142">
        <v>6</v>
      </c>
      <c r="S142">
        <v>3</v>
      </c>
      <c r="T142">
        <v>4</v>
      </c>
    </row>
    <row r="143" spans="1:20" x14ac:dyDescent="0.3">
      <c r="A143">
        <v>142</v>
      </c>
      <c r="B143" t="s">
        <v>41</v>
      </c>
      <c r="C143">
        <v>103</v>
      </c>
      <c r="D143" t="s">
        <v>71</v>
      </c>
      <c r="E143" t="s">
        <v>74</v>
      </c>
      <c r="F143" t="s">
        <v>74</v>
      </c>
      <c r="G143">
        <v>0</v>
      </c>
      <c r="H143">
        <v>204.9</v>
      </c>
      <c r="I143">
        <v>107</v>
      </c>
      <c r="J143">
        <v>34.83</v>
      </c>
      <c r="K143">
        <v>135.19999999999999</v>
      </c>
      <c r="L143">
        <v>102</v>
      </c>
      <c r="M143">
        <v>11.49</v>
      </c>
      <c r="N143">
        <v>208.2</v>
      </c>
      <c r="O143">
        <v>106</v>
      </c>
      <c r="P143">
        <v>9.3699999999999992</v>
      </c>
      <c r="Q143">
        <v>10.4</v>
      </c>
      <c r="R143">
        <v>3</v>
      </c>
      <c r="S143">
        <v>2.81</v>
      </c>
      <c r="T143">
        <v>5</v>
      </c>
    </row>
    <row r="144" spans="1:20" x14ac:dyDescent="0.3">
      <c r="A144">
        <v>143</v>
      </c>
      <c r="B144" t="s">
        <v>67</v>
      </c>
      <c r="C144">
        <v>132</v>
      </c>
      <c r="D144" t="s">
        <v>71</v>
      </c>
      <c r="E144" t="s">
        <v>74</v>
      </c>
      <c r="F144" t="s">
        <v>75</v>
      </c>
      <c r="G144">
        <v>15</v>
      </c>
      <c r="H144">
        <v>154.6</v>
      </c>
      <c r="I144">
        <v>128</v>
      </c>
      <c r="J144">
        <v>26.28</v>
      </c>
      <c r="K144">
        <v>245.6</v>
      </c>
      <c r="L144">
        <v>106</v>
      </c>
      <c r="M144">
        <v>20.88</v>
      </c>
      <c r="N144">
        <v>148.6</v>
      </c>
      <c r="O144">
        <v>90</v>
      </c>
      <c r="P144">
        <v>6.69</v>
      </c>
      <c r="Q144">
        <v>9.1</v>
      </c>
      <c r="R144">
        <v>4</v>
      </c>
      <c r="S144">
        <v>2.46</v>
      </c>
      <c r="T144">
        <v>1</v>
      </c>
    </row>
    <row r="145" spans="1:20" x14ac:dyDescent="0.3">
      <c r="A145">
        <v>144</v>
      </c>
      <c r="B145" t="s">
        <v>27</v>
      </c>
      <c r="C145">
        <v>86</v>
      </c>
      <c r="D145" t="s">
        <v>72</v>
      </c>
      <c r="E145" t="s">
        <v>74</v>
      </c>
      <c r="F145" t="s">
        <v>74</v>
      </c>
      <c r="G145">
        <v>0</v>
      </c>
      <c r="H145">
        <v>124.1</v>
      </c>
      <c r="I145">
        <v>82</v>
      </c>
      <c r="J145">
        <v>21.1</v>
      </c>
      <c r="K145">
        <v>202.6</v>
      </c>
      <c r="L145">
        <v>120</v>
      </c>
      <c r="M145">
        <v>17.22</v>
      </c>
      <c r="N145">
        <v>289.60000000000002</v>
      </c>
      <c r="O145">
        <v>119</v>
      </c>
      <c r="P145">
        <v>13.03</v>
      </c>
      <c r="Q145">
        <v>6.7</v>
      </c>
      <c r="R145">
        <v>8</v>
      </c>
      <c r="S145">
        <v>1.81</v>
      </c>
      <c r="T145">
        <v>3</v>
      </c>
    </row>
    <row r="146" spans="1:20" x14ac:dyDescent="0.3">
      <c r="A146">
        <v>145</v>
      </c>
      <c r="B146" t="s">
        <v>33</v>
      </c>
      <c r="C146">
        <v>104</v>
      </c>
      <c r="D146" t="s">
        <v>71</v>
      </c>
      <c r="E146" t="s">
        <v>74</v>
      </c>
      <c r="F146" t="s">
        <v>74</v>
      </c>
      <c r="G146">
        <v>0</v>
      </c>
      <c r="H146">
        <v>182.9</v>
      </c>
      <c r="I146">
        <v>113</v>
      </c>
      <c r="J146">
        <v>31.09</v>
      </c>
      <c r="K146">
        <v>239.6</v>
      </c>
      <c r="L146">
        <v>85</v>
      </c>
      <c r="M146">
        <v>20.37</v>
      </c>
      <c r="N146">
        <v>229.8</v>
      </c>
      <c r="O146">
        <v>104</v>
      </c>
      <c r="P146">
        <v>10.34</v>
      </c>
      <c r="Q146">
        <v>5.5</v>
      </c>
      <c r="R146">
        <v>4</v>
      </c>
      <c r="S146">
        <v>1.49</v>
      </c>
      <c r="T146">
        <v>2</v>
      </c>
    </row>
    <row r="147" spans="1:20" x14ac:dyDescent="0.3">
      <c r="A147">
        <v>146</v>
      </c>
      <c r="B147" t="s">
        <v>49</v>
      </c>
      <c r="C147">
        <v>106</v>
      </c>
      <c r="D147" t="s">
        <v>71</v>
      </c>
      <c r="E147" t="s">
        <v>74</v>
      </c>
      <c r="F147" t="s">
        <v>74</v>
      </c>
      <c r="G147">
        <v>0</v>
      </c>
      <c r="H147">
        <v>165.3</v>
      </c>
      <c r="I147">
        <v>118</v>
      </c>
      <c r="J147">
        <v>28.1</v>
      </c>
      <c r="K147">
        <v>210</v>
      </c>
      <c r="L147">
        <v>101</v>
      </c>
      <c r="M147">
        <v>17.850000000000001</v>
      </c>
      <c r="N147">
        <v>187.2</v>
      </c>
      <c r="O147">
        <v>93</v>
      </c>
      <c r="P147">
        <v>8.42</v>
      </c>
      <c r="Q147">
        <v>8.5</v>
      </c>
      <c r="R147">
        <v>3</v>
      </c>
      <c r="S147">
        <v>2.2999999999999998</v>
      </c>
      <c r="T147">
        <v>2</v>
      </c>
    </row>
    <row r="148" spans="1:20" x14ac:dyDescent="0.3">
      <c r="A148">
        <v>147</v>
      </c>
      <c r="B148" t="s">
        <v>30</v>
      </c>
      <c r="C148">
        <v>125</v>
      </c>
      <c r="D148" t="s">
        <v>71</v>
      </c>
      <c r="E148" t="s">
        <v>74</v>
      </c>
      <c r="F148" t="s">
        <v>74</v>
      </c>
      <c r="G148">
        <v>0</v>
      </c>
      <c r="H148">
        <v>140.1</v>
      </c>
      <c r="I148">
        <v>132</v>
      </c>
      <c r="J148">
        <v>23.82</v>
      </c>
      <c r="K148">
        <v>209.6</v>
      </c>
      <c r="L148">
        <v>126</v>
      </c>
      <c r="M148">
        <v>17.82</v>
      </c>
      <c r="N148">
        <v>264.10000000000002</v>
      </c>
      <c r="O148">
        <v>77</v>
      </c>
      <c r="P148">
        <v>11.88</v>
      </c>
      <c r="Q148">
        <v>8</v>
      </c>
      <c r="R148">
        <v>2</v>
      </c>
      <c r="S148">
        <v>2.16</v>
      </c>
      <c r="T148">
        <v>1</v>
      </c>
    </row>
    <row r="149" spans="1:20" x14ac:dyDescent="0.3">
      <c r="A149">
        <v>148</v>
      </c>
      <c r="B149" t="s">
        <v>50</v>
      </c>
      <c r="C149">
        <v>72</v>
      </c>
      <c r="D149" t="s">
        <v>72</v>
      </c>
      <c r="E149" t="s">
        <v>75</v>
      </c>
      <c r="F149" t="s">
        <v>75</v>
      </c>
      <c r="G149">
        <v>29</v>
      </c>
      <c r="H149">
        <v>139.80000000000001</v>
      </c>
      <c r="I149">
        <v>114</v>
      </c>
      <c r="J149">
        <v>23.77</v>
      </c>
      <c r="K149">
        <v>138.19999999999999</v>
      </c>
      <c r="L149">
        <v>91</v>
      </c>
      <c r="M149">
        <v>11.75</v>
      </c>
      <c r="N149">
        <v>221</v>
      </c>
      <c r="O149">
        <v>88</v>
      </c>
      <c r="P149">
        <v>9.9499999999999993</v>
      </c>
      <c r="Q149">
        <v>5.5</v>
      </c>
      <c r="R149">
        <v>6</v>
      </c>
      <c r="S149">
        <v>1.49</v>
      </c>
      <c r="T149">
        <v>0</v>
      </c>
    </row>
    <row r="150" spans="1:20" x14ac:dyDescent="0.3">
      <c r="A150">
        <v>149</v>
      </c>
      <c r="B150" t="s">
        <v>23</v>
      </c>
      <c r="C150">
        <v>73</v>
      </c>
      <c r="D150" t="s">
        <v>73</v>
      </c>
      <c r="E150" t="s">
        <v>74</v>
      </c>
      <c r="F150" t="s">
        <v>74</v>
      </c>
      <c r="G150">
        <v>0</v>
      </c>
      <c r="H150">
        <v>213</v>
      </c>
      <c r="I150">
        <v>95</v>
      </c>
      <c r="J150">
        <v>36.21</v>
      </c>
      <c r="K150">
        <v>188.8</v>
      </c>
      <c r="L150">
        <v>104</v>
      </c>
      <c r="M150">
        <v>16.05</v>
      </c>
      <c r="N150">
        <v>136.19999999999999</v>
      </c>
      <c r="O150">
        <v>89</v>
      </c>
      <c r="P150">
        <v>6.13</v>
      </c>
      <c r="Q150">
        <v>13.5</v>
      </c>
      <c r="R150">
        <v>3</v>
      </c>
      <c r="S150">
        <v>3.65</v>
      </c>
      <c r="T150">
        <v>0</v>
      </c>
    </row>
    <row r="151" spans="1:20" x14ac:dyDescent="0.3">
      <c r="A151">
        <v>150</v>
      </c>
      <c r="B151" t="s">
        <v>62</v>
      </c>
      <c r="C151">
        <v>118</v>
      </c>
      <c r="D151" t="s">
        <v>71</v>
      </c>
      <c r="E151" t="s">
        <v>74</v>
      </c>
      <c r="F151" t="s">
        <v>74</v>
      </c>
      <c r="G151">
        <v>0</v>
      </c>
      <c r="H151">
        <v>267.8</v>
      </c>
      <c r="I151">
        <v>145</v>
      </c>
      <c r="J151">
        <v>45.53</v>
      </c>
      <c r="K151">
        <v>316.39999999999998</v>
      </c>
      <c r="L151">
        <v>121</v>
      </c>
      <c r="M151">
        <v>26.89</v>
      </c>
      <c r="N151">
        <v>208.6</v>
      </c>
      <c r="O151">
        <v>91</v>
      </c>
      <c r="P151">
        <v>9.39</v>
      </c>
      <c r="Q151">
        <v>14.4</v>
      </c>
      <c r="R151">
        <v>11</v>
      </c>
      <c r="S151">
        <v>3.89</v>
      </c>
      <c r="T151">
        <v>5</v>
      </c>
    </row>
    <row r="152" spans="1:20" x14ac:dyDescent="0.3">
      <c r="A152">
        <v>151</v>
      </c>
      <c r="B152" t="s">
        <v>30</v>
      </c>
      <c r="C152">
        <v>105</v>
      </c>
      <c r="D152" t="s">
        <v>71</v>
      </c>
      <c r="E152" t="s">
        <v>74</v>
      </c>
      <c r="F152" t="s">
        <v>74</v>
      </c>
      <c r="G152">
        <v>0</v>
      </c>
      <c r="H152">
        <v>102.8</v>
      </c>
      <c r="I152">
        <v>74</v>
      </c>
      <c r="J152">
        <v>17.48</v>
      </c>
      <c r="K152">
        <v>281.7</v>
      </c>
      <c r="L152">
        <v>125</v>
      </c>
      <c r="M152">
        <v>23.94</v>
      </c>
      <c r="N152">
        <v>228.1</v>
      </c>
      <c r="O152">
        <v>113</v>
      </c>
      <c r="P152">
        <v>10.26</v>
      </c>
      <c r="Q152">
        <v>13.2</v>
      </c>
      <c r="R152">
        <v>5</v>
      </c>
      <c r="S152">
        <v>3.56</v>
      </c>
      <c r="T152">
        <v>2</v>
      </c>
    </row>
    <row r="153" spans="1:20" x14ac:dyDescent="0.3">
      <c r="A153">
        <v>152</v>
      </c>
      <c r="B153" t="s">
        <v>31</v>
      </c>
      <c r="C153">
        <v>80</v>
      </c>
      <c r="D153" t="s">
        <v>71</v>
      </c>
      <c r="E153" t="s">
        <v>74</v>
      </c>
      <c r="F153" t="s">
        <v>74</v>
      </c>
      <c r="G153">
        <v>0</v>
      </c>
      <c r="H153">
        <v>239.9</v>
      </c>
      <c r="I153">
        <v>121</v>
      </c>
      <c r="J153">
        <v>40.78</v>
      </c>
      <c r="K153">
        <v>142.30000000000001</v>
      </c>
      <c r="L153">
        <v>51</v>
      </c>
      <c r="M153">
        <v>12.1</v>
      </c>
      <c r="N153">
        <v>364.3</v>
      </c>
      <c r="O153">
        <v>106</v>
      </c>
      <c r="P153">
        <v>16.39</v>
      </c>
      <c r="Q153">
        <v>9.3000000000000007</v>
      </c>
      <c r="R153">
        <v>5</v>
      </c>
      <c r="S153">
        <v>2.5099999999999998</v>
      </c>
      <c r="T153">
        <v>1</v>
      </c>
    </row>
    <row r="154" spans="1:20" x14ac:dyDescent="0.3">
      <c r="A154">
        <v>153</v>
      </c>
      <c r="B154" t="s">
        <v>59</v>
      </c>
      <c r="C154">
        <v>205</v>
      </c>
      <c r="D154" t="s">
        <v>72</v>
      </c>
      <c r="E154" t="s">
        <v>74</v>
      </c>
      <c r="F154" t="s">
        <v>75</v>
      </c>
      <c r="G154">
        <v>24</v>
      </c>
      <c r="H154">
        <v>175.8</v>
      </c>
      <c r="I154">
        <v>139</v>
      </c>
      <c r="J154">
        <v>29.89</v>
      </c>
      <c r="K154">
        <v>155</v>
      </c>
      <c r="L154">
        <v>98</v>
      </c>
      <c r="M154">
        <v>13.18</v>
      </c>
      <c r="N154">
        <v>180.7</v>
      </c>
      <c r="O154">
        <v>64</v>
      </c>
      <c r="P154">
        <v>8.1300000000000008</v>
      </c>
      <c r="Q154">
        <v>7.8</v>
      </c>
      <c r="R154">
        <v>5</v>
      </c>
      <c r="S154">
        <v>2.11</v>
      </c>
      <c r="T154">
        <v>2</v>
      </c>
    </row>
    <row r="155" spans="1:20" x14ac:dyDescent="0.3">
      <c r="A155">
        <v>154</v>
      </c>
      <c r="B155" t="s">
        <v>61</v>
      </c>
      <c r="C155">
        <v>74</v>
      </c>
      <c r="D155" t="s">
        <v>71</v>
      </c>
      <c r="E155" t="s">
        <v>74</v>
      </c>
      <c r="F155" t="s">
        <v>74</v>
      </c>
      <c r="G155">
        <v>0</v>
      </c>
      <c r="H155">
        <v>136.69999999999999</v>
      </c>
      <c r="I155">
        <v>106</v>
      </c>
      <c r="J155">
        <v>23.24</v>
      </c>
      <c r="K155">
        <v>228.6</v>
      </c>
      <c r="L155">
        <v>105</v>
      </c>
      <c r="M155">
        <v>19.43</v>
      </c>
      <c r="N155">
        <v>265.3</v>
      </c>
      <c r="O155">
        <v>114</v>
      </c>
      <c r="P155">
        <v>11.94</v>
      </c>
      <c r="Q155">
        <v>9.8000000000000007</v>
      </c>
      <c r="R155">
        <v>4</v>
      </c>
      <c r="S155">
        <v>2.65</v>
      </c>
      <c r="T155">
        <v>0</v>
      </c>
    </row>
    <row r="156" spans="1:20" x14ac:dyDescent="0.3">
      <c r="A156">
        <v>155</v>
      </c>
      <c r="B156" t="s">
        <v>63</v>
      </c>
      <c r="C156">
        <v>76</v>
      </c>
      <c r="D156" t="s">
        <v>71</v>
      </c>
      <c r="E156" t="s">
        <v>74</v>
      </c>
      <c r="F156" t="s">
        <v>74</v>
      </c>
      <c r="G156">
        <v>0</v>
      </c>
      <c r="H156">
        <v>224.4</v>
      </c>
      <c r="I156">
        <v>121</v>
      </c>
      <c r="J156">
        <v>38.15</v>
      </c>
      <c r="K156">
        <v>147.9</v>
      </c>
      <c r="L156">
        <v>97</v>
      </c>
      <c r="M156">
        <v>12.57</v>
      </c>
      <c r="N156">
        <v>183.8</v>
      </c>
      <c r="O156">
        <v>74</v>
      </c>
      <c r="P156">
        <v>8.27</v>
      </c>
      <c r="Q156">
        <v>6.7</v>
      </c>
      <c r="R156">
        <v>2</v>
      </c>
      <c r="S156">
        <v>1.81</v>
      </c>
      <c r="T156">
        <v>2</v>
      </c>
    </row>
    <row r="157" spans="1:20" x14ac:dyDescent="0.3">
      <c r="A157">
        <v>156</v>
      </c>
      <c r="B157" t="s">
        <v>35</v>
      </c>
      <c r="C157">
        <v>108</v>
      </c>
      <c r="D157" t="s">
        <v>71</v>
      </c>
      <c r="E157" t="s">
        <v>74</v>
      </c>
      <c r="F157" t="s">
        <v>74</v>
      </c>
      <c r="G157">
        <v>0</v>
      </c>
      <c r="H157">
        <v>103</v>
      </c>
      <c r="I157">
        <v>129</v>
      </c>
      <c r="J157">
        <v>17.510000000000002</v>
      </c>
      <c r="K157">
        <v>242.3</v>
      </c>
      <c r="L157">
        <v>103</v>
      </c>
      <c r="M157">
        <v>20.6</v>
      </c>
      <c r="N157">
        <v>170.2</v>
      </c>
      <c r="O157">
        <v>89</v>
      </c>
      <c r="P157">
        <v>7.66</v>
      </c>
      <c r="Q157">
        <v>7.9</v>
      </c>
      <c r="R157">
        <v>3</v>
      </c>
      <c r="S157">
        <v>2.13</v>
      </c>
      <c r="T157">
        <v>1</v>
      </c>
    </row>
    <row r="158" spans="1:20" x14ac:dyDescent="0.3">
      <c r="A158">
        <v>157</v>
      </c>
      <c r="B158" t="s">
        <v>62</v>
      </c>
      <c r="C158">
        <v>77</v>
      </c>
      <c r="D158" t="s">
        <v>71</v>
      </c>
      <c r="E158" t="s">
        <v>74</v>
      </c>
      <c r="F158" t="s">
        <v>75</v>
      </c>
      <c r="G158">
        <v>23</v>
      </c>
      <c r="H158">
        <v>209.7</v>
      </c>
      <c r="I158">
        <v>73</v>
      </c>
      <c r="J158">
        <v>35.65</v>
      </c>
      <c r="K158">
        <v>183.6</v>
      </c>
      <c r="L158">
        <v>63</v>
      </c>
      <c r="M158">
        <v>15.61</v>
      </c>
      <c r="N158">
        <v>205.5</v>
      </c>
      <c r="O158">
        <v>111</v>
      </c>
      <c r="P158">
        <v>9.25</v>
      </c>
      <c r="Q158">
        <v>7.1</v>
      </c>
      <c r="R158">
        <v>3</v>
      </c>
      <c r="S158">
        <v>1.92</v>
      </c>
      <c r="T158">
        <v>2</v>
      </c>
    </row>
    <row r="159" spans="1:20" x14ac:dyDescent="0.3">
      <c r="A159">
        <v>158</v>
      </c>
      <c r="B159" t="s">
        <v>38</v>
      </c>
      <c r="C159">
        <v>9</v>
      </c>
      <c r="D159" t="s">
        <v>73</v>
      </c>
      <c r="E159" t="s">
        <v>74</v>
      </c>
      <c r="F159" t="s">
        <v>75</v>
      </c>
      <c r="G159">
        <v>31</v>
      </c>
      <c r="H159">
        <v>193.8</v>
      </c>
      <c r="I159">
        <v>130</v>
      </c>
      <c r="J159">
        <v>32.950000000000003</v>
      </c>
      <c r="K159">
        <v>202.6</v>
      </c>
      <c r="L159">
        <v>98</v>
      </c>
      <c r="M159">
        <v>17.22</v>
      </c>
      <c r="N159">
        <v>191.2</v>
      </c>
      <c r="O159">
        <v>102</v>
      </c>
      <c r="P159">
        <v>8.6</v>
      </c>
      <c r="Q159">
        <v>13.3</v>
      </c>
      <c r="R159">
        <v>2</v>
      </c>
      <c r="S159">
        <v>3.59</v>
      </c>
      <c r="T159">
        <v>1</v>
      </c>
    </row>
    <row r="160" spans="1:20" x14ac:dyDescent="0.3">
      <c r="A160">
        <v>159</v>
      </c>
      <c r="B160" t="s">
        <v>68</v>
      </c>
      <c r="C160">
        <v>138</v>
      </c>
      <c r="D160" t="s">
        <v>72</v>
      </c>
      <c r="E160" t="s">
        <v>74</v>
      </c>
      <c r="F160" t="s">
        <v>74</v>
      </c>
      <c r="G160">
        <v>0</v>
      </c>
      <c r="H160">
        <v>171.4</v>
      </c>
      <c r="I160">
        <v>117</v>
      </c>
      <c r="J160">
        <v>29.14</v>
      </c>
      <c r="K160">
        <v>115.2</v>
      </c>
      <c r="L160">
        <v>128</v>
      </c>
      <c r="M160">
        <v>9.7899999999999991</v>
      </c>
      <c r="N160">
        <v>224.5</v>
      </c>
      <c r="O160">
        <v>115</v>
      </c>
      <c r="P160">
        <v>10.1</v>
      </c>
      <c r="Q160">
        <v>17</v>
      </c>
      <c r="R160">
        <v>4</v>
      </c>
      <c r="S160">
        <v>4.59</v>
      </c>
      <c r="T160">
        <v>3</v>
      </c>
    </row>
    <row r="161" spans="1:20" x14ac:dyDescent="0.3">
      <c r="A161">
        <v>160</v>
      </c>
      <c r="B161" t="s">
        <v>43</v>
      </c>
      <c r="C161">
        <v>38</v>
      </c>
      <c r="D161" t="s">
        <v>71</v>
      </c>
      <c r="E161" t="s">
        <v>74</v>
      </c>
      <c r="F161" t="s">
        <v>75</v>
      </c>
      <c r="G161">
        <v>31</v>
      </c>
      <c r="H161">
        <v>197.2</v>
      </c>
      <c r="I161">
        <v>118</v>
      </c>
      <c r="J161">
        <v>33.520000000000003</v>
      </c>
      <c r="K161">
        <v>249.9</v>
      </c>
      <c r="L161">
        <v>70</v>
      </c>
      <c r="M161">
        <v>21.24</v>
      </c>
      <c r="N161">
        <v>298.89999999999998</v>
      </c>
      <c r="O161">
        <v>104</v>
      </c>
      <c r="P161">
        <v>13.45</v>
      </c>
      <c r="Q161">
        <v>3.9</v>
      </c>
      <c r="R161">
        <v>2</v>
      </c>
      <c r="S161">
        <v>1.05</v>
      </c>
      <c r="T161">
        <v>0</v>
      </c>
    </row>
    <row r="162" spans="1:20" x14ac:dyDescent="0.3">
      <c r="A162">
        <v>161</v>
      </c>
      <c r="B162" t="s">
        <v>38</v>
      </c>
      <c r="C162">
        <v>147</v>
      </c>
      <c r="D162" t="s">
        <v>72</v>
      </c>
      <c r="E162" t="s">
        <v>74</v>
      </c>
      <c r="F162" t="s">
        <v>75</v>
      </c>
      <c r="G162">
        <v>33</v>
      </c>
      <c r="H162">
        <v>251.5</v>
      </c>
      <c r="I162">
        <v>107</v>
      </c>
      <c r="J162">
        <v>42.76</v>
      </c>
      <c r="K162">
        <v>234.1</v>
      </c>
      <c r="L162">
        <v>110</v>
      </c>
      <c r="M162">
        <v>19.899999999999999</v>
      </c>
      <c r="N162">
        <v>213.4</v>
      </c>
      <c r="O162">
        <v>87</v>
      </c>
      <c r="P162">
        <v>9.6</v>
      </c>
      <c r="Q162">
        <v>10.4</v>
      </c>
      <c r="R162">
        <v>6</v>
      </c>
      <c r="S162">
        <v>2.81</v>
      </c>
      <c r="T162">
        <v>3</v>
      </c>
    </row>
    <row r="163" spans="1:20" x14ac:dyDescent="0.3">
      <c r="A163">
        <v>162</v>
      </c>
      <c r="B163" t="s">
        <v>40</v>
      </c>
      <c r="C163">
        <v>133</v>
      </c>
      <c r="D163" t="s">
        <v>73</v>
      </c>
      <c r="E163" t="s">
        <v>74</v>
      </c>
      <c r="F163" t="s">
        <v>74</v>
      </c>
      <c r="G163">
        <v>0</v>
      </c>
      <c r="H163">
        <v>277.3</v>
      </c>
      <c r="I163">
        <v>138</v>
      </c>
      <c r="J163">
        <v>47.14</v>
      </c>
      <c r="K163">
        <v>228.4</v>
      </c>
      <c r="L163">
        <v>117</v>
      </c>
      <c r="M163">
        <v>19.41</v>
      </c>
      <c r="N163">
        <v>117.3</v>
      </c>
      <c r="O163">
        <v>103</v>
      </c>
      <c r="P163">
        <v>5.28</v>
      </c>
      <c r="Q163">
        <v>12.8</v>
      </c>
      <c r="R163">
        <v>4</v>
      </c>
      <c r="S163">
        <v>3.46</v>
      </c>
      <c r="T163">
        <v>2</v>
      </c>
    </row>
    <row r="164" spans="1:20" x14ac:dyDescent="0.3">
      <c r="A164">
        <v>163</v>
      </c>
      <c r="B164" t="s">
        <v>64</v>
      </c>
      <c r="C164">
        <v>12</v>
      </c>
      <c r="D164" t="s">
        <v>72</v>
      </c>
      <c r="E164" t="s">
        <v>75</v>
      </c>
      <c r="F164" t="s">
        <v>74</v>
      </c>
      <c r="G164">
        <v>0</v>
      </c>
      <c r="H164">
        <v>216.7</v>
      </c>
      <c r="I164">
        <v>117</v>
      </c>
      <c r="J164">
        <v>36.840000000000003</v>
      </c>
      <c r="K164">
        <v>116.5</v>
      </c>
      <c r="L164">
        <v>126</v>
      </c>
      <c r="M164">
        <v>9.9</v>
      </c>
      <c r="N164">
        <v>220</v>
      </c>
      <c r="O164">
        <v>110</v>
      </c>
      <c r="P164">
        <v>9.9</v>
      </c>
      <c r="Q164">
        <v>9.8000000000000007</v>
      </c>
      <c r="R164">
        <v>4</v>
      </c>
      <c r="S164">
        <v>2.65</v>
      </c>
      <c r="T164">
        <v>2</v>
      </c>
    </row>
    <row r="165" spans="1:20" x14ac:dyDescent="0.3">
      <c r="A165">
        <v>164</v>
      </c>
      <c r="B165" t="s">
        <v>38</v>
      </c>
      <c r="C165">
        <v>11</v>
      </c>
      <c r="D165" t="s">
        <v>71</v>
      </c>
      <c r="E165" t="s">
        <v>74</v>
      </c>
      <c r="F165" t="s">
        <v>74</v>
      </c>
      <c r="G165">
        <v>0</v>
      </c>
      <c r="H165">
        <v>143.4</v>
      </c>
      <c r="I165">
        <v>130</v>
      </c>
      <c r="J165">
        <v>24.38</v>
      </c>
      <c r="K165">
        <v>289.39999999999998</v>
      </c>
      <c r="L165">
        <v>50</v>
      </c>
      <c r="M165">
        <v>24.6</v>
      </c>
      <c r="N165">
        <v>194</v>
      </c>
      <c r="O165">
        <v>100</v>
      </c>
      <c r="P165">
        <v>8.73</v>
      </c>
      <c r="Q165">
        <v>9.6999999999999993</v>
      </c>
      <c r="R165">
        <v>6</v>
      </c>
      <c r="S165">
        <v>2.62</v>
      </c>
      <c r="T165">
        <v>2</v>
      </c>
    </row>
    <row r="166" spans="1:20" x14ac:dyDescent="0.3">
      <c r="A166">
        <v>165</v>
      </c>
      <c r="B166" t="s">
        <v>26</v>
      </c>
      <c r="C166">
        <v>154</v>
      </c>
      <c r="D166" t="s">
        <v>72</v>
      </c>
      <c r="E166" t="s">
        <v>74</v>
      </c>
      <c r="F166" t="s">
        <v>74</v>
      </c>
      <c r="G166">
        <v>0</v>
      </c>
      <c r="H166">
        <v>166.9</v>
      </c>
      <c r="I166">
        <v>99</v>
      </c>
      <c r="J166">
        <v>28.37</v>
      </c>
      <c r="K166">
        <v>154.9</v>
      </c>
      <c r="L166">
        <v>97</v>
      </c>
      <c r="M166">
        <v>13.17</v>
      </c>
      <c r="N166">
        <v>189.4</v>
      </c>
      <c r="O166">
        <v>89</v>
      </c>
      <c r="P166">
        <v>8.52</v>
      </c>
      <c r="Q166">
        <v>7.2</v>
      </c>
      <c r="R166">
        <v>5</v>
      </c>
      <c r="S166">
        <v>1.94</v>
      </c>
      <c r="T166">
        <v>0</v>
      </c>
    </row>
    <row r="167" spans="1:20" x14ac:dyDescent="0.3">
      <c r="A167">
        <v>166</v>
      </c>
      <c r="B167" t="s">
        <v>32</v>
      </c>
      <c r="C167">
        <v>116</v>
      </c>
      <c r="D167" t="s">
        <v>72</v>
      </c>
      <c r="E167" t="s">
        <v>74</v>
      </c>
      <c r="F167" t="s">
        <v>74</v>
      </c>
      <c r="G167">
        <v>0</v>
      </c>
      <c r="H167">
        <v>201.8</v>
      </c>
      <c r="I167">
        <v>82</v>
      </c>
      <c r="J167">
        <v>34.31</v>
      </c>
      <c r="K167">
        <v>231.5</v>
      </c>
      <c r="L167">
        <v>95</v>
      </c>
      <c r="M167">
        <v>19.68</v>
      </c>
      <c r="N167">
        <v>226.1</v>
      </c>
      <c r="O167">
        <v>130</v>
      </c>
      <c r="P167">
        <v>10.17</v>
      </c>
      <c r="Q167">
        <v>16.5</v>
      </c>
      <c r="R167">
        <v>5</v>
      </c>
      <c r="S167">
        <v>4.46</v>
      </c>
      <c r="T167">
        <v>0</v>
      </c>
    </row>
    <row r="168" spans="1:20" x14ac:dyDescent="0.3">
      <c r="A168">
        <v>167</v>
      </c>
      <c r="B168" t="s">
        <v>51</v>
      </c>
      <c r="C168">
        <v>87</v>
      </c>
      <c r="D168" t="s">
        <v>72</v>
      </c>
      <c r="E168" t="s">
        <v>74</v>
      </c>
      <c r="F168" t="s">
        <v>74</v>
      </c>
      <c r="G168">
        <v>0</v>
      </c>
      <c r="H168">
        <v>234.8</v>
      </c>
      <c r="I168">
        <v>85</v>
      </c>
      <c r="J168">
        <v>39.92</v>
      </c>
      <c r="K168">
        <v>140.9</v>
      </c>
      <c r="L168">
        <v>91</v>
      </c>
      <c r="M168">
        <v>11.98</v>
      </c>
      <c r="N168">
        <v>204.3</v>
      </c>
      <c r="O168">
        <v>93</v>
      </c>
      <c r="P168">
        <v>9.19</v>
      </c>
      <c r="Q168">
        <v>9.5</v>
      </c>
      <c r="R168">
        <v>5</v>
      </c>
      <c r="S168">
        <v>2.57</v>
      </c>
      <c r="T168">
        <v>1</v>
      </c>
    </row>
    <row r="169" spans="1:20" x14ac:dyDescent="0.3">
      <c r="A169">
        <v>168</v>
      </c>
      <c r="B169" t="s">
        <v>54</v>
      </c>
      <c r="C169">
        <v>70</v>
      </c>
      <c r="D169" t="s">
        <v>73</v>
      </c>
      <c r="E169" t="s">
        <v>74</v>
      </c>
      <c r="F169" t="s">
        <v>74</v>
      </c>
      <c r="G169">
        <v>0</v>
      </c>
      <c r="H169">
        <v>198.6</v>
      </c>
      <c r="I169">
        <v>111</v>
      </c>
      <c r="J169">
        <v>33.76</v>
      </c>
      <c r="K169">
        <v>213.9</v>
      </c>
      <c r="L169">
        <v>115</v>
      </c>
      <c r="M169">
        <v>18.18</v>
      </c>
      <c r="N169">
        <v>171.2</v>
      </c>
      <c r="O169">
        <v>105</v>
      </c>
      <c r="P169">
        <v>7.7</v>
      </c>
      <c r="Q169">
        <v>10.6</v>
      </c>
      <c r="R169">
        <v>6</v>
      </c>
      <c r="S169">
        <v>2.86</v>
      </c>
      <c r="T169">
        <v>2</v>
      </c>
    </row>
    <row r="170" spans="1:20" x14ac:dyDescent="0.3">
      <c r="A170">
        <v>169</v>
      </c>
      <c r="B170" t="s">
        <v>58</v>
      </c>
      <c r="C170">
        <v>98</v>
      </c>
      <c r="D170" t="s">
        <v>71</v>
      </c>
      <c r="E170" t="s">
        <v>75</v>
      </c>
      <c r="F170" t="s">
        <v>74</v>
      </c>
      <c r="G170">
        <v>0</v>
      </c>
      <c r="H170">
        <v>12.5</v>
      </c>
      <c r="I170">
        <v>67</v>
      </c>
      <c r="J170">
        <v>2.13</v>
      </c>
      <c r="K170">
        <v>256.60000000000002</v>
      </c>
      <c r="L170">
        <v>90</v>
      </c>
      <c r="M170">
        <v>21.81</v>
      </c>
      <c r="N170">
        <v>169.4</v>
      </c>
      <c r="O170">
        <v>88</v>
      </c>
      <c r="P170">
        <v>7.62</v>
      </c>
      <c r="Q170">
        <v>7.7</v>
      </c>
      <c r="R170">
        <v>9</v>
      </c>
      <c r="S170">
        <v>2.08</v>
      </c>
      <c r="T170">
        <v>1</v>
      </c>
    </row>
    <row r="171" spans="1:20" x14ac:dyDescent="0.3">
      <c r="A171">
        <v>170</v>
      </c>
      <c r="B171" t="s">
        <v>58</v>
      </c>
      <c r="C171">
        <v>161</v>
      </c>
      <c r="D171" t="s">
        <v>71</v>
      </c>
      <c r="E171" t="s">
        <v>74</v>
      </c>
      <c r="F171" t="s">
        <v>74</v>
      </c>
      <c r="G171">
        <v>0</v>
      </c>
      <c r="H171">
        <v>178.1</v>
      </c>
      <c r="I171">
        <v>109</v>
      </c>
      <c r="J171">
        <v>30.28</v>
      </c>
      <c r="K171">
        <v>146.5</v>
      </c>
      <c r="L171">
        <v>86</v>
      </c>
      <c r="M171">
        <v>12.45</v>
      </c>
      <c r="N171">
        <v>137.6</v>
      </c>
      <c r="O171">
        <v>78</v>
      </c>
      <c r="P171">
        <v>6.19</v>
      </c>
      <c r="Q171">
        <v>8.5</v>
      </c>
      <c r="R171">
        <v>2</v>
      </c>
      <c r="S171">
        <v>2.2999999999999998</v>
      </c>
      <c r="T171">
        <v>1</v>
      </c>
    </row>
    <row r="172" spans="1:20" x14ac:dyDescent="0.3">
      <c r="A172">
        <v>171</v>
      </c>
      <c r="B172" t="s">
        <v>27</v>
      </c>
      <c r="C172">
        <v>92</v>
      </c>
      <c r="D172" t="s">
        <v>72</v>
      </c>
      <c r="E172" t="s">
        <v>74</v>
      </c>
      <c r="F172" t="s">
        <v>74</v>
      </c>
      <c r="G172">
        <v>0</v>
      </c>
      <c r="H172">
        <v>208</v>
      </c>
      <c r="I172">
        <v>125</v>
      </c>
      <c r="J172">
        <v>35.36</v>
      </c>
      <c r="K172">
        <v>198.9</v>
      </c>
      <c r="L172">
        <v>76</v>
      </c>
      <c r="M172">
        <v>16.91</v>
      </c>
      <c r="N172">
        <v>76.400000000000006</v>
      </c>
      <c r="O172">
        <v>97</v>
      </c>
      <c r="P172">
        <v>3.44</v>
      </c>
      <c r="Q172">
        <v>8.6</v>
      </c>
      <c r="R172">
        <v>6</v>
      </c>
      <c r="S172">
        <v>2.3199999999999998</v>
      </c>
      <c r="T172">
        <v>0</v>
      </c>
    </row>
    <row r="173" spans="1:20" x14ac:dyDescent="0.3">
      <c r="A173">
        <v>172</v>
      </c>
      <c r="B173" t="s">
        <v>64</v>
      </c>
      <c r="C173">
        <v>132</v>
      </c>
      <c r="D173" t="s">
        <v>71</v>
      </c>
      <c r="E173" t="s">
        <v>74</v>
      </c>
      <c r="F173" t="s">
        <v>75</v>
      </c>
      <c r="G173">
        <v>31</v>
      </c>
      <c r="H173">
        <v>174.5</v>
      </c>
      <c r="I173">
        <v>101</v>
      </c>
      <c r="J173">
        <v>29.67</v>
      </c>
      <c r="K173">
        <v>245.6</v>
      </c>
      <c r="L173">
        <v>105</v>
      </c>
      <c r="M173">
        <v>20.88</v>
      </c>
      <c r="N173">
        <v>172.8</v>
      </c>
      <c r="O173">
        <v>76</v>
      </c>
      <c r="P173">
        <v>7.78</v>
      </c>
      <c r="Q173">
        <v>10.3</v>
      </c>
      <c r="R173">
        <v>9</v>
      </c>
      <c r="S173">
        <v>2.78</v>
      </c>
      <c r="T173">
        <v>1</v>
      </c>
    </row>
    <row r="174" spans="1:20" x14ac:dyDescent="0.3">
      <c r="A174">
        <v>173</v>
      </c>
      <c r="B174" t="s">
        <v>30</v>
      </c>
      <c r="C174">
        <v>185</v>
      </c>
      <c r="D174" t="s">
        <v>71</v>
      </c>
      <c r="E174" t="s">
        <v>75</v>
      </c>
      <c r="F174" t="s">
        <v>75</v>
      </c>
      <c r="G174">
        <v>30</v>
      </c>
      <c r="H174">
        <v>154.1</v>
      </c>
      <c r="I174">
        <v>114</v>
      </c>
      <c r="J174">
        <v>26.2</v>
      </c>
      <c r="K174">
        <v>118.7</v>
      </c>
      <c r="L174">
        <v>106</v>
      </c>
      <c r="M174">
        <v>10.09</v>
      </c>
      <c r="N174">
        <v>258.39999999999998</v>
      </c>
      <c r="O174">
        <v>105</v>
      </c>
      <c r="P174">
        <v>11.63</v>
      </c>
      <c r="Q174">
        <v>12.9</v>
      </c>
      <c r="R174">
        <v>3</v>
      </c>
      <c r="S174">
        <v>3.48</v>
      </c>
      <c r="T174">
        <v>2</v>
      </c>
    </row>
    <row r="175" spans="1:20" x14ac:dyDescent="0.3">
      <c r="A175">
        <v>174</v>
      </c>
      <c r="B175" t="s">
        <v>47</v>
      </c>
      <c r="C175">
        <v>124</v>
      </c>
      <c r="D175" t="s">
        <v>71</v>
      </c>
      <c r="E175" t="s">
        <v>74</v>
      </c>
      <c r="F175" t="s">
        <v>74</v>
      </c>
      <c r="G175">
        <v>0</v>
      </c>
      <c r="H175">
        <v>167.4</v>
      </c>
      <c r="I175">
        <v>119</v>
      </c>
      <c r="J175">
        <v>28.46</v>
      </c>
      <c r="K175">
        <v>233.2</v>
      </c>
      <c r="L175">
        <v>143</v>
      </c>
      <c r="M175">
        <v>19.82</v>
      </c>
      <c r="N175">
        <v>109.6</v>
      </c>
      <c r="O175">
        <v>115</v>
      </c>
      <c r="P175">
        <v>4.93</v>
      </c>
      <c r="Q175">
        <v>10.3</v>
      </c>
      <c r="R175">
        <v>5</v>
      </c>
      <c r="S175">
        <v>2.78</v>
      </c>
      <c r="T175">
        <v>0</v>
      </c>
    </row>
    <row r="176" spans="1:20" x14ac:dyDescent="0.3">
      <c r="A176">
        <v>175</v>
      </c>
      <c r="B176" t="s">
        <v>32</v>
      </c>
      <c r="C176">
        <v>75</v>
      </c>
      <c r="D176" t="s">
        <v>71</v>
      </c>
      <c r="E176" t="s">
        <v>74</v>
      </c>
      <c r="F176" t="s">
        <v>74</v>
      </c>
      <c r="G176">
        <v>0</v>
      </c>
      <c r="H176">
        <v>143.19999999999999</v>
      </c>
      <c r="I176">
        <v>92</v>
      </c>
      <c r="J176">
        <v>24.34</v>
      </c>
      <c r="K176">
        <v>209.1</v>
      </c>
      <c r="L176">
        <v>142</v>
      </c>
      <c r="M176">
        <v>17.77</v>
      </c>
      <c r="N176">
        <v>173</v>
      </c>
      <c r="O176">
        <v>96</v>
      </c>
      <c r="P176">
        <v>7.79</v>
      </c>
      <c r="Q176">
        <v>11.9</v>
      </c>
      <c r="R176">
        <v>9</v>
      </c>
      <c r="S176">
        <v>3.21</v>
      </c>
      <c r="T176">
        <v>1</v>
      </c>
    </row>
    <row r="177" spans="1:20" x14ac:dyDescent="0.3">
      <c r="A177">
        <v>176</v>
      </c>
      <c r="B177" t="s">
        <v>38</v>
      </c>
      <c r="C177">
        <v>44</v>
      </c>
      <c r="D177" t="s">
        <v>72</v>
      </c>
      <c r="E177" t="s">
        <v>74</v>
      </c>
      <c r="F177" t="s">
        <v>74</v>
      </c>
      <c r="G177">
        <v>0</v>
      </c>
      <c r="H177">
        <v>143.19999999999999</v>
      </c>
      <c r="I177">
        <v>77</v>
      </c>
      <c r="J177">
        <v>24.34</v>
      </c>
      <c r="K177">
        <v>169.8</v>
      </c>
      <c r="L177">
        <v>114</v>
      </c>
      <c r="M177">
        <v>14.43</v>
      </c>
      <c r="N177">
        <v>215.8</v>
      </c>
      <c r="O177">
        <v>77</v>
      </c>
      <c r="P177">
        <v>9.7100000000000009</v>
      </c>
      <c r="Q177">
        <v>7.6</v>
      </c>
      <c r="R177">
        <v>4</v>
      </c>
      <c r="S177">
        <v>2.0499999999999998</v>
      </c>
      <c r="T177">
        <v>1</v>
      </c>
    </row>
    <row r="178" spans="1:20" x14ac:dyDescent="0.3">
      <c r="A178">
        <v>177</v>
      </c>
      <c r="B178" t="s">
        <v>38</v>
      </c>
      <c r="C178">
        <v>108</v>
      </c>
      <c r="D178" t="s">
        <v>71</v>
      </c>
      <c r="E178" t="s">
        <v>74</v>
      </c>
      <c r="F178" t="s">
        <v>74</v>
      </c>
      <c r="G178">
        <v>0</v>
      </c>
      <c r="H178">
        <v>154.19999999999999</v>
      </c>
      <c r="I178">
        <v>123</v>
      </c>
      <c r="J178">
        <v>26.21</v>
      </c>
      <c r="K178">
        <v>112.3</v>
      </c>
      <c r="L178">
        <v>86</v>
      </c>
      <c r="M178">
        <v>9.5500000000000007</v>
      </c>
      <c r="N178">
        <v>246.4</v>
      </c>
      <c r="O178">
        <v>75</v>
      </c>
      <c r="P178">
        <v>11.09</v>
      </c>
      <c r="Q178">
        <v>15.4</v>
      </c>
      <c r="R178">
        <v>4</v>
      </c>
      <c r="S178">
        <v>4.16</v>
      </c>
      <c r="T178">
        <v>4</v>
      </c>
    </row>
    <row r="179" spans="1:20" x14ac:dyDescent="0.3">
      <c r="A179">
        <v>178</v>
      </c>
      <c r="B179" t="s">
        <v>21</v>
      </c>
      <c r="C179">
        <v>131</v>
      </c>
      <c r="D179" t="s">
        <v>72</v>
      </c>
      <c r="E179" t="s">
        <v>74</v>
      </c>
      <c r="F179" t="s">
        <v>74</v>
      </c>
      <c r="G179">
        <v>0</v>
      </c>
      <c r="H179">
        <v>153.4</v>
      </c>
      <c r="I179">
        <v>86</v>
      </c>
      <c r="J179">
        <v>26.08</v>
      </c>
      <c r="K179">
        <v>198.5</v>
      </c>
      <c r="L179">
        <v>81</v>
      </c>
      <c r="M179">
        <v>16.87</v>
      </c>
      <c r="N179">
        <v>164.4</v>
      </c>
      <c r="O179">
        <v>83</v>
      </c>
      <c r="P179">
        <v>7.4</v>
      </c>
      <c r="Q179">
        <v>10.4</v>
      </c>
      <c r="R179">
        <v>3</v>
      </c>
      <c r="S179">
        <v>2.81</v>
      </c>
      <c r="T179">
        <v>0</v>
      </c>
    </row>
    <row r="180" spans="1:20" x14ac:dyDescent="0.3">
      <c r="A180">
        <v>179</v>
      </c>
      <c r="B180" t="s">
        <v>50</v>
      </c>
      <c r="C180">
        <v>210</v>
      </c>
      <c r="D180" t="s">
        <v>73</v>
      </c>
      <c r="E180" t="s">
        <v>74</v>
      </c>
      <c r="F180" t="s">
        <v>74</v>
      </c>
      <c r="G180">
        <v>0</v>
      </c>
      <c r="H180">
        <v>104.6</v>
      </c>
      <c r="I180">
        <v>121</v>
      </c>
      <c r="J180">
        <v>17.78</v>
      </c>
      <c r="K180">
        <v>149.5</v>
      </c>
      <c r="L180">
        <v>71</v>
      </c>
      <c r="M180">
        <v>12.71</v>
      </c>
      <c r="N180">
        <v>255.1</v>
      </c>
      <c r="O180">
        <v>67</v>
      </c>
      <c r="P180">
        <v>11.48</v>
      </c>
      <c r="Q180">
        <v>6.5</v>
      </c>
      <c r="R180">
        <v>8</v>
      </c>
      <c r="S180">
        <v>1.76</v>
      </c>
      <c r="T180">
        <v>2</v>
      </c>
    </row>
    <row r="181" spans="1:20" x14ac:dyDescent="0.3">
      <c r="A181">
        <v>180</v>
      </c>
      <c r="B181" t="s">
        <v>57</v>
      </c>
      <c r="C181">
        <v>111</v>
      </c>
      <c r="D181" t="s">
        <v>73</v>
      </c>
      <c r="E181" t="s">
        <v>74</v>
      </c>
      <c r="F181" t="s">
        <v>74</v>
      </c>
      <c r="G181">
        <v>0</v>
      </c>
      <c r="H181">
        <v>142.30000000000001</v>
      </c>
      <c r="I181">
        <v>75</v>
      </c>
      <c r="J181">
        <v>24.19</v>
      </c>
      <c r="K181">
        <v>122.8</v>
      </c>
      <c r="L181">
        <v>106</v>
      </c>
      <c r="M181">
        <v>10.44</v>
      </c>
      <c r="N181">
        <v>229.5</v>
      </c>
      <c r="O181">
        <v>94</v>
      </c>
      <c r="P181">
        <v>10.33</v>
      </c>
      <c r="Q181">
        <v>12.8</v>
      </c>
      <c r="R181">
        <v>9</v>
      </c>
      <c r="S181">
        <v>3.46</v>
      </c>
      <c r="T181">
        <v>2</v>
      </c>
    </row>
    <row r="182" spans="1:20" x14ac:dyDescent="0.3">
      <c r="A182">
        <v>181</v>
      </c>
      <c r="B182" t="s">
        <v>50</v>
      </c>
      <c r="C182">
        <v>114</v>
      </c>
      <c r="D182" t="s">
        <v>71</v>
      </c>
      <c r="E182" t="s">
        <v>75</v>
      </c>
      <c r="F182" t="s">
        <v>75</v>
      </c>
      <c r="G182">
        <v>31</v>
      </c>
      <c r="H182">
        <v>174.5</v>
      </c>
      <c r="I182">
        <v>104</v>
      </c>
      <c r="J182">
        <v>29.67</v>
      </c>
      <c r="K182">
        <v>224.2</v>
      </c>
      <c r="L182">
        <v>92</v>
      </c>
      <c r="M182">
        <v>19.059999999999999</v>
      </c>
      <c r="N182">
        <v>116.3</v>
      </c>
      <c r="O182">
        <v>91</v>
      </c>
      <c r="P182">
        <v>5.23</v>
      </c>
      <c r="Q182">
        <v>12.3</v>
      </c>
      <c r="R182">
        <v>10</v>
      </c>
      <c r="S182">
        <v>3.32</v>
      </c>
      <c r="T182">
        <v>2</v>
      </c>
    </row>
    <row r="183" spans="1:20" x14ac:dyDescent="0.3">
      <c r="A183">
        <v>182</v>
      </c>
      <c r="B183" t="s">
        <v>21</v>
      </c>
      <c r="C183">
        <v>100</v>
      </c>
      <c r="D183" t="s">
        <v>73</v>
      </c>
      <c r="E183" t="s">
        <v>74</v>
      </c>
      <c r="F183" t="s">
        <v>75</v>
      </c>
      <c r="G183">
        <v>25</v>
      </c>
      <c r="H183">
        <v>246.6</v>
      </c>
      <c r="I183">
        <v>94</v>
      </c>
      <c r="J183">
        <v>41.92</v>
      </c>
      <c r="K183">
        <v>141.4</v>
      </c>
      <c r="L183">
        <v>112</v>
      </c>
      <c r="M183">
        <v>12.02</v>
      </c>
      <c r="N183">
        <v>189.8</v>
      </c>
      <c r="O183">
        <v>109</v>
      </c>
      <c r="P183">
        <v>8.5399999999999991</v>
      </c>
      <c r="Q183">
        <v>13</v>
      </c>
      <c r="R183">
        <v>5</v>
      </c>
      <c r="S183">
        <v>3.51</v>
      </c>
      <c r="T183">
        <v>1</v>
      </c>
    </row>
    <row r="184" spans="1:20" x14ac:dyDescent="0.3">
      <c r="A184">
        <v>183</v>
      </c>
      <c r="B184" t="s">
        <v>69</v>
      </c>
      <c r="C184">
        <v>105</v>
      </c>
      <c r="D184" t="s">
        <v>73</v>
      </c>
      <c r="E184" t="s">
        <v>74</v>
      </c>
      <c r="F184" t="s">
        <v>74</v>
      </c>
      <c r="G184">
        <v>0</v>
      </c>
      <c r="H184">
        <v>206.2</v>
      </c>
      <c r="I184">
        <v>84</v>
      </c>
      <c r="J184">
        <v>35.049999999999997</v>
      </c>
      <c r="K184">
        <v>256.39999999999998</v>
      </c>
      <c r="L184">
        <v>138</v>
      </c>
      <c r="M184">
        <v>21.79</v>
      </c>
      <c r="N184">
        <v>117.1</v>
      </c>
      <c r="O184">
        <v>91</v>
      </c>
      <c r="P184">
        <v>5.27</v>
      </c>
      <c r="Q184">
        <v>9</v>
      </c>
      <c r="R184">
        <v>3</v>
      </c>
      <c r="S184">
        <v>2.4300000000000002</v>
      </c>
      <c r="T184">
        <v>1</v>
      </c>
    </row>
    <row r="185" spans="1:20" x14ac:dyDescent="0.3">
      <c r="A185">
        <v>184</v>
      </c>
      <c r="B185" t="s">
        <v>42</v>
      </c>
      <c r="C185">
        <v>105</v>
      </c>
      <c r="D185" t="s">
        <v>71</v>
      </c>
      <c r="E185" t="s">
        <v>74</v>
      </c>
      <c r="F185" t="s">
        <v>74</v>
      </c>
      <c r="G185">
        <v>0</v>
      </c>
      <c r="H185">
        <v>106.4</v>
      </c>
      <c r="I185">
        <v>71</v>
      </c>
      <c r="J185">
        <v>18.09</v>
      </c>
      <c r="K185">
        <v>240.1</v>
      </c>
      <c r="L185">
        <v>83</v>
      </c>
      <c r="M185">
        <v>20.41</v>
      </c>
      <c r="N185">
        <v>147.69999999999999</v>
      </c>
      <c r="O185">
        <v>114</v>
      </c>
      <c r="P185">
        <v>6.65</v>
      </c>
      <c r="Q185">
        <v>5.3</v>
      </c>
      <c r="R185">
        <v>4</v>
      </c>
      <c r="S185">
        <v>1.43</v>
      </c>
      <c r="T185">
        <v>6</v>
      </c>
    </row>
    <row r="186" spans="1:20" x14ac:dyDescent="0.3">
      <c r="A186">
        <v>185</v>
      </c>
      <c r="B186" t="s">
        <v>29</v>
      </c>
      <c r="C186">
        <v>31</v>
      </c>
      <c r="D186" t="s">
        <v>71</v>
      </c>
      <c r="E186" t="s">
        <v>74</v>
      </c>
      <c r="F186" t="s">
        <v>74</v>
      </c>
      <c r="G186">
        <v>0</v>
      </c>
      <c r="H186">
        <v>177.3</v>
      </c>
      <c r="I186">
        <v>129</v>
      </c>
      <c r="J186">
        <v>30.14</v>
      </c>
      <c r="K186">
        <v>152.80000000000001</v>
      </c>
      <c r="L186">
        <v>105</v>
      </c>
      <c r="M186">
        <v>12.99</v>
      </c>
      <c r="N186">
        <v>162.9</v>
      </c>
      <c r="O186">
        <v>92</v>
      </c>
      <c r="P186">
        <v>7.33</v>
      </c>
      <c r="Q186">
        <v>5.0999999999999996</v>
      </c>
      <c r="R186">
        <v>2</v>
      </c>
      <c r="S186">
        <v>1.38</v>
      </c>
      <c r="T186">
        <v>0</v>
      </c>
    </row>
    <row r="187" spans="1:20" x14ac:dyDescent="0.3">
      <c r="A187">
        <v>186</v>
      </c>
      <c r="B187" t="s">
        <v>49</v>
      </c>
      <c r="C187">
        <v>37</v>
      </c>
      <c r="D187" t="s">
        <v>71</v>
      </c>
      <c r="E187" t="s">
        <v>75</v>
      </c>
      <c r="F187" t="s">
        <v>74</v>
      </c>
      <c r="G187">
        <v>0</v>
      </c>
      <c r="H187">
        <v>106.6</v>
      </c>
      <c r="I187">
        <v>76</v>
      </c>
      <c r="J187">
        <v>18.12</v>
      </c>
      <c r="K187">
        <v>147.4</v>
      </c>
      <c r="L187">
        <v>89</v>
      </c>
      <c r="M187">
        <v>12.53</v>
      </c>
      <c r="N187">
        <v>235.8</v>
      </c>
      <c r="O187">
        <v>113</v>
      </c>
      <c r="P187">
        <v>10.61</v>
      </c>
      <c r="Q187">
        <v>9.6</v>
      </c>
      <c r="R187">
        <v>8</v>
      </c>
      <c r="S187">
        <v>2.59</v>
      </c>
      <c r="T187">
        <v>2</v>
      </c>
    </row>
    <row r="188" spans="1:20" x14ac:dyDescent="0.3">
      <c r="A188">
        <v>187</v>
      </c>
      <c r="B188" t="s">
        <v>27</v>
      </c>
      <c r="C188">
        <v>132</v>
      </c>
      <c r="D188" t="s">
        <v>71</v>
      </c>
      <c r="E188" t="s">
        <v>74</v>
      </c>
      <c r="F188" t="s">
        <v>74</v>
      </c>
      <c r="G188">
        <v>0</v>
      </c>
      <c r="H188">
        <v>193.3</v>
      </c>
      <c r="I188">
        <v>106</v>
      </c>
      <c r="J188">
        <v>32.86</v>
      </c>
      <c r="K188">
        <v>128.30000000000001</v>
      </c>
      <c r="L188">
        <v>94</v>
      </c>
      <c r="M188">
        <v>10.91</v>
      </c>
      <c r="N188">
        <v>162.1</v>
      </c>
      <c r="O188">
        <v>119</v>
      </c>
      <c r="P188">
        <v>7.29</v>
      </c>
      <c r="Q188">
        <v>11.6</v>
      </c>
      <c r="R188">
        <v>4</v>
      </c>
      <c r="S188">
        <v>3.13</v>
      </c>
      <c r="T188">
        <v>5</v>
      </c>
    </row>
    <row r="189" spans="1:20" x14ac:dyDescent="0.3">
      <c r="A189">
        <v>188</v>
      </c>
      <c r="B189" t="s">
        <v>21</v>
      </c>
      <c r="C189">
        <v>16</v>
      </c>
      <c r="D189" t="s">
        <v>73</v>
      </c>
      <c r="E189" t="s">
        <v>74</v>
      </c>
      <c r="F189" t="s">
        <v>74</v>
      </c>
      <c r="G189">
        <v>0</v>
      </c>
      <c r="H189">
        <v>209.5</v>
      </c>
      <c r="I189">
        <v>89</v>
      </c>
      <c r="J189">
        <v>35.619999999999997</v>
      </c>
      <c r="K189">
        <v>172.8</v>
      </c>
      <c r="L189">
        <v>85</v>
      </c>
      <c r="M189">
        <v>14.69</v>
      </c>
      <c r="N189">
        <v>94.1</v>
      </c>
      <c r="O189">
        <v>102</v>
      </c>
      <c r="P189">
        <v>4.2300000000000004</v>
      </c>
      <c r="Q189">
        <v>8.8000000000000007</v>
      </c>
      <c r="R189">
        <v>4</v>
      </c>
      <c r="S189">
        <v>2.38</v>
      </c>
      <c r="T189">
        <v>1</v>
      </c>
    </row>
    <row r="190" spans="1:20" x14ac:dyDescent="0.3">
      <c r="A190">
        <v>189</v>
      </c>
      <c r="B190" t="s">
        <v>58</v>
      </c>
      <c r="C190">
        <v>157</v>
      </c>
      <c r="D190" t="s">
        <v>72</v>
      </c>
      <c r="E190" t="s">
        <v>74</v>
      </c>
      <c r="F190" t="s">
        <v>75</v>
      </c>
      <c r="G190">
        <v>30</v>
      </c>
      <c r="H190">
        <v>194.3</v>
      </c>
      <c r="I190">
        <v>107</v>
      </c>
      <c r="J190">
        <v>33.03</v>
      </c>
      <c r="K190">
        <v>243.2</v>
      </c>
      <c r="L190">
        <v>108</v>
      </c>
      <c r="M190">
        <v>20.67</v>
      </c>
      <c r="N190">
        <v>322.2</v>
      </c>
      <c r="O190">
        <v>114</v>
      </c>
      <c r="P190">
        <v>14.5</v>
      </c>
      <c r="Q190">
        <v>7.1</v>
      </c>
      <c r="R190">
        <v>5</v>
      </c>
      <c r="S190">
        <v>1.92</v>
      </c>
      <c r="T190">
        <v>1</v>
      </c>
    </row>
    <row r="191" spans="1:20" x14ac:dyDescent="0.3">
      <c r="A191">
        <v>190</v>
      </c>
      <c r="B191" t="s">
        <v>42</v>
      </c>
      <c r="C191">
        <v>72</v>
      </c>
      <c r="D191" t="s">
        <v>71</v>
      </c>
      <c r="E191" t="s">
        <v>74</v>
      </c>
      <c r="F191" t="s">
        <v>74</v>
      </c>
      <c r="G191">
        <v>0</v>
      </c>
      <c r="H191">
        <v>118.2</v>
      </c>
      <c r="I191">
        <v>106</v>
      </c>
      <c r="J191">
        <v>20.09</v>
      </c>
      <c r="K191">
        <v>167.2</v>
      </c>
      <c r="L191">
        <v>136</v>
      </c>
      <c r="M191">
        <v>14.21</v>
      </c>
      <c r="N191">
        <v>214.2</v>
      </c>
      <c r="O191">
        <v>106</v>
      </c>
      <c r="P191">
        <v>9.64</v>
      </c>
      <c r="Q191">
        <v>12.2</v>
      </c>
      <c r="R191">
        <v>3</v>
      </c>
      <c r="S191">
        <v>3.29</v>
      </c>
      <c r="T191">
        <v>3</v>
      </c>
    </row>
    <row r="192" spans="1:20" x14ac:dyDescent="0.3">
      <c r="A192">
        <v>191</v>
      </c>
      <c r="B192" t="s">
        <v>68</v>
      </c>
      <c r="C192">
        <v>143</v>
      </c>
      <c r="D192" t="s">
        <v>73</v>
      </c>
      <c r="E192" t="s">
        <v>74</v>
      </c>
      <c r="F192" t="s">
        <v>74</v>
      </c>
      <c r="G192">
        <v>0</v>
      </c>
      <c r="H192">
        <v>155.5</v>
      </c>
      <c r="I192">
        <v>101</v>
      </c>
      <c r="J192">
        <v>26.44</v>
      </c>
      <c r="K192">
        <v>213.4</v>
      </c>
      <c r="L192">
        <v>89</v>
      </c>
      <c r="M192">
        <v>18.14</v>
      </c>
      <c r="N192">
        <v>237.9</v>
      </c>
      <c r="O192">
        <v>61</v>
      </c>
      <c r="P192">
        <v>10.71</v>
      </c>
      <c r="Q192">
        <v>7.6</v>
      </c>
      <c r="R192">
        <v>11</v>
      </c>
      <c r="S192">
        <v>2.0499999999999998</v>
      </c>
      <c r="T192">
        <v>1</v>
      </c>
    </row>
    <row r="193" spans="1:20" x14ac:dyDescent="0.3">
      <c r="A193">
        <v>192</v>
      </c>
      <c r="B193" t="s">
        <v>23</v>
      </c>
      <c r="C193">
        <v>109</v>
      </c>
      <c r="D193" t="s">
        <v>73</v>
      </c>
      <c r="E193" t="s">
        <v>74</v>
      </c>
      <c r="F193" t="s">
        <v>74</v>
      </c>
      <c r="G193">
        <v>0</v>
      </c>
      <c r="H193">
        <v>222.2</v>
      </c>
      <c r="I193">
        <v>113</v>
      </c>
      <c r="J193">
        <v>37.770000000000003</v>
      </c>
      <c r="K193">
        <v>218.5</v>
      </c>
      <c r="L193">
        <v>122</v>
      </c>
      <c r="M193">
        <v>18.57</v>
      </c>
      <c r="N193">
        <v>266</v>
      </c>
      <c r="O193">
        <v>88</v>
      </c>
      <c r="P193">
        <v>11.97</v>
      </c>
      <c r="Q193">
        <v>10.9</v>
      </c>
      <c r="R193">
        <v>5</v>
      </c>
      <c r="S193">
        <v>2.94</v>
      </c>
      <c r="T193">
        <v>1</v>
      </c>
    </row>
    <row r="194" spans="1:20" x14ac:dyDescent="0.3">
      <c r="A194">
        <v>193</v>
      </c>
      <c r="B194" t="s">
        <v>33</v>
      </c>
      <c r="C194">
        <v>101</v>
      </c>
      <c r="D194" t="s">
        <v>73</v>
      </c>
      <c r="E194" t="s">
        <v>74</v>
      </c>
      <c r="F194" t="s">
        <v>75</v>
      </c>
      <c r="G194">
        <v>23</v>
      </c>
      <c r="H194">
        <v>262.2</v>
      </c>
      <c r="I194">
        <v>101</v>
      </c>
      <c r="J194">
        <v>44.57</v>
      </c>
      <c r="K194">
        <v>157</v>
      </c>
      <c r="L194">
        <v>80</v>
      </c>
      <c r="M194">
        <v>13.35</v>
      </c>
      <c r="N194">
        <v>129.1</v>
      </c>
      <c r="O194">
        <v>100</v>
      </c>
      <c r="P194">
        <v>5.81</v>
      </c>
      <c r="Q194">
        <v>7.3</v>
      </c>
      <c r="R194">
        <v>14</v>
      </c>
      <c r="S194">
        <v>1.97</v>
      </c>
      <c r="T194">
        <v>1</v>
      </c>
    </row>
    <row r="195" spans="1:20" x14ac:dyDescent="0.3">
      <c r="A195">
        <v>194</v>
      </c>
      <c r="B195" t="s">
        <v>23</v>
      </c>
      <c r="C195">
        <v>48</v>
      </c>
      <c r="D195" t="s">
        <v>72</v>
      </c>
      <c r="E195" t="s">
        <v>74</v>
      </c>
      <c r="F195" t="s">
        <v>74</v>
      </c>
      <c r="G195">
        <v>0</v>
      </c>
      <c r="H195">
        <v>188.4</v>
      </c>
      <c r="I195">
        <v>63</v>
      </c>
      <c r="J195">
        <v>32.03</v>
      </c>
      <c r="K195">
        <v>165.9</v>
      </c>
      <c r="L195">
        <v>89</v>
      </c>
      <c r="M195">
        <v>14.1</v>
      </c>
      <c r="N195">
        <v>205.7</v>
      </c>
      <c r="O195">
        <v>71</v>
      </c>
      <c r="P195">
        <v>9.26</v>
      </c>
      <c r="Q195">
        <v>13.2</v>
      </c>
      <c r="R195">
        <v>2</v>
      </c>
      <c r="S195">
        <v>3.56</v>
      </c>
      <c r="T195">
        <v>1</v>
      </c>
    </row>
    <row r="196" spans="1:20" x14ac:dyDescent="0.3">
      <c r="A196">
        <v>195</v>
      </c>
      <c r="B196" t="s">
        <v>39</v>
      </c>
      <c r="C196">
        <v>75</v>
      </c>
      <c r="D196" t="s">
        <v>72</v>
      </c>
      <c r="E196" t="s">
        <v>74</v>
      </c>
      <c r="F196" t="s">
        <v>75</v>
      </c>
      <c r="G196">
        <v>26</v>
      </c>
      <c r="H196">
        <v>118.5</v>
      </c>
      <c r="I196">
        <v>86</v>
      </c>
      <c r="J196">
        <v>20.149999999999999</v>
      </c>
      <c r="K196">
        <v>213.9</v>
      </c>
      <c r="L196">
        <v>118</v>
      </c>
      <c r="M196">
        <v>18.18</v>
      </c>
      <c r="N196">
        <v>132.6</v>
      </c>
      <c r="O196">
        <v>99</v>
      </c>
      <c r="P196">
        <v>5.97</v>
      </c>
      <c r="Q196">
        <v>13.4</v>
      </c>
      <c r="R196">
        <v>3</v>
      </c>
      <c r="S196">
        <v>3.62</v>
      </c>
      <c r="T196">
        <v>2</v>
      </c>
    </row>
    <row r="197" spans="1:20" x14ac:dyDescent="0.3">
      <c r="A197">
        <v>196</v>
      </c>
      <c r="B197" t="s">
        <v>29</v>
      </c>
      <c r="C197">
        <v>88</v>
      </c>
      <c r="D197" t="s">
        <v>71</v>
      </c>
      <c r="E197" t="s">
        <v>74</v>
      </c>
      <c r="F197" t="s">
        <v>75</v>
      </c>
      <c r="G197">
        <v>31</v>
      </c>
      <c r="H197">
        <v>181.6</v>
      </c>
      <c r="I197">
        <v>91</v>
      </c>
      <c r="J197">
        <v>30.87</v>
      </c>
      <c r="K197">
        <v>213.2</v>
      </c>
      <c r="L197">
        <v>120</v>
      </c>
      <c r="M197">
        <v>18.12</v>
      </c>
      <c r="N197">
        <v>207.8</v>
      </c>
      <c r="O197">
        <v>104</v>
      </c>
      <c r="P197">
        <v>9.35</v>
      </c>
      <c r="Q197">
        <v>11.4</v>
      </c>
      <c r="R197">
        <v>4</v>
      </c>
      <c r="S197">
        <v>3.08</v>
      </c>
      <c r="T197">
        <v>1</v>
      </c>
    </row>
    <row r="198" spans="1:20" x14ac:dyDescent="0.3">
      <c r="A198">
        <v>197</v>
      </c>
      <c r="B198" t="s">
        <v>33</v>
      </c>
      <c r="C198">
        <v>105</v>
      </c>
      <c r="D198" t="s">
        <v>73</v>
      </c>
      <c r="E198" t="s">
        <v>74</v>
      </c>
      <c r="F198" t="s">
        <v>74</v>
      </c>
      <c r="G198">
        <v>0</v>
      </c>
      <c r="H198">
        <v>270.89999999999998</v>
      </c>
      <c r="I198">
        <v>98</v>
      </c>
      <c r="J198">
        <v>46.05</v>
      </c>
      <c r="K198">
        <v>226.2</v>
      </c>
      <c r="L198">
        <v>110</v>
      </c>
      <c r="M198">
        <v>19.23</v>
      </c>
      <c r="N198">
        <v>178.8</v>
      </c>
      <c r="O198">
        <v>60</v>
      </c>
      <c r="P198">
        <v>8.0500000000000007</v>
      </c>
      <c r="Q198">
        <v>8.8000000000000007</v>
      </c>
      <c r="R198">
        <v>5</v>
      </c>
      <c r="S198">
        <v>2.38</v>
      </c>
      <c r="T198">
        <v>0</v>
      </c>
    </row>
    <row r="199" spans="1:20" x14ac:dyDescent="0.3">
      <c r="A199">
        <v>198</v>
      </c>
      <c r="B199" t="s">
        <v>57</v>
      </c>
      <c r="C199">
        <v>116</v>
      </c>
      <c r="D199" t="s">
        <v>71</v>
      </c>
      <c r="E199" t="s">
        <v>74</v>
      </c>
      <c r="F199" t="s">
        <v>75</v>
      </c>
      <c r="G199">
        <v>35</v>
      </c>
      <c r="H199">
        <v>182.8</v>
      </c>
      <c r="I199">
        <v>122</v>
      </c>
      <c r="J199">
        <v>31.08</v>
      </c>
      <c r="K199">
        <v>212.7</v>
      </c>
      <c r="L199">
        <v>119</v>
      </c>
      <c r="M199">
        <v>18.079999999999998</v>
      </c>
      <c r="N199">
        <v>193.8</v>
      </c>
      <c r="O199">
        <v>103</v>
      </c>
      <c r="P199">
        <v>8.7200000000000006</v>
      </c>
      <c r="Q199">
        <v>11</v>
      </c>
      <c r="R199">
        <v>2</v>
      </c>
      <c r="S199">
        <v>2.97</v>
      </c>
      <c r="T199">
        <v>1</v>
      </c>
    </row>
    <row r="200" spans="1:20" x14ac:dyDescent="0.3">
      <c r="A200">
        <v>199</v>
      </c>
      <c r="B200" t="s">
        <v>34</v>
      </c>
      <c r="C200">
        <v>87</v>
      </c>
      <c r="D200" t="s">
        <v>71</v>
      </c>
      <c r="E200" t="s">
        <v>74</v>
      </c>
      <c r="F200" t="s">
        <v>74</v>
      </c>
      <c r="G200">
        <v>0</v>
      </c>
      <c r="H200">
        <v>169.1</v>
      </c>
      <c r="I200">
        <v>105</v>
      </c>
      <c r="J200">
        <v>28.75</v>
      </c>
      <c r="K200">
        <v>169.9</v>
      </c>
      <c r="L200">
        <v>102</v>
      </c>
      <c r="M200">
        <v>14.44</v>
      </c>
      <c r="N200">
        <v>244.9</v>
      </c>
      <c r="O200">
        <v>106</v>
      </c>
      <c r="P200">
        <v>11.02</v>
      </c>
      <c r="Q200">
        <v>9.9</v>
      </c>
      <c r="R200">
        <v>10</v>
      </c>
      <c r="S200">
        <v>2.67</v>
      </c>
      <c r="T200">
        <v>3</v>
      </c>
    </row>
    <row r="201" spans="1:20" x14ac:dyDescent="0.3">
      <c r="A201">
        <v>200</v>
      </c>
      <c r="B201" t="s">
        <v>55</v>
      </c>
      <c r="C201">
        <v>85</v>
      </c>
      <c r="D201" t="s">
        <v>71</v>
      </c>
      <c r="E201" t="s">
        <v>75</v>
      </c>
      <c r="F201" t="s">
        <v>74</v>
      </c>
      <c r="G201">
        <v>0</v>
      </c>
      <c r="H201">
        <v>197.2</v>
      </c>
      <c r="I201">
        <v>97</v>
      </c>
      <c r="J201">
        <v>33.520000000000003</v>
      </c>
      <c r="K201">
        <v>211.7</v>
      </c>
      <c r="L201">
        <v>115</v>
      </c>
      <c r="M201">
        <v>17.989999999999998</v>
      </c>
      <c r="N201">
        <v>210.1</v>
      </c>
      <c r="O201">
        <v>133</v>
      </c>
      <c r="P201">
        <v>9.4499999999999993</v>
      </c>
      <c r="Q201">
        <v>8.3000000000000007</v>
      </c>
      <c r="R201">
        <v>4</v>
      </c>
      <c r="S201">
        <v>2.2400000000000002</v>
      </c>
      <c r="T201">
        <v>4</v>
      </c>
    </row>
    <row r="202" spans="1:20" x14ac:dyDescent="0.3">
      <c r="A202">
        <v>201</v>
      </c>
      <c r="B202" t="s">
        <v>39</v>
      </c>
      <c r="C202">
        <v>55</v>
      </c>
      <c r="D202" t="s">
        <v>72</v>
      </c>
      <c r="E202" t="s">
        <v>74</v>
      </c>
      <c r="F202" t="s">
        <v>75</v>
      </c>
      <c r="G202">
        <v>45</v>
      </c>
      <c r="H202">
        <v>130.5</v>
      </c>
      <c r="I202">
        <v>114</v>
      </c>
      <c r="J202">
        <v>22.19</v>
      </c>
      <c r="K202">
        <v>208.4</v>
      </c>
      <c r="L202">
        <v>94</v>
      </c>
      <c r="M202">
        <v>17.71</v>
      </c>
      <c r="N202">
        <v>141.6</v>
      </c>
      <c r="O202">
        <v>114</v>
      </c>
      <c r="P202">
        <v>6.37</v>
      </c>
      <c r="Q202">
        <v>11</v>
      </c>
      <c r="R202">
        <v>5</v>
      </c>
      <c r="S202">
        <v>2.97</v>
      </c>
      <c r="T202">
        <v>4</v>
      </c>
    </row>
    <row r="203" spans="1:20" x14ac:dyDescent="0.3">
      <c r="A203">
        <v>202</v>
      </c>
      <c r="B203" t="s">
        <v>43</v>
      </c>
      <c r="C203">
        <v>109</v>
      </c>
      <c r="D203" t="s">
        <v>71</v>
      </c>
      <c r="E203" t="s">
        <v>74</v>
      </c>
      <c r="F203" t="s">
        <v>75</v>
      </c>
      <c r="G203">
        <v>46</v>
      </c>
      <c r="H203">
        <v>217.5</v>
      </c>
      <c r="I203">
        <v>123</v>
      </c>
      <c r="J203">
        <v>36.979999999999997</v>
      </c>
      <c r="K203">
        <v>233.7</v>
      </c>
      <c r="L203">
        <v>84</v>
      </c>
      <c r="M203">
        <v>19.86</v>
      </c>
      <c r="N203">
        <v>163.9</v>
      </c>
      <c r="O203">
        <v>99</v>
      </c>
      <c r="P203">
        <v>7.38</v>
      </c>
      <c r="Q203">
        <v>9</v>
      </c>
      <c r="R203">
        <v>3</v>
      </c>
      <c r="S203">
        <v>2.4300000000000002</v>
      </c>
      <c r="T203">
        <v>4</v>
      </c>
    </row>
    <row r="204" spans="1:20" x14ac:dyDescent="0.3">
      <c r="A204">
        <v>203</v>
      </c>
      <c r="B204" t="s">
        <v>42</v>
      </c>
      <c r="C204">
        <v>49</v>
      </c>
      <c r="D204" t="s">
        <v>71</v>
      </c>
      <c r="E204" t="s">
        <v>74</v>
      </c>
      <c r="F204" t="s">
        <v>74</v>
      </c>
      <c r="G204">
        <v>0</v>
      </c>
      <c r="H204">
        <v>266.3</v>
      </c>
      <c r="I204">
        <v>90</v>
      </c>
      <c r="J204">
        <v>45.27</v>
      </c>
      <c r="K204">
        <v>207.8</v>
      </c>
      <c r="L204">
        <v>117</v>
      </c>
      <c r="M204">
        <v>17.66</v>
      </c>
      <c r="N204">
        <v>205</v>
      </c>
      <c r="O204">
        <v>98</v>
      </c>
      <c r="P204">
        <v>9.23</v>
      </c>
      <c r="Q204">
        <v>14</v>
      </c>
      <c r="R204">
        <v>2</v>
      </c>
      <c r="S204">
        <v>3.78</v>
      </c>
      <c r="T204">
        <v>2</v>
      </c>
    </row>
    <row r="205" spans="1:20" x14ac:dyDescent="0.3">
      <c r="A205">
        <v>204</v>
      </c>
      <c r="B205" t="s">
        <v>69</v>
      </c>
      <c r="C205">
        <v>17</v>
      </c>
      <c r="D205" t="s">
        <v>72</v>
      </c>
      <c r="E205" t="s">
        <v>74</v>
      </c>
      <c r="F205" t="s">
        <v>75</v>
      </c>
      <c r="G205">
        <v>31</v>
      </c>
      <c r="H205">
        <v>153.1</v>
      </c>
      <c r="I205">
        <v>115</v>
      </c>
      <c r="J205">
        <v>26.03</v>
      </c>
      <c r="K205">
        <v>185.9</v>
      </c>
      <c r="L205">
        <v>59</v>
      </c>
      <c r="M205">
        <v>15.8</v>
      </c>
      <c r="N205">
        <v>224.3</v>
      </c>
      <c r="O205">
        <v>102</v>
      </c>
      <c r="P205">
        <v>10.09</v>
      </c>
      <c r="Q205">
        <v>10</v>
      </c>
      <c r="R205">
        <v>1</v>
      </c>
      <c r="S205">
        <v>2.7</v>
      </c>
      <c r="T205">
        <v>6</v>
      </c>
    </row>
    <row r="206" spans="1:20" x14ac:dyDescent="0.3">
      <c r="A206">
        <v>205</v>
      </c>
      <c r="B206" t="s">
        <v>50</v>
      </c>
      <c r="C206">
        <v>130</v>
      </c>
      <c r="D206" t="s">
        <v>73</v>
      </c>
      <c r="E206" t="s">
        <v>74</v>
      </c>
      <c r="F206" t="s">
        <v>74</v>
      </c>
      <c r="G206">
        <v>0</v>
      </c>
      <c r="H206">
        <v>211.2</v>
      </c>
      <c r="I206">
        <v>119</v>
      </c>
      <c r="J206">
        <v>35.9</v>
      </c>
      <c r="K206">
        <v>231.1</v>
      </c>
      <c r="L206">
        <v>120</v>
      </c>
      <c r="M206">
        <v>19.64</v>
      </c>
      <c r="N206">
        <v>220.9</v>
      </c>
      <c r="O206">
        <v>80</v>
      </c>
      <c r="P206">
        <v>9.94</v>
      </c>
      <c r="Q206">
        <v>6.3</v>
      </c>
      <c r="R206">
        <v>9</v>
      </c>
      <c r="S206">
        <v>1.7</v>
      </c>
      <c r="T206">
        <v>2</v>
      </c>
    </row>
    <row r="207" spans="1:20" x14ac:dyDescent="0.3">
      <c r="A207">
        <v>206</v>
      </c>
      <c r="B207" t="s">
        <v>48</v>
      </c>
      <c r="C207">
        <v>137</v>
      </c>
      <c r="D207" t="s">
        <v>71</v>
      </c>
      <c r="E207" t="s">
        <v>74</v>
      </c>
      <c r="F207" t="s">
        <v>74</v>
      </c>
      <c r="G207">
        <v>0</v>
      </c>
      <c r="H207">
        <v>141.1</v>
      </c>
      <c r="I207">
        <v>91</v>
      </c>
      <c r="J207">
        <v>23.99</v>
      </c>
      <c r="K207">
        <v>147.19999999999999</v>
      </c>
      <c r="L207">
        <v>100</v>
      </c>
      <c r="M207">
        <v>12.51</v>
      </c>
      <c r="N207">
        <v>254.7</v>
      </c>
      <c r="O207">
        <v>75</v>
      </c>
      <c r="P207">
        <v>11.46</v>
      </c>
      <c r="Q207">
        <v>8</v>
      </c>
      <c r="R207">
        <v>7</v>
      </c>
      <c r="S207">
        <v>2.16</v>
      </c>
      <c r="T207">
        <v>2</v>
      </c>
    </row>
    <row r="208" spans="1:20" x14ac:dyDescent="0.3">
      <c r="A208">
        <v>207</v>
      </c>
      <c r="B208" t="s">
        <v>35</v>
      </c>
      <c r="C208">
        <v>52</v>
      </c>
      <c r="D208" t="s">
        <v>71</v>
      </c>
      <c r="E208" t="s">
        <v>74</v>
      </c>
      <c r="F208" t="s">
        <v>75</v>
      </c>
      <c r="G208">
        <v>24</v>
      </c>
      <c r="H208">
        <v>170.9</v>
      </c>
      <c r="I208">
        <v>71</v>
      </c>
      <c r="J208">
        <v>29.05</v>
      </c>
      <c r="K208">
        <v>201.4</v>
      </c>
      <c r="L208">
        <v>80</v>
      </c>
      <c r="M208">
        <v>17.12</v>
      </c>
      <c r="N208">
        <v>159</v>
      </c>
      <c r="O208">
        <v>124</v>
      </c>
      <c r="P208">
        <v>7.15</v>
      </c>
      <c r="Q208">
        <v>4.0999999999999996</v>
      </c>
      <c r="R208">
        <v>5</v>
      </c>
      <c r="S208">
        <v>1.1100000000000001</v>
      </c>
      <c r="T208">
        <v>2</v>
      </c>
    </row>
    <row r="209" spans="1:20" x14ac:dyDescent="0.3">
      <c r="A209">
        <v>208</v>
      </c>
      <c r="B209" t="s">
        <v>22</v>
      </c>
      <c r="C209">
        <v>118</v>
      </c>
      <c r="D209" t="s">
        <v>71</v>
      </c>
      <c r="E209" t="s">
        <v>74</v>
      </c>
      <c r="F209" t="s">
        <v>74</v>
      </c>
      <c r="G209">
        <v>0</v>
      </c>
      <c r="H209">
        <v>136.1</v>
      </c>
      <c r="I209">
        <v>120</v>
      </c>
      <c r="J209">
        <v>23.14</v>
      </c>
      <c r="K209">
        <v>204.2</v>
      </c>
      <c r="L209">
        <v>103</v>
      </c>
      <c r="M209">
        <v>17.36</v>
      </c>
      <c r="N209">
        <v>228.2</v>
      </c>
      <c r="O209">
        <v>90</v>
      </c>
      <c r="P209">
        <v>10.27</v>
      </c>
      <c r="Q209">
        <v>11.3</v>
      </c>
      <c r="R209">
        <v>4</v>
      </c>
      <c r="S209">
        <v>3.05</v>
      </c>
      <c r="T209">
        <v>1</v>
      </c>
    </row>
    <row r="210" spans="1:20" x14ac:dyDescent="0.3">
      <c r="A210">
        <v>209</v>
      </c>
      <c r="B210" t="s">
        <v>23</v>
      </c>
      <c r="C210">
        <v>131</v>
      </c>
      <c r="D210" t="s">
        <v>71</v>
      </c>
      <c r="E210" t="s">
        <v>74</v>
      </c>
      <c r="F210" t="s">
        <v>75</v>
      </c>
      <c r="G210">
        <v>34</v>
      </c>
      <c r="H210">
        <v>156.6</v>
      </c>
      <c r="I210">
        <v>134</v>
      </c>
      <c r="J210">
        <v>26.62</v>
      </c>
      <c r="K210">
        <v>71</v>
      </c>
      <c r="L210">
        <v>95</v>
      </c>
      <c r="M210">
        <v>6.04</v>
      </c>
      <c r="N210">
        <v>261.7</v>
      </c>
      <c r="O210">
        <v>120</v>
      </c>
      <c r="P210">
        <v>11.78</v>
      </c>
      <c r="Q210">
        <v>13.4</v>
      </c>
      <c r="R210">
        <v>10</v>
      </c>
      <c r="S210">
        <v>3.62</v>
      </c>
      <c r="T210">
        <v>1</v>
      </c>
    </row>
    <row r="211" spans="1:20" x14ac:dyDescent="0.3">
      <c r="A211">
        <v>210</v>
      </c>
      <c r="B211" t="s">
        <v>27</v>
      </c>
      <c r="C211">
        <v>125</v>
      </c>
      <c r="D211" t="s">
        <v>71</v>
      </c>
      <c r="E211" t="s">
        <v>74</v>
      </c>
      <c r="F211" t="s">
        <v>75</v>
      </c>
      <c r="G211">
        <v>39</v>
      </c>
      <c r="H211">
        <v>236.1</v>
      </c>
      <c r="I211">
        <v>107</v>
      </c>
      <c r="J211">
        <v>40.14</v>
      </c>
      <c r="K211">
        <v>289.2</v>
      </c>
      <c r="L211">
        <v>110</v>
      </c>
      <c r="M211">
        <v>24.58</v>
      </c>
      <c r="N211">
        <v>175.4</v>
      </c>
      <c r="O211">
        <v>107</v>
      </c>
      <c r="P211">
        <v>7.89</v>
      </c>
      <c r="Q211">
        <v>9.1</v>
      </c>
      <c r="R211">
        <v>4</v>
      </c>
      <c r="S211">
        <v>2.46</v>
      </c>
      <c r="T211">
        <v>2</v>
      </c>
    </row>
    <row r="212" spans="1:20" x14ac:dyDescent="0.3">
      <c r="A212">
        <v>211</v>
      </c>
      <c r="B212" t="s">
        <v>48</v>
      </c>
      <c r="C212">
        <v>113</v>
      </c>
      <c r="D212" t="s">
        <v>72</v>
      </c>
      <c r="E212" t="s">
        <v>74</v>
      </c>
      <c r="F212" t="s">
        <v>74</v>
      </c>
      <c r="G212">
        <v>0</v>
      </c>
      <c r="H212">
        <v>81.3</v>
      </c>
      <c r="I212">
        <v>116</v>
      </c>
      <c r="J212">
        <v>13.82</v>
      </c>
      <c r="K212">
        <v>220.6</v>
      </c>
      <c r="L212">
        <v>124</v>
      </c>
      <c r="M212">
        <v>18.75</v>
      </c>
      <c r="N212">
        <v>235.7</v>
      </c>
      <c r="O212">
        <v>113</v>
      </c>
      <c r="P212">
        <v>10.61</v>
      </c>
      <c r="Q212">
        <v>8.9</v>
      </c>
      <c r="R212">
        <v>3</v>
      </c>
      <c r="S212">
        <v>2.4</v>
      </c>
      <c r="T212">
        <v>0</v>
      </c>
    </row>
    <row r="213" spans="1:20" x14ac:dyDescent="0.3">
      <c r="A213">
        <v>212</v>
      </c>
      <c r="B213" t="s">
        <v>54</v>
      </c>
      <c r="C213">
        <v>212</v>
      </c>
      <c r="D213" t="s">
        <v>71</v>
      </c>
      <c r="E213" t="s">
        <v>74</v>
      </c>
      <c r="F213" t="s">
        <v>74</v>
      </c>
      <c r="G213">
        <v>0</v>
      </c>
      <c r="H213">
        <v>126</v>
      </c>
      <c r="I213">
        <v>96</v>
      </c>
      <c r="J213">
        <v>21.42</v>
      </c>
      <c r="K213">
        <v>144.30000000000001</v>
      </c>
      <c r="L213">
        <v>80</v>
      </c>
      <c r="M213">
        <v>12.27</v>
      </c>
      <c r="N213">
        <v>302.8</v>
      </c>
      <c r="O213">
        <v>102</v>
      </c>
      <c r="P213">
        <v>13.63</v>
      </c>
      <c r="Q213">
        <v>7.6</v>
      </c>
      <c r="R213">
        <v>3</v>
      </c>
      <c r="S213">
        <v>2.0499999999999998</v>
      </c>
      <c r="T213">
        <v>1</v>
      </c>
    </row>
    <row r="214" spans="1:20" x14ac:dyDescent="0.3">
      <c r="A214">
        <v>213</v>
      </c>
      <c r="B214" t="s">
        <v>51</v>
      </c>
      <c r="C214">
        <v>99</v>
      </c>
      <c r="D214" t="s">
        <v>71</v>
      </c>
      <c r="E214" t="s">
        <v>75</v>
      </c>
      <c r="F214" t="s">
        <v>74</v>
      </c>
      <c r="G214">
        <v>0</v>
      </c>
      <c r="H214">
        <v>197.2</v>
      </c>
      <c r="I214">
        <v>127</v>
      </c>
      <c r="J214">
        <v>33.520000000000003</v>
      </c>
      <c r="K214">
        <v>156</v>
      </c>
      <c r="L214">
        <v>92</v>
      </c>
      <c r="M214">
        <v>13.26</v>
      </c>
      <c r="N214">
        <v>204.1</v>
      </c>
      <c r="O214">
        <v>99</v>
      </c>
      <c r="P214">
        <v>9.18</v>
      </c>
      <c r="Q214">
        <v>9.9</v>
      </c>
      <c r="R214">
        <v>6</v>
      </c>
      <c r="S214">
        <v>2.67</v>
      </c>
      <c r="T214">
        <v>4</v>
      </c>
    </row>
    <row r="215" spans="1:20" x14ac:dyDescent="0.3">
      <c r="A215">
        <v>214</v>
      </c>
      <c r="B215" t="s">
        <v>24</v>
      </c>
      <c r="C215">
        <v>86</v>
      </c>
      <c r="D215" t="s">
        <v>72</v>
      </c>
      <c r="E215" t="s">
        <v>74</v>
      </c>
      <c r="F215" t="s">
        <v>75</v>
      </c>
      <c r="G215">
        <v>29</v>
      </c>
      <c r="H215">
        <v>157.19999999999999</v>
      </c>
      <c r="I215">
        <v>118</v>
      </c>
      <c r="J215">
        <v>26.72</v>
      </c>
      <c r="K215">
        <v>196.3</v>
      </c>
      <c r="L215">
        <v>136</v>
      </c>
      <c r="M215">
        <v>16.690000000000001</v>
      </c>
      <c r="N215">
        <v>226.7</v>
      </c>
      <c r="O215">
        <v>109</v>
      </c>
      <c r="P215">
        <v>10.199999999999999</v>
      </c>
      <c r="Q215">
        <v>8.4</v>
      </c>
      <c r="R215">
        <v>5</v>
      </c>
      <c r="S215">
        <v>2.27</v>
      </c>
      <c r="T215">
        <v>3</v>
      </c>
    </row>
    <row r="216" spans="1:20" x14ac:dyDescent="0.3">
      <c r="A216">
        <v>215</v>
      </c>
      <c r="B216" t="s">
        <v>31</v>
      </c>
      <c r="C216">
        <v>112</v>
      </c>
      <c r="D216" t="s">
        <v>73</v>
      </c>
      <c r="E216" t="s">
        <v>74</v>
      </c>
      <c r="F216" t="s">
        <v>74</v>
      </c>
      <c r="G216">
        <v>0</v>
      </c>
      <c r="H216">
        <v>167.8</v>
      </c>
      <c r="I216">
        <v>88</v>
      </c>
      <c r="J216">
        <v>28.53</v>
      </c>
      <c r="K216">
        <v>247.9</v>
      </c>
      <c r="L216">
        <v>81</v>
      </c>
      <c r="M216">
        <v>21.07</v>
      </c>
      <c r="N216">
        <v>155.1</v>
      </c>
      <c r="O216">
        <v>108</v>
      </c>
      <c r="P216">
        <v>6.98</v>
      </c>
      <c r="Q216">
        <v>11.9</v>
      </c>
      <c r="R216">
        <v>4</v>
      </c>
      <c r="S216">
        <v>3.21</v>
      </c>
      <c r="T216">
        <v>0</v>
      </c>
    </row>
    <row r="217" spans="1:20" x14ac:dyDescent="0.3">
      <c r="A217">
        <v>216</v>
      </c>
      <c r="B217" t="s">
        <v>28</v>
      </c>
      <c r="C217">
        <v>1</v>
      </c>
      <c r="D217" t="s">
        <v>71</v>
      </c>
      <c r="E217" t="s">
        <v>74</v>
      </c>
      <c r="F217" t="s">
        <v>75</v>
      </c>
      <c r="G217">
        <v>30</v>
      </c>
      <c r="H217">
        <v>183.1</v>
      </c>
      <c r="I217">
        <v>95</v>
      </c>
      <c r="J217">
        <v>31.13</v>
      </c>
      <c r="K217">
        <v>232.6</v>
      </c>
      <c r="L217">
        <v>110</v>
      </c>
      <c r="M217">
        <v>19.77</v>
      </c>
      <c r="N217">
        <v>248.3</v>
      </c>
      <c r="O217">
        <v>110</v>
      </c>
      <c r="P217">
        <v>11.17</v>
      </c>
      <c r="Q217">
        <v>8.4</v>
      </c>
      <c r="R217">
        <v>2</v>
      </c>
      <c r="S217">
        <v>2.27</v>
      </c>
      <c r="T217">
        <v>0</v>
      </c>
    </row>
    <row r="218" spans="1:20" x14ac:dyDescent="0.3">
      <c r="A218">
        <v>217</v>
      </c>
      <c r="B218" t="s">
        <v>68</v>
      </c>
      <c r="C218">
        <v>27</v>
      </c>
      <c r="D218" t="s">
        <v>72</v>
      </c>
      <c r="E218" t="s">
        <v>74</v>
      </c>
      <c r="F218" t="s">
        <v>74</v>
      </c>
      <c r="G218">
        <v>0</v>
      </c>
      <c r="H218">
        <v>177.6</v>
      </c>
      <c r="I218">
        <v>121</v>
      </c>
      <c r="J218">
        <v>30.19</v>
      </c>
      <c r="K218">
        <v>296.8</v>
      </c>
      <c r="L218">
        <v>92</v>
      </c>
      <c r="M218">
        <v>25.23</v>
      </c>
      <c r="N218">
        <v>192.9</v>
      </c>
      <c r="O218">
        <v>106</v>
      </c>
      <c r="P218">
        <v>8.68</v>
      </c>
      <c r="Q218">
        <v>7.6</v>
      </c>
      <c r="R218">
        <v>3</v>
      </c>
      <c r="S218">
        <v>2.0499999999999998</v>
      </c>
      <c r="T218">
        <v>3</v>
      </c>
    </row>
    <row r="219" spans="1:20" x14ac:dyDescent="0.3">
      <c r="A219">
        <v>218</v>
      </c>
      <c r="B219" t="s">
        <v>69</v>
      </c>
      <c r="C219">
        <v>63</v>
      </c>
      <c r="D219" t="s">
        <v>71</v>
      </c>
      <c r="E219" t="s">
        <v>74</v>
      </c>
      <c r="F219" t="s">
        <v>74</v>
      </c>
      <c r="G219">
        <v>0</v>
      </c>
      <c r="H219">
        <v>164.5</v>
      </c>
      <c r="I219">
        <v>75</v>
      </c>
      <c r="J219">
        <v>27.97</v>
      </c>
      <c r="K219">
        <v>147.9</v>
      </c>
      <c r="L219">
        <v>118</v>
      </c>
      <c r="M219">
        <v>12.57</v>
      </c>
      <c r="N219">
        <v>252.7</v>
      </c>
      <c r="O219">
        <v>97</v>
      </c>
      <c r="P219">
        <v>11.37</v>
      </c>
      <c r="Q219">
        <v>11.2</v>
      </c>
      <c r="R219">
        <v>2</v>
      </c>
      <c r="S219">
        <v>3.02</v>
      </c>
      <c r="T219">
        <v>0</v>
      </c>
    </row>
    <row r="220" spans="1:20" x14ac:dyDescent="0.3">
      <c r="A220">
        <v>219</v>
      </c>
      <c r="B220" t="s">
        <v>42</v>
      </c>
      <c r="C220">
        <v>47</v>
      </c>
      <c r="D220" t="s">
        <v>73</v>
      </c>
      <c r="E220" t="s">
        <v>74</v>
      </c>
      <c r="F220" t="s">
        <v>75</v>
      </c>
      <c r="G220">
        <v>37</v>
      </c>
      <c r="H220">
        <v>112.8</v>
      </c>
      <c r="I220">
        <v>150</v>
      </c>
      <c r="J220">
        <v>19.18</v>
      </c>
      <c r="K220">
        <v>243.9</v>
      </c>
      <c r="L220">
        <v>97</v>
      </c>
      <c r="M220">
        <v>20.73</v>
      </c>
      <c r="N220">
        <v>178.7</v>
      </c>
      <c r="O220">
        <v>112</v>
      </c>
      <c r="P220">
        <v>8.0399999999999991</v>
      </c>
      <c r="Q220">
        <v>13.2</v>
      </c>
      <c r="R220">
        <v>6</v>
      </c>
      <c r="S220">
        <v>3.56</v>
      </c>
      <c r="T220">
        <v>2</v>
      </c>
    </row>
    <row r="221" spans="1:20" x14ac:dyDescent="0.3">
      <c r="A221">
        <v>220</v>
      </c>
      <c r="B221" t="s">
        <v>25</v>
      </c>
      <c r="C221">
        <v>89</v>
      </c>
      <c r="D221" t="s">
        <v>71</v>
      </c>
      <c r="E221" t="s">
        <v>75</v>
      </c>
      <c r="F221" t="s">
        <v>75</v>
      </c>
      <c r="G221">
        <v>19</v>
      </c>
      <c r="H221">
        <v>112.6</v>
      </c>
      <c r="I221">
        <v>114</v>
      </c>
      <c r="J221">
        <v>19.14</v>
      </c>
      <c r="K221">
        <v>261.7</v>
      </c>
      <c r="L221">
        <v>132</v>
      </c>
      <c r="M221">
        <v>22.24</v>
      </c>
      <c r="N221">
        <v>123.5</v>
      </c>
      <c r="O221">
        <v>116</v>
      </c>
      <c r="P221">
        <v>5.56</v>
      </c>
      <c r="Q221">
        <v>11.1</v>
      </c>
      <c r="R221">
        <v>2</v>
      </c>
      <c r="S221">
        <v>3</v>
      </c>
      <c r="T221">
        <v>0</v>
      </c>
    </row>
    <row r="222" spans="1:20" x14ac:dyDescent="0.3">
      <c r="A222">
        <v>221</v>
      </c>
      <c r="B222" t="s">
        <v>31</v>
      </c>
      <c r="C222">
        <v>126</v>
      </c>
      <c r="D222" t="s">
        <v>71</v>
      </c>
      <c r="E222" t="s">
        <v>75</v>
      </c>
      <c r="F222" t="s">
        <v>75</v>
      </c>
      <c r="G222">
        <v>34</v>
      </c>
      <c r="H222">
        <v>244.9</v>
      </c>
      <c r="I222">
        <v>118</v>
      </c>
      <c r="J222">
        <v>41.63</v>
      </c>
      <c r="K222">
        <v>219.6</v>
      </c>
      <c r="L222">
        <v>105</v>
      </c>
      <c r="M222">
        <v>18.670000000000002</v>
      </c>
      <c r="N222">
        <v>210.8</v>
      </c>
      <c r="O222">
        <v>136</v>
      </c>
      <c r="P222">
        <v>9.49</v>
      </c>
      <c r="Q222">
        <v>9.6999999999999993</v>
      </c>
      <c r="R222">
        <v>6</v>
      </c>
      <c r="S222">
        <v>2.62</v>
      </c>
      <c r="T222">
        <v>4</v>
      </c>
    </row>
    <row r="223" spans="1:20" x14ac:dyDescent="0.3">
      <c r="A223">
        <v>222</v>
      </c>
      <c r="B223" t="s">
        <v>59</v>
      </c>
      <c r="C223">
        <v>102</v>
      </c>
      <c r="D223" t="s">
        <v>72</v>
      </c>
      <c r="E223" t="s">
        <v>74</v>
      </c>
      <c r="F223" t="s">
        <v>74</v>
      </c>
      <c r="G223">
        <v>0</v>
      </c>
      <c r="H223">
        <v>195.7</v>
      </c>
      <c r="I223">
        <v>116</v>
      </c>
      <c r="J223">
        <v>33.270000000000003</v>
      </c>
      <c r="K223">
        <v>209.1</v>
      </c>
      <c r="L223">
        <v>87</v>
      </c>
      <c r="M223">
        <v>17.77</v>
      </c>
      <c r="N223">
        <v>201.1</v>
      </c>
      <c r="O223">
        <v>73</v>
      </c>
      <c r="P223">
        <v>9.0500000000000007</v>
      </c>
      <c r="Q223">
        <v>8.3000000000000007</v>
      </c>
      <c r="R223">
        <v>3</v>
      </c>
      <c r="S223">
        <v>2.2400000000000002</v>
      </c>
      <c r="T223">
        <v>1</v>
      </c>
    </row>
    <row r="224" spans="1:20" x14ac:dyDescent="0.3">
      <c r="A224">
        <v>223</v>
      </c>
      <c r="B224" t="s">
        <v>56</v>
      </c>
      <c r="C224">
        <v>113</v>
      </c>
      <c r="D224" t="s">
        <v>71</v>
      </c>
      <c r="E224" t="s">
        <v>75</v>
      </c>
      <c r="F224" t="s">
        <v>74</v>
      </c>
      <c r="G224">
        <v>0</v>
      </c>
      <c r="H224">
        <v>204.3</v>
      </c>
      <c r="I224">
        <v>82</v>
      </c>
      <c r="J224">
        <v>34.729999999999997</v>
      </c>
      <c r="K224">
        <v>188.8</v>
      </c>
      <c r="L224">
        <v>115</v>
      </c>
      <c r="M224">
        <v>16.05</v>
      </c>
      <c r="N224">
        <v>139.4</v>
      </c>
      <c r="O224">
        <v>97</v>
      </c>
      <c r="P224">
        <v>6.27</v>
      </c>
      <c r="Q224">
        <v>9.1999999999999993</v>
      </c>
      <c r="R224">
        <v>7</v>
      </c>
      <c r="S224">
        <v>2.48</v>
      </c>
      <c r="T224">
        <v>1</v>
      </c>
    </row>
    <row r="225" spans="1:20" x14ac:dyDescent="0.3">
      <c r="A225">
        <v>224</v>
      </c>
      <c r="B225" t="s">
        <v>51</v>
      </c>
      <c r="C225">
        <v>101</v>
      </c>
      <c r="D225" t="s">
        <v>71</v>
      </c>
      <c r="E225" t="s">
        <v>74</v>
      </c>
      <c r="F225" t="s">
        <v>75</v>
      </c>
      <c r="G225">
        <v>33</v>
      </c>
      <c r="H225">
        <v>219.7</v>
      </c>
      <c r="I225">
        <v>137</v>
      </c>
      <c r="J225">
        <v>37.35</v>
      </c>
      <c r="K225">
        <v>186.8</v>
      </c>
      <c r="L225">
        <v>94</v>
      </c>
      <c r="M225">
        <v>15.88</v>
      </c>
      <c r="N225">
        <v>184.5</v>
      </c>
      <c r="O225">
        <v>113</v>
      </c>
      <c r="P225">
        <v>8.3000000000000007</v>
      </c>
      <c r="Q225">
        <v>9.5</v>
      </c>
      <c r="R225">
        <v>2</v>
      </c>
      <c r="S225">
        <v>2.57</v>
      </c>
      <c r="T225">
        <v>2</v>
      </c>
    </row>
    <row r="226" spans="1:20" x14ac:dyDescent="0.3">
      <c r="A226">
        <v>225</v>
      </c>
      <c r="B226" t="s">
        <v>54</v>
      </c>
      <c r="C226">
        <v>106</v>
      </c>
      <c r="D226" t="s">
        <v>72</v>
      </c>
      <c r="E226" t="s">
        <v>74</v>
      </c>
      <c r="F226" t="s">
        <v>75</v>
      </c>
      <c r="G226">
        <v>33</v>
      </c>
      <c r="H226">
        <v>81.599999999999994</v>
      </c>
      <c r="I226">
        <v>120</v>
      </c>
      <c r="J226">
        <v>13.87</v>
      </c>
      <c r="K226">
        <v>235.6</v>
      </c>
      <c r="L226">
        <v>85</v>
      </c>
      <c r="M226">
        <v>20.03</v>
      </c>
      <c r="N226">
        <v>150.9</v>
      </c>
      <c r="O226">
        <v>113</v>
      </c>
      <c r="P226">
        <v>6.79</v>
      </c>
      <c r="Q226">
        <v>9.9</v>
      </c>
      <c r="R226">
        <v>4</v>
      </c>
      <c r="S226">
        <v>2.67</v>
      </c>
      <c r="T226">
        <v>1</v>
      </c>
    </row>
    <row r="227" spans="1:20" x14ac:dyDescent="0.3">
      <c r="A227">
        <v>226</v>
      </c>
      <c r="B227" t="s">
        <v>21</v>
      </c>
      <c r="C227">
        <v>69</v>
      </c>
      <c r="D227" t="s">
        <v>71</v>
      </c>
      <c r="E227" t="s">
        <v>74</v>
      </c>
      <c r="F227" t="s">
        <v>74</v>
      </c>
      <c r="G227">
        <v>0</v>
      </c>
      <c r="H227">
        <v>183.4</v>
      </c>
      <c r="I227">
        <v>85</v>
      </c>
      <c r="J227">
        <v>31.18</v>
      </c>
      <c r="K227">
        <v>237.6</v>
      </c>
      <c r="L227">
        <v>100</v>
      </c>
      <c r="M227">
        <v>20.2</v>
      </c>
      <c r="N227">
        <v>228</v>
      </c>
      <c r="O227">
        <v>94</v>
      </c>
      <c r="P227">
        <v>10.26</v>
      </c>
      <c r="Q227">
        <v>9</v>
      </c>
      <c r="R227">
        <v>5</v>
      </c>
      <c r="S227">
        <v>2.4300000000000002</v>
      </c>
      <c r="T227">
        <v>3</v>
      </c>
    </row>
    <row r="228" spans="1:20" x14ac:dyDescent="0.3">
      <c r="A228">
        <v>227</v>
      </c>
      <c r="B228" t="s">
        <v>33</v>
      </c>
      <c r="C228">
        <v>83</v>
      </c>
      <c r="D228" t="s">
        <v>72</v>
      </c>
      <c r="E228" t="s">
        <v>74</v>
      </c>
      <c r="F228" t="s">
        <v>74</v>
      </c>
      <c r="G228">
        <v>0</v>
      </c>
      <c r="H228">
        <v>132.4</v>
      </c>
      <c r="I228">
        <v>120</v>
      </c>
      <c r="J228">
        <v>22.51</v>
      </c>
      <c r="K228">
        <v>121.6</v>
      </c>
      <c r="L228">
        <v>101</v>
      </c>
      <c r="M228">
        <v>10.34</v>
      </c>
      <c r="N228">
        <v>197.7</v>
      </c>
      <c r="O228">
        <v>84</v>
      </c>
      <c r="P228">
        <v>8.9</v>
      </c>
      <c r="Q228">
        <v>8.6</v>
      </c>
      <c r="R228">
        <v>2</v>
      </c>
      <c r="S228">
        <v>2.3199999999999998</v>
      </c>
      <c r="T228">
        <v>1</v>
      </c>
    </row>
    <row r="229" spans="1:20" x14ac:dyDescent="0.3">
      <c r="A229">
        <v>228</v>
      </c>
      <c r="B229" t="s">
        <v>45</v>
      </c>
      <c r="C229">
        <v>67</v>
      </c>
      <c r="D229" t="s">
        <v>71</v>
      </c>
      <c r="E229" t="s">
        <v>75</v>
      </c>
      <c r="F229" t="s">
        <v>75</v>
      </c>
      <c r="G229">
        <v>35</v>
      </c>
      <c r="H229">
        <v>181.1</v>
      </c>
      <c r="I229">
        <v>59</v>
      </c>
      <c r="J229">
        <v>30.79</v>
      </c>
      <c r="K229">
        <v>215.9</v>
      </c>
      <c r="L229">
        <v>116</v>
      </c>
      <c r="M229">
        <v>18.350000000000001</v>
      </c>
      <c r="N229">
        <v>216.3</v>
      </c>
      <c r="O229">
        <v>106</v>
      </c>
      <c r="P229">
        <v>9.73</v>
      </c>
      <c r="Q229">
        <v>16.899999999999999</v>
      </c>
      <c r="R229">
        <v>4</v>
      </c>
      <c r="S229">
        <v>4.5599999999999996</v>
      </c>
      <c r="T229">
        <v>0</v>
      </c>
    </row>
    <row r="230" spans="1:20" x14ac:dyDescent="0.3">
      <c r="A230">
        <v>229</v>
      </c>
      <c r="B230" t="s">
        <v>61</v>
      </c>
      <c r="C230">
        <v>75</v>
      </c>
      <c r="D230" t="s">
        <v>72</v>
      </c>
      <c r="E230" t="s">
        <v>74</v>
      </c>
      <c r="F230" t="s">
        <v>75</v>
      </c>
      <c r="G230">
        <v>27</v>
      </c>
      <c r="H230">
        <v>117.5</v>
      </c>
      <c r="I230">
        <v>102</v>
      </c>
      <c r="J230">
        <v>19.98</v>
      </c>
      <c r="K230">
        <v>206.8</v>
      </c>
      <c r="L230">
        <v>127</v>
      </c>
      <c r="M230">
        <v>17.579999999999998</v>
      </c>
      <c r="N230">
        <v>194.4</v>
      </c>
      <c r="O230">
        <v>114</v>
      </c>
      <c r="P230">
        <v>8.75</v>
      </c>
      <c r="Q230">
        <v>4.2</v>
      </c>
      <c r="R230">
        <v>7</v>
      </c>
      <c r="S230">
        <v>1.1299999999999999</v>
      </c>
      <c r="T230">
        <v>3</v>
      </c>
    </row>
    <row r="231" spans="1:20" x14ac:dyDescent="0.3">
      <c r="A231">
        <v>230</v>
      </c>
      <c r="B231" t="s">
        <v>61</v>
      </c>
      <c r="C231">
        <v>75</v>
      </c>
      <c r="D231" t="s">
        <v>71</v>
      </c>
      <c r="E231" t="s">
        <v>74</v>
      </c>
      <c r="F231" t="s">
        <v>74</v>
      </c>
      <c r="G231">
        <v>0</v>
      </c>
      <c r="H231">
        <v>150.6</v>
      </c>
      <c r="I231">
        <v>99</v>
      </c>
      <c r="J231">
        <v>25.6</v>
      </c>
      <c r="K231">
        <v>301.5</v>
      </c>
      <c r="L231">
        <v>83</v>
      </c>
      <c r="M231">
        <v>25.63</v>
      </c>
      <c r="N231">
        <v>158.69999999999999</v>
      </c>
      <c r="O231">
        <v>104</v>
      </c>
      <c r="P231">
        <v>7.14</v>
      </c>
      <c r="Q231">
        <v>8.1</v>
      </c>
      <c r="R231">
        <v>5</v>
      </c>
      <c r="S231">
        <v>2.19</v>
      </c>
      <c r="T231">
        <v>0</v>
      </c>
    </row>
    <row r="232" spans="1:20" x14ac:dyDescent="0.3">
      <c r="A232">
        <v>231</v>
      </c>
      <c r="B232" t="s">
        <v>31</v>
      </c>
      <c r="C232">
        <v>78</v>
      </c>
      <c r="D232" t="s">
        <v>73</v>
      </c>
      <c r="E232" t="s">
        <v>74</v>
      </c>
      <c r="F232" t="s">
        <v>74</v>
      </c>
      <c r="G232">
        <v>0</v>
      </c>
      <c r="H232">
        <v>87</v>
      </c>
      <c r="I232">
        <v>102</v>
      </c>
      <c r="J232">
        <v>14.79</v>
      </c>
      <c r="K232">
        <v>193.6</v>
      </c>
      <c r="L232">
        <v>64</v>
      </c>
      <c r="M232">
        <v>16.46</v>
      </c>
      <c r="N232">
        <v>205.8</v>
      </c>
      <c r="O232">
        <v>120</v>
      </c>
      <c r="P232">
        <v>9.26</v>
      </c>
      <c r="Q232">
        <v>11</v>
      </c>
      <c r="R232">
        <v>5</v>
      </c>
      <c r="S232">
        <v>2.97</v>
      </c>
      <c r="T232">
        <v>0</v>
      </c>
    </row>
    <row r="233" spans="1:20" x14ac:dyDescent="0.3">
      <c r="A233">
        <v>232</v>
      </c>
      <c r="B233" t="s">
        <v>27</v>
      </c>
      <c r="C233">
        <v>189</v>
      </c>
      <c r="D233" t="s">
        <v>73</v>
      </c>
      <c r="E233" t="s">
        <v>74</v>
      </c>
      <c r="F233" t="s">
        <v>74</v>
      </c>
      <c r="G233">
        <v>0</v>
      </c>
      <c r="H233">
        <v>227.4</v>
      </c>
      <c r="I233">
        <v>84</v>
      </c>
      <c r="J233">
        <v>38.659999999999997</v>
      </c>
      <c r="K233">
        <v>176</v>
      </c>
      <c r="L233">
        <v>81</v>
      </c>
      <c r="M233">
        <v>14.96</v>
      </c>
      <c r="N233">
        <v>206.1</v>
      </c>
      <c r="O233">
        <v>120</v>
      </c>
      <c r="P233">
        <v>9.27</v>
      </c>
      <c r="Q233">
        <v>6.3</v>
      </c>
      <c r="R233">
        <v>4</v>
      </c>
      <c r="S233">
        <v>1.7</v>
      </c>
      <c r="T233">
        <v>2</v>
      </c>
    </row>
    <row r="234" spans="1:20" x14ac:dyDescent="0.3">
      <c r="A234">
        <v>233</v>
      </c>
      <c r="B234" t="s">
        <v>57</v>
      </c>
      <c r="C234">
        <v>126</v>
      </c>
      <c r="D234" t="s">
        <v>71</v>
      </c>
      <c r="E234" t="s">
        <v>74</v>
      </c>
      <c r="F234" t="s">
        <v>75</v>
      </c>
      <c r="G234">
        <v>30</v>
      </c>
      <c r="H234">
        <v>153.4</v>
      </c>
      <c r="I234">
        <v>90</v>
      </c>
      <c r="J234">
        <v>26.08</v>
      </c>
      <c r="K234">
        <v>151.4</v>
      </c>
      <c r="L234">
        <v>97</v>
      </c>
      <c r="M234">
        <v>12.87</v>
      </c>
      <c r="N234">
        <v>153.80000000000001</v>
      </c>
      <c r="O234">
        <v>97</v>
      </c>
      <c r="P234">
        <v>6.92</v>
      </c>
      <c r="Q234">
        <v>12.8</v>
      </c>
      <c r="R234">
        <v>4</v>
      </c>
      <c r="S234">
        <v>3.46</v>
      </c>
      <c r="T234">
        <v>4</v>
      </c>
    </row>
    <row r="235" spans="1:20" x14ac:dyDescent="0.3">
      <c r="A235">
        <v>234</v>
      </c>
      <c r="B235" t="s">
        <v>46</v>
      </c>
      <c r="C235">
        <v>50</v>
      </c>
      <c r="D235" t="s">
        <v>73</v>
      </c>
      <c r="E235" t="s">
        <v>74</v>
      </c>
      <c r="F235" t="s">
        <v>74</v>
      </c>
      <c r="G235">
        <v>0</v>
      </c>
      <c r="H235">
        <v>154.69999999999999</v>
      </c>
      <c r="I235">
        <v>102</v>
      </c>
      <c r="J235">
        <v>26.3</v>
      </c>
      <c r="K235">
        <v>298</v>
      </c>
      <c r="L235">
        <v>108</v>
      </c>
      <c r="M235">
        <v>25.33</v>
      </c>
      <c r="N235">
        <v>210.2</v>
      </c>
      <c r="O235">
        <v>95</v>
      </c>
      <c r="P235">
        <v>9.4600000000000009</v>
      </c>
      <c r="Q235">
        <v>11.1</v>
      </c>
      <c r="R235">
        <v>3</v>
      </c>
      <c r="S235">
        <v>3</v>
      </c>
      <c r="T235">
        <v>0</v>
      </c>
    </row>
    <row r="236" spans="1:20" x14ac:dyDescent="0.3">
      <c r="A236">
        <v>235</v>
      </c>
      <c r="B236" t="s">
        <v>65</v>
      </c>
      <c r="C236">
        <v>57</v>
      </c>
      <c r="D236" t="s">
        <v>71</v>
      </c>
      <c r="E236" t="s">
        <v>75</v>
      </c>
      <c r="F236" t="s">
        <v>75</v>
      </c>
      <c r="G236">
        <v>17</v>
      </c>
      <c r="H236">
        <v>236.5</v>
      </c>
      <c r="I236">
        <v>94</v>
      </c>
      <c r="J236">
        <v>40.21</v>
      </c>
      <c r="K236">
        <v>163.1</v>
      </c>
      <c r="L236">
        <v>94</v>
      </c>
      <c r="M236">
        <v>13.86</v>
      </c>
      <c r="N236">
        <v>236.7</v>
      </c>
      <c r="O236">
        <v>117</v>
      </c>
      <c r="P236">
        <v>10.65</v>
      </c>
      <c r="Q236">
        <v>12.2</v>
      </c>
      <c r="R236">
        <v>3</v>
      </c>
      <c r="S236">
        <v>3.29</v>
      </c>
      <c r="T236">
        <v>2</v>
      </c>
    </row>
    <row r="237" spans="1:20" x14ac:dyDescent="0.3">
      <c r="A237">
        <v>236</v>
      </c>
      <c r="B237" t="s">
        <v>49</v>
      </c>
      <c r="C237">
        <v>163</v>
      </c>
      <c r="D237" t="s">
        <v>73</v>
      </c>
      <c r="E237" t="s">
        <v>74</v>
      </c>
      <c r="F237" t="s">
        <v>74</v>
      </c>
      <c r="G237">
        <v>0</v>
      </c>
      <c r="H237">
        <v>223</v>
      </c>
      <c r="I237">
        <v>120</v>
      </c>
      <c r="J237">
        <v>37.909999999999997</v>
      </c>
      <c r="K237">
        <v>227</v>
      </c>
      <c r="L237">
        <v>98</v>
      </c>
      <c r="M237">
        <v>19.3</v>
      </c>
      <c r="N237">
        <v>188.3</v>
      </c>
      <c r="O237">
        <v>125</v>
      </c>
      <c r="P237">
        <v>8.4700000000000006</v>
      </c>
      <c r="Q237">
        <v>8.8000000000000007</v>
      </c>
      <c r="R237">
        <v>5</v>
      </c>
      <c r="S237">
        <v>2.38</v>
      </c>
      <c r="T237">
        <v>1</v>
      </c>
    </row>
    <row r="238" spans="1:20" x14ac:dyDescent="0.3">
      <c r="A238">
        <v>237</v>
      </c>
      <c r="B238" t="s">
        <v>46</v>
      </c>
      <c r="C238">
        <v>174</v>
      </c>
      <c r="D238" t="s">
        <v>73</v>
      </c>
      <c r="E238" t="s">
        <v>74</v>
      </c>
      <c r="F238" t="s">
        <v>74</v>
      </c>
      <c r="G238">
        <v>0</v>
      </c>
      <c r="H238">
        <v>139.4</v>
      </c>
      <c r="I238">
        <v>96</v>
      </c>
      <c r="J238">
        <v>23.7</v>
      </c>
      <c r="K238">
        <v>143.4</v>
      </c>
      <c r="L238">
        <v>108</v>
      </c>
      <c r="M238">
        <v>12.19</v>
      </c>
      <c r="N238">
        <v>225.2</v>
      </c>
      <c r="O238">
        <v>107</v>
      </c>
      <c r="P238">
        <v>10.130000000000001</v>
      </c>
      <c r="Q238">
        <v>10</v>
      </c>
      <c r="R238">
        <v>5</v>
      </c>
      <c r="S238">
        <v>2.7</v>
      </c>
      <c r="T238">
        <v>2</v>
      </c>
    </row>
    <row r="239" spans="1:20" x14ac:dyDescent="0.3">
      <c r="A239">
        <v>238</v>
      </c>
      <c r="B239" t="s">
        <v>42</v>
      </c>
      <c r="C239">
        <v>68</v>
      </c>
      <c r="D239" t="s">
        <v>71</v>
      </c>
      <c r="E239" t="s">
        <v>74</v>
      </c>
      <c r="F239" t="s">
        <v>74</v>
      </c>
      <c r="G239">
        <v>0</v>
      </c>
      <c r="H239">
        <v>213.9</v>
      </c>
      <c r="I239">
        <v>112</v>
      </c>
      <c r="J239">
        <v>36.36</v>
      </c>
      <c r="K239">
        <v>260.5</v>
      </c>
      <c r="L239">
        <v>100</v>
      </c>
      <c r="M239">
        <v>22.14</v>
      </c>
      <c r="N239">
        <v>233.8</v>
      </c>
      <c r="O239">
        <v>97</v>
      </c>
      <c r="P239">
        <v>10.52</v>
      </c>
      <c r="Q239">
        <v>8.4</v>
      </c>
      <c r="R239">
        <v>3</v>
      </c>
      <c r="S239">
        <v>2.27</v>
      </c>
      <c r="T239">
        <v>1</v>
      </c>
    </row>
    <row r="240" spans="1:20" x14ac:dyDescent="0.3">
      <c r="A240">
        <v>239</v>
      </c>
      <c r="B240" t="s">
        <v>60</v>
      </c>
      <c r="C240">
        <v>93</v>
      </c>
      <c r="D240" t="s">
        <v>72</v>
      </c>
      <c r="E240" t="s">
        <v>74</v>
      </c>
      <c r="F240" t="s">
        <v>75</v>
      </c>
      <c r="G240">
        <v>19</v>
      </c>
      <c r="H240">
        <v>136.80000000000001</v>
      </c>
      <c r="I240">
        <v>113</v>
      </c>
      <c r="J240">
        <v>23.26</v>
      </c>
      <c r="K240">
        <v>179.5</v>
      </c>
      <c r="L240">
        <v>105</v>
      </c>
      <c r="M240">
        <v>15.26</v>
      </c>
      <c r="N240">
        <v>71.099999999999994</v>
      </c>
      <c r="O240">
        <v>95</v>
      </c>
      <c r="P240">
        <v>3.2</v>
      </c>
      <c r="Q240">
        <v>12.5</v>
      </c>
      <c r="R240">
        <v>3</v>
      </c>
      <c r="S240">
        <v>3.38</v>
      </c>
      <c r="T240">
        <v>2</v>
      </c>
    </row>
    <row r="241" spans="1:20" x14ac:dyDescent="0.3">
      <c r="A241">
        <v>240</v>
      </c>
      <c r="B241" t="s">
        <v>44</v>
      </c>
      <c r="C241">
        <v>155</v>
      </c>
      <c r="D241" t="s">
        <v>71</v>
      </c>
      <c r="E241" t="s">
        <v>74</v>
      </c>
      <c r="F241" t="s">
        <v>75</v>
      </c>
      <c r="G241">
        <v>23</v>
      </c>
      <c r="H241">
        <v>243.9</v>
      </c>
      <c r="I241">
        <v>112</v>
      </c>
      <c r="J241">
        <v>41.46</v>
      </c>
      <c r="K241">
        <v>133</v>
      </c>
      <c r="L241">
        <v>106</v>
      </c>
      <c r="M241">
        <v>11.31</v>
      </c>
      <c r="N241">
        <v>213.7</v>
      </c>
      <c r="O241">
        <v>123</v>
      </c>
      <c r="P241">
        <v>9.6199999999999992</v>
      </c>
      <c r="Q241">
        <v>13.4</v>
      </c>
      <c r="R241">
        <v>11</v>
      </c>
      <c r="S241">
        <v>3.62</v>
      </c>
      <c r="T241">
        <v>2</v>
      </c>
    </row>
    <row r="242" spans="1:20" x14ac:dyDescent="0.3">
      <c r="A242">
        <v>241</v>
      </c>
      <c r="B242" t="s">
        <v>58</v>
      </c>
      <c r="C242">
        <v>136</v>
      </c>
      <c r="D242" t="s">
        <v>72</v>
      </c>
      <c r="E242" t="s">
        <v>74</v>
      </c>
      <c r="F242" t="s">
        <v>74</v>
      </c>
      <c r="G242">
        <v>0</v>
      </c>
      <c r="H242">
        <v>259.39999999999998</v>
      </c>
      <c r="I242">
        <v>99</v>
      </c>
      <c r="J242">
        <v>44.1</v>
      </c>
      <c r="K242">
        <v>172.7</v>
      </c>
      <c r="L242">
        <v>125</v>
      </c>
      <c r="M242">
        <v>14.68</v>
      </c>
      <c r="N242">
        <v>293.7</v>
      </c>
      <c r="O242">
        <v>78</v>
      </c>
      <c r="P242">
        <v>13.22</v>
      </c>
      <c r="Q242">
        <v>10.7</v>
      </c>
      <c r="R242">
        <v>6</v>
      </c>
      <c r="S242">
        <v>2.89</v>
      </c>
      <c r="T242">
        <v>1</v>
      </c>
    </row>
    <row r="243" spans="1:20" x14ac:dyDescent="0.3">
      <c r="A243">
        <v>242</v>
      </c>
      <c r="B243" t="s">
        <v>59</v>
      </c>
      <c r="C243">
        <v>118</v>
      </c>
      <c r="D243" t="s">
        <v>73</v>
      </c>
      <c r="E243" t="s">
        <v>75</v>
      </c>
      <c r="F243" t="s">
        <v>75</v>
      </c>
      <c r="G243">
        <v>21</v>
      </c>
      <c r="H243">
        <v>156.5</v>
      </c>
      <c r="I243">
        <v>122</v>
      </c>
      <c r="J243">
        <v>26.61</v>
      </c>
      <c r="K243">
        <v>209.2</v>
      </c>
      <c r="L243">
        <v>125</v>
      </c>
      <c r="M243">
        <v>17.78</v>
      </c>
      <c r="N243">
        <v>158.69999999999999</v>
      </c>
      <c r="O243">
        <v>81</v>
      </c>
      <c r="P243">
        <v>7.14</v>
      </c>
      <c r="Q243">
        <v>11.1</v>
      </c>
      <c r="R243">
        <v>3</v>
      </c>
      <c r="S243">
        <v>3</v>
      </c>
      <c r="T243">
        <v>4</v>
      </c>
    </row>
    <row r="244" spans="1:20" x14ac:dyDescent="0.3">
      <c r="A244">
        <v>243</v>
      </c>
      <c r="B244" t="s">
        <v>67</v>
      </c>
      <c r="C244">
        <v>117</v>
      </c>
      <c r="D244" t="s">
        <v>73</v>
      </c>
      <c r="E244" t="s">
        <v>74</v>
      </c>
      <c r="F244" t="s">
        <v>74</v>
      </c>
      <c r="G244">
        <v>0</v>
      </c>
      <c r="H244">
        <v>102.3</v>
      </c>
      <c r="I244">
        <v>100</v>
      </c>
      <c r="J244">
        <v>17.39</v>
      </c>
      <c r="K244">
        <v>135.19999999999999</v>
      </c>
      <c r="L244">
        <v>104</v>
      </c>
      <c r="M244">
        <v>11.49</v>
      </c>
      <c r="N244">
        <v>199.7</v>
      </c>
      <c r="O244">
        <v>93</v>
      </c>
      <c r="P244">
        <v>8.99</v>
      </c>
      <c r="Q244">
        <v>15.7</v>
      </c>
      <c r="R244">
        <v>10</v>
      </c>
      <c r="S244">
        <v>4.24</v>
      </c>
      <c r="T244">
        <v>3</v>
      </c>
    </row>
    <row r="245" spans="1:20" x14ac:dyDescent="0.3">
      <c r="A245">
        <v>244</v>
      </c>
      <c r="B245" t="s">
        <v>57</v>
      </c>
      <c r="C245">
        <v>48</v>
      </c>
      <c r="D245" t="s">
        <v>71</v>
      </c>
      <c r="E245" t="s">
        <v>74</v>
      </c>
      <c r="F245" t="s">
        <v>75</v>
      </c>
      <c r="G245">
        <v>36</v>
      </c>
      <c r="H245">
        <v>230.9</v>
      </c>
      <c r="I245">
        <v>92</v>
      </c>
      <c r="J245">
        <v>39.25</v>
      </c>
      <c r="K245">
        <v>167.6</v>
      </c>
      <c r="L245">
        <v>121</v>
      </c>
      <c r="M245">
        <v>14.25</v>
      </c>
      <c r="N245">
        <v>270</v>
      </c>
      <c r="O245">
        <v>87</v>
      </c>
      <c r="P245">
        <v>12.15</v>
      </c>
      <c r="Q245">
        <v>7.6</v>
      </c>
      <c r="R245">
        <v>4</v>
      </c>
      <c r="S245">
        <v>2.0499999999999998</v>
      </c>
      <c r="T245">
        <v>3</v>
      </c>
    </row>
    <row r="246" spans="1:20" x14ac:dyDescent="0.3">
      <c r="A246">
        <v>245</v>
      </c>
      <c r="B246" t="s">
        <v>61</v>
      </c>
      <c r="C246">
        <v>107</v>
      </c>
      <c r="D246" t="s">
        <v>72</v>
      </c>
      <c r="E246" t="s">
        <v>74</v>
      </c>
      <c r="F246" t="s">
        <v>75</v>
      </c>
      <c r="G246">
        <v>38</v>
      </c>
      <c r="H246">
        <v>219.4</v>
      </c>
      <c r="I246">
        <v>92</v>
      </c>
      <c r="J246">
        <v>37.299999999999997</v>
      </c>
      <c r="K246">
        <v>180.5</v>
      </c>
      <c r="L246">
        <v>73</v>
      </c>
      <c r="M246">
        <v>15.34</v>
      </c>
      <c r="N246">
        <v>104.1</v>
      </c>
      <c r="O246">
        <v>91</v>
      </c>
      <c r="P246">
        <v>4.68</v>
      </c>
      <c r="Q246">
        <v>11</v>
      </c>
      <c r="R246">
        <v>1</v>
      </c>
      <c r="S246">
        <v>2.97</v>
      </c>
      <c r="T246">
        <v>2</v>
      </c>
    </row>
    <row r="247" spans="1:20" x14ac:dyDescent="0.3">
      <c r="A247">
        <v>246</v>
      </c>
      <c r="B247" t="s">
        <v>37</v>
      </c>
      <c r="C247">
        <v>56</v>
      </c>
      <c r="D247" t="s">
        <v>71</v>
      </c>
      <c r="E247" t="s">
        <v>74</v>
      </c>
      <c r="F247" t="s">
        <v>74</v>
      </c>
      <c r="G247">
        <v>0</v>
      </c>
      <c r="H247">
        <v>137.19999999999999</v>
      </c>
      <c r="I247">
        <v>111</v>
      </c>
      <c r="J247">
        <v>23.32</v>
      </c>
      <c r="K247">
        <v>165.9</v>
      </c>
      <c r="L247">
        <v>119</v>
      </c>
      <c r="M247">
        <v>14.1</v>
      </c>
      <c r="N247">
        <v>182.3</v>
      </c>
      <c r="O247">
        <v>72</v>
      </c>
      <c r="P247">
        <v>8.1999999999999993</v>
      </c>
      <c r="Q247">
        <v>14.3</v>
      </c>
      <c r="R247">
        <v>4</v>
      </c>
      <c r="S247">
        <v>3.86</v>
      </c>
      <c r="T247">
        <v>1</v>
      </c>
    </row>
    <row r="248" spans="1:20" x14ac:dyDescent="0.3">
      <c r="A248">
        <v>247</v>
      </c>
      <c r="B248" t="s">
        <v>34</v>
      </c>
      <c r="C248">
        <v>159</v>
      </c>
      <c r="D248" t="s">
        <v>71</v>
      </c>
      <c r="E248" t="s">
        <v>74</v>
      </c>
      <c r="F248" t="s">
        <v>74</v>
      </c>
      <c r="G248">
        <v>0</v>
      </c>
      <c r="H248">
        <v>87.7</v>
      </c>
      <c r="I248">
        <v>103</v>
      </c>
      <c r="J248">
        <v>14.91</v>
      </c>
      <c r="K248">
        <v>278.2</v>
      </c>
      <c r="L248">
        <v>97</v>
      </c>
      <c r="M248">
        <v>23.65</v>
      </c>
      <c r="N248">
        <v>170.6</v>
      </c>
      <c r="O248">
        <v>93</v>
      </c>
      <c r="P248">
        <v>7.68</v>
      </c>
      <c r="Q248">
        <v>10.5</v>
      </c>
      <c r="R248">
        <v>10</v>
      </c>
      <c r="S248">
        <v>2.84</v>
      </c>
      <c r="T248">
        <v>1</v>
      </c>
    </row>
    <row r="249" spans="1:20" x14ac:dyDescent="0.3">
      <c r="A249">
        <v>248</v>
      </c>
      <c r="B249" t="s">
        <v>56</v>
      </c>
      <c r="C249">
        <v>78</v>
      </c>
      <c r="D249" t="s">
        <v>71</v>
      </c>
      <c r="E249" t="s">
        <v>74</v>
      </c>
      <c r="F249" t="s">
        <v>75</v>
      </c>
      <c r="G249">
        <v>25</v>
      </c>
      <c r="H249">
        <v>197.4</v>
      </c>
      <c r="I249">
        <v>73</v>
      </c>
      <c r="J249">
        <v>33.56</v>
      </c>
      <c r="K249">
        <v>295.7</v>
      </c>
      <c r="L249">
        <v>113</v>
      </c>
      <c r="M249">
        <v>25.13</v>
      </c>
      <c r="N249">
        <v>211.7</v>
      </c>
      <c r="O249">
        <v>73</v>
      </c>
      <c r="P249">
        <v>9.5299999999999994</v>
      </c>
      <c r="Q249">
        <v>13.2</v>
      </c>
      <c r="R249">
        <v>2</v>
      </c>
      <c r="S249">
        <v>3.56</v>
      </c>
      <c r="T249">
        <v>0</v>
      </c>
    </row>
    <row r="250" spans="1:20" x14ac:dyDescent="0.3">
      <c r="A250">
        <v>249</v>
      </c>
      <c r="B250" t="s">
        <v>49</v>
      </c>
      <c r="C250">
        <v>75</v>
      </c>
      <c r="D250" t="s">
        <v>71</v>
      </c>
      <c r="E250" t="s">
        <v>74</v>
      </c>
      <c r="F250" t="s">
        <v>75</v>
      </c>
      <c r="G250">
        <v>39</v>
      </c>
      <c r="H250">
        <v>198.2</v>
      </c>
      <c r="I250">
        <v>107</v>
      </c>
      <c r="J250">
        <v>33.69</v>
      </c>
      <c r="K250">
        <v>280.39999999999998</v>
      </c>
      <c r="L250">
        <v>132</v>
      </c>
      <c r="M250">
        <v>23.83</v>
      </c>
      <c r="N250">
        <v>129.6</v>
      </c>
      <c r="O250">
        <v>73</v>
      </c>
      <c r="P250">
        <v>5.83</v>
      </c>
      <c r="Q250">
        <v>11.3</v>
      </c>
      <c r="R250">
        <v>7</v>
      </c>
      <c r="S250">
        <v>3.05</v>
      </c>
      <c r="T250">
        <v>1</v>
      </c>
    </row>
    <row r="251" spans="1:20" x14ac:dyDescent="0.3">
      <c r="A251">
        <v>250</v>
      </c>
      <c r="B251" t="s">
        <v>28</v>
      </c>
      <c r="C251">
        <v>83</v>
      </c>
      <c r="D251" t="s">
        <v>71</v>
      </c>
      <c r="E251" t="s">
        <v>74</v>
      </c>
      <c r="F251" t="s">
        <v>74</v>
      </c>
      <c r="G251">
        <v>0</v>
      </c>
      <c r="H251">
        <v>178.8</v>
      </c>
      <c r="I251">
        <v>102</v>
      </c>
      <c r="J251">
        <v>30.4</v>
      </c>
      <c r="K251">
        <v>167.9</v>
      </c>
      <c r="L251">
        <v>84</v>
      </c>
      <c r="M251">
        <v>14.27</v>
      </c>
      <c r="N251">
        <v>178.9</v>
      </c>
      <c r="O251">
        <v>65</v>
      </c>
      <c r="P251">
        <v>8.0500000000000007</v>
      </c>
      <c r="Q251">
        <v>8.6</v>
      </c>
      <c r="R251">
        <v>4</v>
      </c>
      <c r="S251">
        <v>2.3199999999999998</v>
      </c>
      <c r="T251">
        <v>3</v>
      </c>
    </row>
    <row r="252" spans="1:20" x14ac:dyDescent="0.3">
      <c r="A252">
        <v>251</v>
      </c>
      <c r="B252" t="s">
        <v>62</v>
      </c>
      <c r="C252">
        <v>99</v>
      </c>
      <c r="D252" t="s">
        <v>72</v>
      </c>
      <c r="E252" t="s">
        <v>75</v>
      </c>
      <c r="F252" t="s">
        <v>74</v>
      </c>
      <c r="G252">
        <v>0</v>
      </c>
      <c r="H252">
        <v>242.3</v>
      </c>
      <c r="I252">
        <v>102</v>
      </c>
      <c r="J252">
        <v>41.19</v>
      </c>
      <c r="K252">
        <v>350.9</v>
      </c>
      <c r="L252">
        <v>102</v>
      </c>
      <c r="M252">
        <v>29.83</v>
      </c>
      <c r="N252">
        <v>163.1</v>
      </c>
      <c r="O252">
        <v>93</v>
      </c>
      <c r="P252">
        <v>7.34</v>
      </c>
      <c r="Q252">
        <v>11.3</v>
      </c>
      <c r="R252">
        <v>3</v>
      </c>
      <c r="S252">
        <v>3.05</v>
      </c>
      <c r="T252">
        <v>0</v>
      </c>
    </row>
    <row r="253" spans="1:20" x14ac:dyDescent="0.3">
      <c r="A253">
        <v>252</v>
      </c>
      <c r="B253" t="s">
        <v>55</v>
      </c>
      <c r="C253">
        <v>83</v>
      </c>
      <c r="D253" t="s">
        <v>71</v>
      </c>
      <c r="E253" t="s">
        <v>74</v>
      </c>
      <c r="F253" t="s">
        <v>75</v>
      </c>
      <c r="G253">
        <v>20</v>
      </c>
      <c r="H253">
        <v>95</v>
      </c>
      <c r="I253">
        <v>89</v>
      </c>
      <c r="J253">
        <v>16.149999999999999</v>
      </c>
      <c r="K253">
        <v>167.9</v>
      </c>
      <c r="L253">
        <v>92</v>
      </c>
      <c r="M253">
        <v>14.27</v>
      </c>
      <c r="N253">
        <v>200.6</v>
      </c>
      <c r="O253">
        <v>79</v>
      </c>
      <c r="P253">
        <v>9.0299999999999994</v>
      </c>
      <c r="Q253">
        <v>11.2</v>
      </c>
      <c r="R253">
        <v>2</v>
      </c>
      <c r="S253">
        <v>3.02</v>
      </c>
      <c r="T253">
        <v>0</v>
      </c>
    </row>
    <row r="254" spans="1:20" x14ac:dyDescent="0.3">
      <c r="A254">
        <v>253</v>
      </c>
      <c r="B254" t="s">
        <v>52</v>
      </c>
      <c r="C254">
        <v>141</v>
      </c>
      <c r="D254" t="s">
        <v>71</v>
      </c>
      <c r="E254" t="s">
        <v>74</v>
      </c>
      <c r="F254" t="s">
        <v>74</v>
      </c>
      <c r="G254">
        <v>0</v>
      </c>
      <c r="H254">
        <v>160.1</v>
      </c>
      <c r="I254">
        <v>87</v>
      </c>
      <c r="J254">
        <v>27.22</v>
      </c>
      <c r="K254">
        <v>256.7</v>
      </c>
      <c r="L254">
        <v>120</v>
      </c>
      <c r="M254">
        <v>21.82</v>
      </c>
      <c r="N254">
        <v>270</v>
      </c>
      <c r="O254">
        <v>107</v>
      </c>
      <c r="P254">
        <v>12.15</v>
      </c>
      <c r="Q254">
        <v>7</v>
      </c>
      <c r="R254">
        <v>1</v>
      </c>
      <c r="S254">
        <v>1.89</v>
      </c>
      <c r="T254">
        <v>2</v>
      </c>
    </row>
    <row r="255" spans="1:20" x14ac:dyDescent="0.3">
      <c r="A255">
        <v>254</v>
      </c>
      <c r="B255" t="s">
        <v>57</v>
      </c>
      <c r="C255">
        <v>184</v>
      </c>
      <c r="D255" t="s">
        <v>71</v>
      </c>
      <c r="E255" t="s">
        <v>74</v>
      </c>
      <c r="F255" t="s">
        <v>74</v>
      </c>
      <c r="G255">
        <v>0</v>
      </c>
      <c r="H255">
        <v>236.4</v>
      </c>
      <c r="I255">
        <v>73</v>
      </c>
      <c r="J255">
        <v>40.19</v>
      </c>
      <c r="K255">
        <v>287.3</v>
      </c>
      <c r="L255">
        <v>120</v>
      </c>
      <c r="M255">
        <v>24.42</v>
      </c>
      <c r="N255">
        <v>192</v>
      </c>
      <c r="O255">
        <v>94</v>
      </c>
      <c r="P255">
        <v>8.64</v>
      </c>
      <c r="Q255">
        <v>13.8</v>
      </c>
      <c r="R255">
        <v>4</v>
      </c>
      <c r="S255">
        <v>3.73</v>
      </c>
      <c r="T255">
        <v>1</v>
      </c>
    </row>
    <row r="256" spans="1:20" x14ac:dyDescent="0.3">
      <c r="A256">
        <v>255</v>
      </c>
      <c r="B256" t="s">
        <v>43</v>
      </c>
      <c r="C256">
        <v>138</v>
      </c>
      <c r="D256" t="s">
        <v>72</v>
      </c>
      <c r="E256" t="s">
        <v>74</v>
      </c>
      <c r="F256" t="s">
        <v>75</v>
      </c>
      <c r="G256">
        <v>21</v>
      </c>
      <c r="H256">
        <v>19.5</v>
      </c>
      <c r="I256">
        <v>149</v>
      </c>
      <c r="J256">
        <v>3.32</v>
      </c>
      <c r="K256">
        <v>140.9</v>
      </c>
      <c r="L256">
        <v>109</v>
      </c>
      <c r="M256">
        <v>11.98</v>
      </c>
      <c r="N256">
        <v>179.7</v>
      </c>
      <c r="O256">
        <v>111</v>
      </c>
      <c r="P256">
        <v>8.09</v>
      </c>
      <c r="Q256">
        <v>7.9</v>
      </c>
      <c r="R256">
        <v>1</v>
      </c>
      <c r="S256">
        <v>2.13</v>
      </c>
      <c r="T256">
        <v>0</v>
      </c>
    </row>
    <row r="257" spans="1:20" x14ac:dyDescent="0.3">
      <c r="A257">
        <v>256</v>
      </c>
      <c r="B257" t="s">
        <v>64</v>
      </c>
      <c r="C257">
        <v>84</v>
      </c>
      <c r="D257" t="s">
        <v>72</v>
      </c>
      <c r="E257" t="s">
        <v>74</v>
      </c>
      <c r="F257" t="s">
        <v>74</v>
      </c>
      <c r="G257">
        <v>0</v>
      </c>
      <c r="H257">
        <v>226.9</v>
      </c>
      <c r="I257">
        <v>144</v>
      </c>
      <c r="J257">
        <v>38.57</v>
      </c>
      <c r="K257">
        <v>201.6</v>
      </c>
      <c r="L257">
        <v>122</v>
      </c>
      <c r="M257">
        <v>17.14</v>
      </c>
      <c r="N257">
        <v>130.19999999999999</v>
      </c>
      <c r="O257">
        <v>121</v>
      </c>
      <c r="P257">
        <v>5.86</v>
      </c>
      <c r="Q257">
        <v>13.2</v>
      </c>
      <c r="R257">
        <v>5</v>
      </c>
      <c r="S257">
        <v>3.56</v>
      </c>
      <c r="T257">
        <v>2</v>
      </c>
    </row>
    <row r="258" spans="1:20" x14ac:dyDescent="0.3">
      <c r="A258">
        <v>257</v>
      </c>
      <c r="B258" t="s">
        <v>37</v>
      </c>
      <c r="C258">
        <v>72</v>
      </c>
      <c r="D258" t="s">
        <v>71</v>
      </c>
      <c r="E258" t="s">
        <v>74</v>
      </c>
      <c r="F258" t="s">
        <v>74</v>
      </c>
      <c r="G258">
        <v>0</v>
      </c>
      <c r="H258">
        <v>165.9</v>
      </c>
      <c r="I258">
        <v>114</v>
      </c>
      <c r="J258">
        <v>28.2</v>
      </c>
      <c r="K258">
        <v>235.9</v>
      </c>
      <c r="L258">
        <v>97</v>
      </c>
      <c r="M258">
        <v>20.05</v>
      </c>
      <c r="N258">
        <v>210.1</v>
      </c>
      <c r="O258">
        <v>120</v>
      </c>
      <c r="P258">
        <v>9.4499999999999993</v>
      </c>
      <c r="Q258">
        <v>12</v>
      </c>
      <c r="R258">
        <v>5</v>
      </c>
      <c r="S258">
        <v>3.24</v>
      </c>
      <c r="T258">
        <v>2</v>
      </c>
    </row>
    <row r="259" spans="1:20" x14ac:dyDescent="0.3">
      <c r="A259">
        <v>258</v>
      </c>
      <c r="B259" t="s">
        <v>32</v>
      </c>
      <c r="C259">
        <v>65</v>
      </c>
      <c r="D259" t="s">
        <v>72</v>
      </c>
      <c r="E259" t="s">
        <v>74</v>
      </c>
      <c r="F259" t="s">
        <v>75</v>
      </c>
      <c r="G259">
        <v>29</v>
      </c>
      <c r="H259">
        <v>158.1</v>
      </c>
      <c r="I259">
        <v>104</v>
      </c>
      <c r="J259">
        <v>26.88</v>
      </c>
      <c r="K259">
        <v>322.2</v>
      </c>
      <c r="L259">
        <v>81</v>
      </c>
      <c r="M259">
        <v>27.39</v>
      </c>
      <c r="N259">
        <v>210</v>
      </c>
      <c r="O259">
        <v>96</v>
      </c>
      <c r="P259">
        <v>9.4499999999999993</v>
      </c>
      <c r="Q259">
        <v>8.9</v>
      </c>
      <c r="R259">
        <v>6</v>
      </c>
      <c r="S259">
        <v>2.4</v>
      </c>
      <c r="T259">
        <v>1</v>
      </c>
    </row>
    <row r="260" spans="1:20" x14ac:dyDescent="0.3">
      <c r="A260">
        <v>259</v>
      </c>
      <c r="B260" t="s">
        <v>69</v>
      </c>
      <c r="C260">
        <v>99</v>
      </c>
      <c r="D260" t="s">
        <v>73</v>
      </c>
      <c r="E260" t="s">
        <v>74</v>
      </c>
      <c r="F260" t="s">
        <v>74</v>
      </c>
      <c r="G260">
        <v>0</v>
      </c>
      <c r="H260">
        <v>54.8</v>
      </c>
      <c r="I260">
        <v>92</v>
      </c>
      <c r="J260">
        <v>9.32</v>
      </c>
      <c r="K260">
        <v>173</v>
      </c>
      <c r="L260">
        <v>103</v>
      </c>
      <c r="M260">
        <v>14.71</v>
      </c>
      <c r="N260">
        <v>195.1</v>
      </c>
      <c r="O260">
        <v>125</v>
      </c>
      <c r="P260">
        <v>8.7799999999999994</v>
      </c>
      <c r="Q260">
        <v>7.5</v>
      </c>
      <c r="R260">
        <v>3</v>
      </c>
      <c r="S260">
        <v>2.0299999999999998</v>
      </c>
      <c r="T260">
        <v>1</v>
      </c>
    </row>
    <row r="261" spans="1:20" x14ac:dyDescent="0.3">
      <c r="A261">
        <v>260</v>
      </c>
      <c r="B261" t="s">
        <v>42</v>
      </c>
      <c r="C261">
        <v>111</v>
      </c>
      <c r="D261" t="s">
        <v>72</v>
      </c>
      <c r="E261" t="s">
        <v>74</v>
      </c>
      <c r="F261" t="s">
        <v>74</v>
      </c>
      <c r="G261">
        <v>0</v>
      </c>
      <c r="H261">
        <v>191.3</v>
      </c>
      <c r="I261">
        <v>80</v>
      </c>
      <c r="J261">
        <v>32.520000000000003</v>
      </c>
      <c r="K261">
        <v>138.5</v>
      </c>
      <c r="L261">
        <v>94</v>
      </c>
      <c r="M261">
        <v>11.77</v>
      </c>
      <c r="N261">
        <v>246</v>
      </c>
      <c r="O261">
        <v>107</v>
      </c>
      <c r="P261">
        <v>11.07</v>
      </c>
      <c r="Q261">
        <v>6.4</v>
      </c>
      <c r="R261">
        <v>3</v>
      </c>
      <c r="S261">
        <v>1.73</v>
      </c>
      <c r="T261">
        <v>2</v>
      </c>
    </row>
    <row r="262" spans="1:20" x14ac:dyDescent="0.3">
      <c r="A262">
        <v>261</v>
      </c>
      <c r="B262" t="s">
        <v>39</v>
      </c>
      <c r="C262">
        <v>106</v>
      </c>
      <c r="D262" t="s">
        <v>71</v>
      </c>
      <c r="E262" t="s">
        <v>74</v>
      </c>
      <c r="F262" t="s">
        <v>75</v>
      </c>
      <c r="G262">
        <v>31</v>
      </c>
      <c r="H262">
        <v>197.4</v>
      </c>
      <c r="I262">
        <v>125</v>
      </c>
      <c r="J262">
        <v>33.56</v>
      </c>
      <c r="K262">
        <v>123.4</v>
      </c>
      <c r="L262">
        <v>110</v>
      </c>
      <c r="M262">
        <v>10.49</v>
      </c>
      <c r="N262">
        <v>115.6</v>
      </c>
      <c r="O262">
        <v>101</v>
      </c>
      <c r="P262">
        <v>5.2</v>
      </c>
      <c r="Q262">
        <v>12.3</v>
      </c>
      <c r="R262">
        <v>4</v>
      </c>
      <c r="S262">
        <v>3.32</v>
      </c>
      <c r="T262">
        <v>3</v>
      </c>
    </row>
    <row r="263" spans="1:20" x14ac:dyDescent="0.3">
      <c r="A263">
        <v>262</v>
      </c>
      <c r="B263" t="s">
        <v>70</v>
      </c>
      <c r="C263">
        <v>88</v>
      </c>
      <c r="D263" t="s">
        <v>71</v>
      </c>
      <c r="E263" t="s">
        <v>74</v>
      </c>
      <c r="F263" t="s">
        <v>74</v>
      </c>
      <c r="G263">
        <v>0</v>
      </c>
      <c r="H263">
        <v>148.19999999999999</v>
      </c>
      <c r="I263">
        <v>82</v>
      </c>
      <c r="J263">
        <v>25.19</v>
      </c>
      <c r="K263">
        <v>308.7</v>
      </c>
      <c r="L263">
        <v>67</v>
      </c>
      <c r="M263">
        <v>26.24</v>
      </c>
      <c r="N263">
        <v>235.4</v>
      </c>
      <c r="O263">
        <v>79</v>
      </c>
      <c r="P263">
        <v>10.59</v>
      </c>
      <c r="Q263">
        <v>6.4</v>
      </c>
      <c r="R263">
        <v>4</v>
      </c>
      <c r="S263">
        <v>1.73</v>
      </c>
      <c r="T263">
        <v>2</v>
      </c>
    </row>
    <row r="264" spans="1:20" x14ac:dyDescent="0.3">
      <c r="A264">
        <v>263</v>
      </c>
      <c r="B264" t="s">
        <v>53</v>
      </c>
      <c r="C264">
        <v>17</v>
      </c>
      <c r="D264" t="s">
        <v>73</v>
      </c>
      <c r="E264" t="s">
        <v>74</v>
      </c>
      <c r="F264" t="s">
        <v>75</v>
      </c>
      <c r="G264">
        <v>35</v>
      </c>
      <c r="H264">
        <v>198.5</v>
      </c>
      <c r="I264">
        <v>123</v>
      </c>
      <c r="J264">
        <v>33.75</v>
      </c>
      <c r="K264">
        <v>270.60000000000002</v>
      </c>
      <c r="L264">
        <v>74</v>
      </c>
      <c r="M264">
        <v>23</v>
      </c>
      <c r="N264">
        <v>209.9</v>
      </c>
      <c r="O264">
        <v>130</v>
      </c>
      <c r="P264">
        <v>9.4499999999999993</v>
      </c>
      <c r="Q264">
        <v>8.1</v>
      </c>
      <c r="R264">
        <v>10</v>
      </c>
      <c r="S264">
        <v>2.19</v>
      </c>
      <c r="T264">
        <v>1</v>
      </c>
    </row>
    <row r="265" spans="1:20" x14ac:dyDescent="0.3">
      <c r="A265">
        <v>264</v>
      </c>
      <c r="B265" t="s">
        <v>23</v>
      </c>
      <c r="C265">
        <v>64</v>
      </c>
      <c r="D265" t="s">
        <v>73</v>
      </c>
      <c r="E265" t="s">
        <v>74</v>
      </c>
      <c r="F265" t="s">
        <v>74</v>
      </c>
      <c r="G265">
        <v>0</v>
      </c>
      <c r="H265">
        <v>145.5</v>
      </c>
      <c r="I265">
        <v>116</v>
      </c>
      <c r="J265">
        <v>24.74</v>
      </c>
      <c r="K265">
        <v>228.4</v>
      </c>
      <c r="L265">
        <v>110</v>
      </c>
      <c r="M265">
        <v>19.41</v>
      </c>
      <c r="N265">
        <v>273.39999999999998</v>
      </c>
      <c r="O265">
        <v>91</v>
      </c>
      <c r="P265">
        <v>12.3</v>
      </c>
      <c r="Q265">
        <v>8.9</v>
      </c>
      <c r="R265">
        <v>8</v>
      </c>
      <c r="S265">
        <v>2.4</v>
      </c>
      <c r="T265">
        <v>1</v>
      </c>
    </row>
    <row r="266" spans="1:20" x14ac:dyDescent="0.3">
      <c r="A266">
        <v>265</v>
      </c>
      <c r="B266" t="s">
        <v>27</v>
      </c>
      <c r="C266">
        <v>107</v>
      </c>
      <c r="D266" t="s">
        <v>72</v>
      </c>
      <c r="E266" t="s">
        <v>74</v>
      </c>
      <c r="F266" t="s">
        <v>74</v>
      </c>
      <c r="G266">
        <v>0</v>
      </c>
      <c r="H266">
        <v>194.5</v>
      </c>
      <c r="I266">
        <v>97</v>
      </c>
      <c r="J266">
        <v>33.07</v>
      </c>
      <c r="K266">
        <v>186.3</v>
      </c>
      <c r="L266">
        <v>131</v>
      </c>
      <c r="M266">
        <v>15.84</v>
      </c>
      <c r="N266">
        <v>178.3</v>
      </c>
      <c r="O266">
        <v>106</v>
      </c>
      <c r="P266">
        <v>8.02</v>
      </c>
      <c r="Q266">
        <v>12.7</v>
      </c>
      <c r="R266">
        <v>1</v>
      </c>
      <c r="S266">
        <v>3.43</v>
      </c>
      <c r="T266">
        <v>2</v>
      </c>
    </row>
    <row r="267" spans="1:20" x14ac:dyDescent="0.3">
      <c r="A267">
        <v>266</v>
      </c>
      <c r="B267" t="s">
        <v>54</v>
      </c>
      <c r="C267">
        <v>90</v>
      </c>
      <c r="D267" t="s">
        <v>71</v>
      </c>
      <c r="E267" t="s">
        <v>74</v>
      </c>
      <c r="F267" t="s">
        <v>74</v>
      </c>
      <c r="G267">
        <v>0</v>
      </c>
      <c r="H267">
        <v>37.799999999999997</v>
      </c>
      <c r="I267">
        <v>80</v>
      </c>
      <c r="J267">
        <v>6.43</v>
      </c>
      <c r="K267">
        <v>155.30000000000001</v>
      </c>
      <c r="L267">
        <v>105</v>
      </c>
      <c r="M267">
        <v>13.2</v>
      </c>
      <c r="N267">
        <v>175</v>
      </c>
      <c r="O267">
        <v>111</v>
      </c>
      <c r="P267">
        <v>7.88</v>
      </c>
      <c r="Q267">
        <v>14.2</v>
      </c>
      <c r="R267">
        <v>5</v>
      </c>
      <c r="S267">
        <v>3.83</v>
      </c>
      <c r="T267">
        <v>3</v>
      </c>
    </row>
    <row r="268" spans="1:20" x14ac:dyDescent="0.3">
      <c r="A268">
        <v>267</v>
      </c>
      <c r="B268" t="s">
        <v>30</v>
      </c>
      <c r="C268">
        <v>90</v>
      </c>
      <c r="D268" t="s">
        <v>73</v>
      </c>
      <c r="E268" t="s">
        <v>74</v>
      </c>
      <c r="F268" t="s">
        <v>75</v>
      </c>
      <c r="G268">
        <v>39</v>
      </c>
      <c r="H268">
        <v>94.8</v>
      </c>
      <c r="I268">
        <v>89</v>
      </c>
      <c r="J268">
        <v>16.12</v>
      </c>
      <c r="K268">
        <v>219.1</v>
      </c>
      <c r="L268">
        <v>91</v>
      </c>
      <c r="M268">
        <v>18.62</v>
      </c>
      <c r="N268">
        <v>197.4</v>
      </c>
      <c r="O268">
        <v>65</v>
      </c>
      <c r="P268">
        <v>8.8800000000000008</v>
      </c>
      <c r="Q268">
        <v>11.4</v>
      </c>
      <c r="R268">
        <v>5</v>
      </c>
      <c r="S268">
        <v>3.08</v>
      </c>
      <c r="T268">
        <v>1</v>
      </c>
    </row>
    <row r="269" spans="1:20" x14ac:dyDescent="0.3">
      <c r="A269">
        <v>268</v>
      </c>
      <c r="B269" t="s">
        <v>29</v>
      </c>
      <c r="C269">
        <v>114</v>
      </c>
      <c r="D269" t="s">
        <v>71</v>
      </c>
      <c r="E269" t="s">
        <v>74</v>
      </c>
      <c r="F269" t="s">
        <v>74</v>
      </c>
      <c r="G269">
        <v>0</v>
      </c>
      <c r="H269">
        <v>202.1</v>
      </c>
      <c r="I269">
        <v>100</v>
      </c>
      <c r="J269">
        <v>34.36</v>
      </c>
      <c r="K269">
        <v>195.7</v>
      </c>
      <c r="L269">
        <v>102</v>
      </c>
      <c r="M269">
        <v>16.63</v>
      </c>
      <c r="N269">
        <v>291.8</v>
      </c>
      <c r="O269">
        <v>120</v>
      </c>
      <c r="P269">
        <v>13.13</v>
      </c>
      <c r="Q269">
        <v>13.3</v>
      </c>
      <c r="R269">
        <v>5</v>
      </c>
      <c r="S269">
        <v>3.59</v>
      </c>
      <c r="T269">
        <v>2</v>
      </c>
    </row>
    <row r="270" spans="1:20" x14ac:dyDescent="0.3">
      <c r="A270">
        <v>269</v>
      </c>
      <c r="B270" t="s">
        <v>58</v>
      </c>
      <c r="C270">
        <v>140</v>
      </c>
      <c r="D270" t="s">
        <v>71</v>
      </c>
      <c r="E270" t="s">
        <v>74</v>
      </c>
      <c r="F270" t="s">
        <v>74</v>
      </c>
      <c r="G270">
        <v>0</v>
      </c>
      <c r="H270">
        <v>120.3</v>
      </c>
      <c r="I270">
        <v>108</v>
      </c>
      <c r="J270">
        <v>20.45</v>
      </c>
      <c r="K270">
        <v>240.4</v>
      </c>
      <c r="L270">
        <v>84</v>
      </c>
      <c r="M270">
        <v>20.43</v>
      </c>
      <c r="N270">
        <v>216.4</v>
      </c>
      <c r="O270">
        <v>74</v>
      </c>
      <c r="P270">
        <v>9.74</v>
      </c>
      <c r="Q270">
        <v>7.7</v>
      </c>
      <c r="R270">
        <v>3</v>
      </c>
      <c r="S270">
        <v>2.08</v>
      </c>
      <c r="T270">
        <v>4</v>
      </c>
    </row>
    <row r="271" spans="1:20" x14ac:dyDescent="0.3">
      <c r="A271">
        <v>270</v>
      </c>
      <c r="B271" t="s">
        <v>43</v>
      </c>
      <c r="C271">
        <v>102</v>
      </c>
      <c r="D271" t="s">
        <v>73</v>
      </c>
      <c r="E271" t="s">
        <v>74</v>
      </c>
      <c r="F271" t="s">
        <v>74</v>
      </c>
      <c r="G271">
        <v>0</v>
      </c>
      <c r="H271">
        <v>174.5</v>
      </c>
      <c r="I271">
        <v>73</v>
      </c>
      <c r="J271">
        <v>29.67</v>
      </c>
      <c r="K271">
        <v>213.7</v>
      </c>
      <c r="L271">
        <v>114</v>
      </c>
      <c r="M271">
        <v>18.16</v>
      </c>
      <c r="N271">
        <v>164.7</v>
      </c>
      <c r="O271">
        <v>116</v>
      </c>
      <c r="P271">
        <v>7.41</v>
      </c>
      <c r="Q271">
        <v>10.3</v>
      </c>
      <c r="R271">
        <v>5</v>
      </c>
      <c r="S271">
        <v>2.78</v>
      </c>
      <c r="T271">
        <v>4</v>
      </c>
    </row>
    <row r="272" spans="1:20" x14ac:dyDescent="0.3">
      <c r="A272">
        <v>271</v>
      </c>
      <c r="B272" t="s">
        <v>40</v>
      </c>
      <c r="C272">
        <v>70</v>
      </c>
      <c r="D272" t="s">
        <v>72</v>
      </c>
      <c r="E272" t="s">
        <v>74</v>
      </c>
      <c r="F272" t="s">
        <v>74</v>
      </c>
      <c r="G272">
        <v>0</v>
      </c>
      <c r="H272">
        <v>129.9</v>
      </c>
      <c r="I272">
        <v>102</v>
      </c>
      <c r="J272">
        <v>22.08</v>
      </c>
      <c r="K272">
        <v>208.7</v>
      </c>
      <c r="L272">
        <v>133</v>
      </c>
      <c r="M272">
        <v>17.739999999999998</v>
      </c>
      <c r="N272">
        <v>231.4</v>
      </c>
      <c r="O272">
        <v>93</v>
      </c>
      <c r="P272">
        <v>10.41</v>
      </c>
      <c r="Q272">
        <v>14.3</v>
      </c>
      <c r="R272">
        <v>3</v>
      </c>
      <c r="S272">
        <v>3.86</v>
      </c>
      <c r="T272">
        <v>1</v>
      </c>
    </row>
    <row r="273" spans="1:20" x14ac:dyDescent="0.3">
      <c r="A273">
        <v>272</v>
      </c>
      <c r="B273" t="s">
        <v>53</v>
      </c>
      <c r="C273">
        <v>84</v>
      </c>
      <c r="D273" t="s">
        <v>72</v>
      </c>
      <c r="E273" t="s">
        <v>74</v>
      </c>
      <c r="F273" t="s">
        <v>74</v>
      </c>
      <c r="G273">
        <v>0</v>
      </c>
      <c r="H273">
        <v>75.3</v>
      </c>
      <c r="I273">
        <v>96</v>
      </c>
      <c r="J273">
        <v>12.8</v>
      </c>
      <c r="K273">
        <v>179.9</v>
      </c>
      <c r="L273">
        <v>113</v>
      </c>
      <c r="M273">
        <v>15.29</v>
      </c>
      <c r="N273">
        <v>193.8</v>
      </c>
      <c r="O273">
        <v>134</v>
      </c>
      <c r="P273">
        <v>8.7200000000000006</v>
      </c>
      <c r="Q273">
        <v>12.3</v>
      </c>
      <c r="R273">
        <v>1</v>
      </c>
      <c r="S273">
        <v>3.32</v>
      </c>
      <c r="T273">
        <v>1</v>
      </c>
    </row>
    <row r="274" spans="1:20" x14ac:dyDescent="0.3">
      <c r="A274">
        <v>273</v>
      </c>
      <c r="B274" t="s">
        <v>36</v>
      </c>
      <c r="C274">
        <v>80</v>
      </c>
      <c r="D274" t="s">
        <v>72</v>
      </c>
      <c r="E274" t="s">
        <v>74</v>
      </c>
      <c r="F274" t="s">
        <v>74</v>
      </c>
      <c r="G274">
        <v>0</v>
      </c>
      <c r="H274">
        <v>149.80000000000001</v>
      </c>
      <c r="I274">
        <v>123</v>
      </c>
      <c r="J274">
        <v>25.47</v>
      </c>
      <c r="K274">
        <v>276.3</v>
      </c>
      <c r="L274">
        <v>75</v>
      </c>
      <c r="M274">
        <v>23.49</v>
      </c>
      <c r="N274">
        <v>241.4</v>
      </c>
      <c r="O274">
        <v>75</v>
      </c>
      <c r="P274">
        <v>10.86</v>
      </c>
      <c r="Q274">
        <v>10.9</v>
      </c>
      <c r="R274">
        <v>7</v>
      </c>
      <c r="S274">
        <v>2.94</v>
      </c>
      <c r="T274">
        <v>2</v>
      </c>
    </row>
    <row r="275" spans="1:20" x14ac:dyDescent="0.3">
      <c r="A275">
        <v>274</v>
      </c>
      <c r="B275" t="s">
        <v>50</v>
      </c>
      <c r="C275">
        <v>113</v>
      </c>
      <c r="D275" t="s">
        <v>71</v>
      </c>
      <c r="E275" t="s">
        <v>74</v>
      </c>
      <c r="F275" t="s">
        <v>75</v>
      </c>
      <c r="G275">
        <v>23</v>
      </c>
      <c r="H275">
        <v>149</v>
      </c>
      <c r="I275">
        <v>104</v>
      </c>
      <c r="J275">
        <v>25.33</v>
      </c>
      <c r="K275">
        <v>235.8</v>
      </c>
      <c r="L275">
        <v>67</v>
      </c>
      <c r="M275">
        <v>20.04</v>
      </c>
      <c r="N275">
        <v>201.8</v>
      </c>
      <c r="O275">
        <v>76</v>
      </c>
      <c r="P275">
        <v>9.08</v>
      </c>
      <c r="Q275">
        <v>9.5</v>
      </c>
      <c r="R275">
        <v>5</v>
      </c>
      <c r="S275">
        <v>2.57</v>
      </c>
      <c r="T275">
        <v>4</v>
      </c>
    </row>
    <row r="276" spans="1:20" x14ac:dyDescent="0.3">
      <c r="A276">
        <v>275</v>
      </c>
      <c r="B276" t="s">
        <v>53</v>
      </c>
      <c r="C276">
        <v>111</v>
      </c>
      <c r="D276" t="s">
        <v>71</v>
      </c>
      <c r="E276" t="s">
        <v>74</v>
      </c>
      <c r="F276" t="s">
        <v>75</v>
      </c>
      <c r="G276">
        <v>36</v>
      </c>
      <c r="H276">
        <v>96.8</v>
      </c>
      <c r="I276">
        <v>123</v>
      </c>
      <c r="J276">
        <v>16.46</v>
      </c>
      <c r="K276">
        <v>170.6</v>
      </c>
      <c r="L276">
        <v>105</v>
      </c>
      <c r="M276">
        <v>14.5</v>
      </c>
      <c r="N276">
        <v>166</v>
      </c>
      <c r="O276">
        <v>85</v>
      </c>
      <c r="P276">
        <v>7.47</v>
      </c>
      <c r="Q276">
        <v>13.4</v>
      </c>
      <c r="R276">
        <v>4</v>
      </c>
      <c r="S276">
        <v>3.62</v>
      </c>
      <c r="T276">
        <v>2</v>
      </c>
    </row>
    <row r="277" spans="1:20" x14ac:dyDescent="0.3">
      <c r="A277">
        <v>276</v>
      </c>
      <c r="B277" t="s">
        <v>34</v>
      </c>
      <c r="C277">
        <v>70</v>
      </c>
      <c r="D277" t="s">
        <v>71</v>
      </c>
      <c r="E277" t="s">
        <v>74</v>
      </c>
      <c r="F277" t="s">
        <v>74</v>
      </c>
      <c r="G277">
        <v>0</v>
      </c>
      <c r="H277">
        <v>232.8</v>
      </c>
      <c r="I277">
        <v>95</v>
      </c>
      <c r="J277">
        <v>39.58</v>
      </c>
      <c r="K277">
        <v>303.39999999999998</v>
      </c>
      <c r="L277">
        <v>111</v>
      </c>
      <c r="M277">
        <v>25.79</v>
      </c>
      <c r="N277">
        <v>255.6</v>
      </c>
      <c r="O277">
        <v>104</v>
      </c>
      <c r="P277">
        <v>11.5</v>
      </c>
      <c r="Q277">
        <v>12.9</v>
      </c>
      <c r="R277">
        <v>7</v>
      </c>
      <c r="S277">
        <v>3.48</v>
      </c>
      <c r="T277">
        <v>0</v>
      </c>
    </row>
    <row r="278" spans="1:20" x14ac:dyDescent="0.3">
      <c r="A278">
        <v>277</v>
      </c>
      <c r="B278" t="s">
        <v>63</v>
      </c>
      <c r="C278">
        <v>60</v>
      </c>
      <c r="D278" t="s">
        <v>73</v>
      </c>
      <c r="E278" t="s">
        <v>74</v>
      </c>
      <c r="F278" t="s">
        <v>74</v>
      </c>
      <c r="G278">
        <v>0</v>
      </c>
      <c r="H278">
        <v>179.3</v>
      </c>
      <c r="I278">
        <v>147</v>
      </c>
      <c r="J278">
        <v>30.48</v>
      </c>
      <c r="K278">
        <v>208.9</v>
      </c>
      <c r="L278">
        <v>89</v>
      </c>
      <c r="M278">
        <v>17.760000000000002</v>
      </c>
      <c r="N278">
        <v>248.2</v>
      </c>
      <c r="O278">
        <v>98</v>
      </c>
      <c r="P278">
        <v>11.17</v>
      </c>
      <c r="Q278">
        <v>13.5</v>
      </c>
      <c r="R278">
        <v>6</v>
      </c>
      <c r="S278">
        <v>3.65</v>
      </c>
      <c r="T278">
        <v>1</v>
      </c>
    </row>
    <row r="279" spans="1:20" x14ac:dyDescent="0.3">
      <c r="A279">
        <v>278</v>
      </c>
      <c r="B279" t="s">
        <v>57</v>
      </c>
      <c r="C279">
        <v>71</v>
      </c>
      <c r="D279" t="s">
        <v>72</v>
      </c>
      <c r="E279" t="s">
        <v>74</v>
      </c>
      <c r="F279" t="s">
        <v>75</v>
      </c>
      <c r="G279">
        <v>23</v>
      </c>
      <c r="H279">
        <v>175.7</v>
      </c>
      <c r="I279">
        <v>82</v>
      </c>
      <c r="J279">
        <v>29.87</v>
      </c>
      <c r="K279">
        <v>258.89999999999998</v>
      </c>
      <c r="L279">
        <v>136</v>
      </c>
      <c r="M279">
        <v>22.01</v>
      </c>
      <c r="N279">
        <v>268.39999999999998</v>
      </c>
      <c r="O279">
        <v>154</v>
      </c>
      <c r="P279">
        <v>12.08</v>
      </c>
      <c r="Q279">
        <v>14.1</v>
      </c>
      <c r="R279">
        <v>7</v>
      </c>
      <c r="S279">
        <v>3.81</v>
      </c>
      <c r="T279">
        <v>1</v>
      </c>
    </row>
    <row r="280" spans="1:20" x14ac:dyDescent="0.3">
      <c r="A280">
        <v>279</v>
      </c>
      <c r="B280" t="s">
        <v>65</v>
      </c>
      <c r="C280">
        <v>124</v>
      </c>
      <c r="D280" t="s">
        <v>71</v>
      </c>
      <c r="E280" t="s">
        <v>74</v>
      </c>
      <c r="F280" t="s">
        <v>74</v>
      </c>
      <c r="G280">
        <v>0</v>
      </c>
      <c r="H280">
        <v>157.4</v>
      </c>
      <c r="I280">
        <v>107</v>
      </c>
      <c r="J280">
        <v>26.76</v>
      </c>
      <c r="K280">
        <v>167.8</v>
      </c>
      <c r="L280">
        <v>112</v>
      </c>
      <c r="M280">
        <v>14.26</v>
      </c>
      <c r="N280">
        <v>188.8</v>
      </c>
      <c r="O280">
        <v>102</v>
      </c>
      <c r="P280">
        <v>8.5</v>
      </c>
      <c r="Q280">
        <v>8.8000000000000007</v>
      </c>
      <c r="R280">
        <v>3</v>
      </c>
      <c r="S280">
        <v>2.38</v>
      </c>
      <c r="T280">
        <v>3</v>
      </c>
    </row>
    <row r="281" spans="1:20" x14ac:dyDescent="0.3">
      <c r="A281">
        <v>280</v>
      </c>
      <c r="B281" t="s">
        <v>41</v>
      </c>
      <c r="C281">
        <v>66</v>
      </c>
      <c r="D281" t="s">
        <v>71</v>
      </c>
      <c r="E281" t="s">
        <v>74</v>
      </c>
      <c r="F281" t="s">
        <v>74</v>
      </c>
      <c r="G281">
        <v>0</v>
      </c>
      <c r="H281">
        <v>205.1</v>
      </c>
      <c r="I281">
        <v>102</v>
      </c>
      <c r="J281">
        <v>34.869999999999997</v>
      </c>
      <c r="K281">
        <v>232.7</v>
      </c>
      <c r="L281">
        <v>109</v>
      </c>
      <c r="M281">
        <v>19.78</v>
      </c>
      <c r="N281">
        <v>259.89999999999998</v>
      </c>
      <c r="O281">
        <v>95</v>
      </c>
      <c r="P281">
        <v>11.7</v>
      </c>
      <c r="Q281">
        <v>9.1999999999999993</v>
      </c>
      <c r="R281">
        <v>6</v>
      </c>
      <c r="S281">
        <v>2.48</v>
      </c>
      <c r="T281">
        <v>2</v>
      </c>
    </row>
    <row r="282" spans="1:20" x14ac:dyDescent="0.3">
      <c r="A282">
        <v>281</v>
      </c>
      <c r="B282" t="s">
        <v>61</v>
      </c>
      <c r="C282">
        <v>106</v>
      </c>
      <c r="D282" t="s">
        <v>71</v>
      </c>
      <c r="E282" t="s">
        <v>74</v>
      </c>
      <c r="F282" t="s">
        <v>74</v>
      </c>
      <c r="G282">
        <v>0</v>
      </c>
      <c r="H282">
        <v>158.6</v>
      </c>
      <c r="I282">
        <v>112</v>
      </c>
      <c r="J282">
        <v>26.96</v>
      </c>
      <c r="K282">
        <v>220</v>
      </c>
      <c r="L282">
        <v>114</v>
      </c>
      <c r="M282">
        <v>18.7</v>
      </c>
      <c r="N282">
        <v>252.9</v>
      </c>
      <c r="O282">
        <v>106</v>
      </c>
      <c r="P282">
        <v>11.38</v>
      </c>
      <c r="Q282">
        <v>9.1</v>
      </c>
      <c r="R282">
        <v>3</v>
      </c>
      <c r="S282">
        <v>2.46</v>
      </c>
      <c r="T282">
        <v>0</v>
      </c>
    </row>
    <row r="283" spans="1:20" x14ac:dyDescent="0.3">
      <c r="A283">
        <v>282</v>
      </c>
      <c r="B283" t="s">
        <v>33</v>
      </c>
      <c r="C283">
        <v>59</v>
      </c>
      <c r="D283" t="s">
        <v>72</v>
      </c>
      <c r="E283" t="s">
        <v>74</v>
      </c>
      <c r="F283" t="s">
        <v>74</v>
      </c>
      <c r="G283">
        <v>0</v>
      </c>
      <c r="H283">
        <v>153.6</v>
      </c>
      <c r="I283">
        <v>92</v>
      </c>
      <c r="J283">
        <v>26.11</v>
      </c>
      <c r="K283">
        <v>205.5</v>
      </c>
      <c r="L283">
        <v>88</v>
      </c>
      <c r="M283">
        <v>17.47</v>
      </c>
      <c r="N283">
        <v>114.5</v>
      </c>
      <c r="O283">
        <v>89</v>
      </c>
      <c r="P283">
        <v>5.15</v>
      </c>
      <c r="Q283">
        <v>12.5</v>
      </c>
      <c r="R283">
        <v>10</v>
      </c>
      <c r="S283">
        <v>3.38</v>
      </c>
      <c r="T283">
        <v>1</v>
      </c>
    </row>
    <row r="284" spans="1:20" x14ac:dyDescent="0.3">
      <c r="A284">
        <v>283</v>
      </c>
      <c r="B284" t="s">
        <v>64</v>
      </c>
      <c r="C284">
        <v>87</v>
      </c>
      <c r="D284" t="s">
        <v>71</v>
      </c>
      <c r="E284" t="s">
        <v>75</v>
      </c>
      <c r="F284" t="s">
        <v>75</v>
      </c>
      <c r="G284">
        <v>40</v>
      </c>
      <c r="H284">
        <v>221.6</v>
      </c>
      <c r="I284">
        <v>79</v>
      </c>
      <c r="J284">
        <v>37.67</v>
      </c>
      <c r="K284">
        <v>157.1</v>
      </c>
      <c r="L284">
        <v>74</v>
      </c>
      <c r="M284">
        <v>13.35</v>
      </c>
      <c r="N284">
        <v>222.4</v>
      </c>
      <c r="O284">
        <v>124</v>
      </c>
      <c r="P284">
        <v>10.01</v>
      </c>
      <c r="Q284">
        <v>11.5</v>
      </c>
      <c r="R284">
        <v>3</v>
      </c>
      <c r="S284">
        <v>3.11</v>
      </c>
      <c r="T284">
        <v>1</v>
      </c>
    </row>
    <row r="285" spans="1:20" x14ac:dyDescent="0.3">
      <c r="A285">
        <v>284</v>
      </c>
      <c r="B285" t="s">
        <v>40</v>
      </c>
      <c r="C285">
        <v>59</v>
      </c>
      <c r="D285" t="s">
        <v>71</v>
      </c>
      <c r="E285" t="s">
        <v>74</v>
      </c>
      <c r="F285" t="s">
        <v>74</v>
      </c>
      <c r="G285">
        <v>0</v>
      </c>
      <c r="H285">
        <v>204.3</v>
      </c>
      <c r="I285">
        <v>65</v>
      </c>
      <c r="J285">
        <v>34.729999999999997</v>
      </c>
      <c r="K285">
        <v>247.3</v>
      </c>
      <c r="L285">
        <v>123</v>
      </c>
      <c r="M285">
        <v>21.02</v>
      </c>
      <c r="N285">
        <v>214.7</v>
      </c>
      <c r="O285">
        <v>94</v>
      </c>
      <c r="P285">
        <v>9.66</v>
      </c>
      <c r="Q285">
        <v>12</v>
      </c>
      <c r="R285">
        <v>4</v>
      </c>
      <c r="S285">
        <v>3.24</v>
      </c>
      <c r="T285">
        <v>1</v>
      </c>
    </row>
    <row r="286" spans="1:20" x14ac:dyDescent="0.3">
      <c r="A286">
        <v>285</v>
      </c>
      <c r="B286" t="s">
        <v>24</v>
      </c>
      <c r="C286">
        <v>21</v>
      </c>
      <c r="D286" t="s">
        <v>72</v>
      </c>
      <c r="E286" t="s">
        <v>74</v>
      </c>
      <c r="F286" t="s">
        <v>74</v>
      </c>
      <c r="G286">
        <v>0</v>
      </c>
      <c r="H286">
        <v>225</v>
      </c>
      <c r="I286">
        <v>110</v>
      </c>
      <c r="J286">
        <v>38.25</v>
      </c>
      <c r="K286">
        <v>244.2</v>
      </c>
      <c r="L286">
        <v>111</v>
      </c>
      <c r="M286">
        <v>20.76</v>
      </c>
      <c r="N286">
        <v>221.2</v>
      </c>
      <c r="O286">
        <v>93</v>
      </c>
      <c r="P286">
        <v>9.9499999999999993</v>
      </c>
      <c r="Q286">
        <v>10.7</v>
      </c>
      <c r="R286">
        <v>4</v>
      </c>
      <c r="S286">
        <v>2.89</v>
      </c>
      <c r="T286">
        <v>0</v>
      </c>
    </row>
    <row r="287" spans="1:20" x14ac:dyDescent="0.3">
      <c r="A287">
        <v>286</v>
      </c>
      <c r="B287" t="s">
        <v>28</v>
      </c>
      <c r="C287">
        <v>147</v>
      </c>
      <c r="D287" t="s">
        <v>71</v>
      </c>
      <c r="E287" t="s">
        <v>74</v>
      </c>
      <c r="F287" t="s">
        <v>75</v>
      </c>
      <c r="G287">
        <v>36</v>
      </c>
      <c r="H287">
        <v>254.2</v>
      </c>
      <c r="I287">
        <v>78</v>
      </c>
      <c r="J287">
        <v>43.21</v>
      </c>
      <c r="K287">
        <v>228.1</v>
      </c>
      <c r="L287">
        <v>105</v>
      </c>
      <c r="M287">
        <v>19.39</v>
      </c>
      <c r="N287">
        <v>98</v>
      </c>
      <c r="O287">
        <v>125</v>
      </c>
      <c r="P287">
        <v>4.41</v>
      </c>
      <c r="Q287">
        <v>13.8</v>
      </c>
      <c r="R287">
        <v>7</v>
      </c>
      <c r="S287">
        <v>3.73</v>
      </c>
      <c r="T287">
        <v>5</v>
      </c>
    </row>
    <row r="288" spans="1:20" x14ac:dyDescent="0.3">
      <c r="A288">
        <v>287</v>
      </c>
      <c r="B288" t="s">
        <v>58</v>
      </c>
      <c r="C288">
        <v>117</v>
      </c>
      <c r="D288" t="s">
        <v>71</v>
      </c>
      <c r="E288" t="s">
        <v>74</v>
      </c>
      <c r="F288" t="s">
        <v>75</v>
      </c>
      <c r="G288">
        <v>17</v>
      </c>
      <c r="H288">
        <v>221.3</v>
      </c>
      <c r="I288">
        <v>82</v>
      </c>
      <c r="J288">
        <v>37.619999999999997</v>
      </c>
      <c r="K288">
        <v>167.6</v>
      </c>
      <c r="L288">
        <v>100</v>
      </c>
      <c r="M288">
        <v>14.25</v>
      </c>
      <c r="N288">
        <v>262.7</v>
      </c>
      <c r="O288">
        <v>87</v>
      </c>
      <c r="P288">
        <v>11.82</v>
      </c>
      <c r="Q288">
        <v>4.4000000000000004</v>
      </c>
      <c r="R288">
        <v>4</v>
      </c>
      <c r="S288">
        <v>1.19</v>
      </c>
      <c r="T288">
        <v>0</v>
      </c>
    </row>
    <row r="289" spans="1:20" x14ac:dyDescent="0.3">
      <c r="A289">
        <v>288</v>
      </c>
      <c r="B289" t="s">
        <v>37</v>
      </c>
      <c r="C289">
        <v>138</v>
      </c>
      <c r="D289" t="s">
        <v>71</v>
      </c>
      <c r="E289" t="s">
        <v>74</v>
      </c>
      <c r="F289" t="s">
        <v>75</v>
      </c>
      <c r="G289">
        <v>29</v>
      </c>
      <c r="H289">
        <v>190.1</v>
      </c>
      <c r="I289">
        <v>87</v>
      </c>
      <c r="J289">
        <v>32.32</v>
      </c>
      <c r="K289">
        <v>223.2</v>
      </c>
      <c r="L289">
        <v>123</v>
      </c>
      <c r="M289">
        <v>18.97</v>
      </c>
      <c r="N289">
        <v>256.2</v>
      </c>
      <c r="O289">
        <v>130</v>
      </c>
      <c r="P289">
        <v>11.53</v>
      </c>
      <c r="Q289">
        <v>14.2</v>
      </c>
      <c r="R289">
        <v>6</v>
      </c>
      <c r="S289">
        <v>3.83</v>
      </c>
      <c r="T289">
        <v>0</v>
      </c>
    </row>
    <row r="290" spans="1:20" x14ac:dyDescent="0.3">
      <c r="A290">
        <v>289</v>
      </c>
      <c r="B290" t="s">
        <v>45</v>
      </c>
      <c r="C290">
        <v>80</v>
      </c>
      <c r="D290" t="s">
        <v>71</v>
      </c>
      <c r="E290" t="s">
        <v>74</v>
      </c>
      <c r="F290" t="s">
        <v>74</v>
      </c>
      <c r="G290">
        <v>0</v>
      </c>
      <c r="H290">
        <v>199.8</v>
      </c>
      <c r="I290">
        <v>138</v>
      </c>
      <c r="J290">
        <v>33.97</v>
      </c>
      <c r="K290">
        <v>167.1</v>
      </c>
      <c r="L290">
        <v>91</v>
      </c>
      <c r="M290">
        <v>14.2</v>
      </c>
      <c r="N290">
        <v>271.8</v>
      </c>
      <c r="O290">
        <v>94</v>
      </c>
      <c r="P290">
        <v>12.23</v>
      </c>
      <c r="Q290">
        <v>5.5</v>
      </c>
      <c r="R290">
        <v>4</v>
      </c>
      <c r="S290">
        <v>1.49</v>
      </c>
      <c r="T290">
        <v>1</v>
      </c>
    </row>
    <row r="291" spans="1:20" x14ac:dyDescent="0.3">
      <c r="A291">
        <v>290</v>
      </c>
      <c r="B291" t="s">
        <v>45</v>
      </c>
      <c r="C291">
        <v>133</v>
      </c>
      <c r="D291" t="s">
        <v>72</v>
      </c>
      <c r="E291" t="s">
        <v>74</v>
      </c>
      <c r="F291" t="s">
        <v>74</v>
      </c>
      <c r="G291">
        <v>0</v>
      </c>
      <c r="H291">
        <v>245.8</v>
      </c>
      <c r="I291">
        <v>102</v>
      </c>
      <c r="J291">
        <v>41.79</v>
      </c>
      <c r="K291">
        <v>264.7</v>
      </c>
      <c r="L291">
        <v>90</v>
      </c>
      <c r="M291">
        <v>22.5</v>
      </c>
      <c r="N291">
        <v>111.7</v>
      </c>
      <c r="O291">
        <v>103</v>
      </c>
      <c r="P291">
        <v>5.03</v>
      </c>
      <c r="Q291">
        <v>11.2</v>
      </c>
      <c r="R291">
        <v>7</v>
      </c>
      <c r="S291">
        <v>3.02</v>
      </c>
      <c r="T291">
        <v>0</v>
      </c>
    </row>
    <row r="292" spans="1:20" x14ac:dyDescent="0.3">
      <c r="A292">
        <v>291</v>
      </c>
      <c r="B292" t="s">
        <v>49</v>
      </c>
      <c r="C292">
        <v>123</v>
      </c>
      <c r="D292" t="s">
        <v>73</v>
      </c>
      <c r="E292" t="s">
        <v>74</v>
      </c>
      <c r="F292" t="s">
        <v>74</v>
      </c>
      <c r="G292">
        <v>0</v>
      </c>
      <c r="H292">
        <v>206.9</v>
      </c>
      <c r="I292">
        <v>115</v>
      </c>
      <c r="J292">
        <v>35.17</v>
      </c>
      <c r="K292">
        <v>224.4</v>
      </c>
      <c r="L292">
        <v>86</v>
      </c>
      <c r="M292">
        <v>19.07</v>
      </c>
      <c r="N292">
        <v>197.4</v>
      </c>
      <c r="O292">
        <v>60</v>
      </c>
      <c r="P292">
        <v>8.8800000000000008</v>
      </c>
      <c r="Q292">
        <v>8.3000000000000007</v>
      </c>
      <c r="R292">
        <v>2</v>
      </c>
      <c r="S292">
        <v>2.2400000000000002</v>
      </c>
      <c r="T292">
        <v>3</v>
      </c>
    </row>
    <row r="293" spans="1:20" x14ac:dyDescent="0.3">
      <c r="A293">
        <v>292</v>
      </c>
      <c r="B293" t="s">
        <v>70</v>
      </c>
      <c r="C293">
        <v>39</v>
      </c>
      <c r="D293" t="s">
        <v>71</v>
      </c>
      <c r="E293" t="s">
        <v>74</v>
      </c>
      <c r="F293" t="s">
        <v>74</v>
      </c>
      <c r="G293">
        <v>0</v>
      </c>
      <c r="H293">
        <v>295.39999999999998</v>
      </c>
      <c r="I293">
        <v>126</v>
      </c>
      <c r="J293">
        <v>50.22</v>
      </c>
      <c r="K293">
        <v>232.1</v>
      </c>
      <c r="L293">
        <v>117</v>
      </c>
      <c r="M293">
        <v>19.73</v>
      </c>
      <c r="N293">
        <v>204.4</v>
      </c>
      <c r="O293">
        <v>123</v>
      </c>
      <c r="P293">
        <v>9.1999999999999993</v>
      </c>
      <c r="Q293">
        <v>11.5</v>
      </c>
      <c r="R293">
        <v>2</v>
      </c>
      <c r="S293">
        <v>3.11</v>
      </c>
      <c r="T293">
        <v>1</v>
      </c>
    </row>
    <row r="294" spans="1:20" x14ac:dyDescent="0.3">
      <c r="A294">
        <v>293</v>
      </c>
      <c r="B294" t="s">
        <v>34</v>
      </c>
      <c r="C294">
        <v>92</v>
      </c>
      <c r="D294" t="s">
        <v>72</v>
      </c>
      <c r="E294" t="s">
        <v>74</v>
      </c>
      <c r="F294" t="s">
        <v>74</v>
      </c>
      <c r="G294">
        <v>0</v>
      </c>
      <c r="H294">
        <v>139.80000000000001</v>
      </c>
      <c r="I294">
        <v>98</v>
      </c>
      <c r="J294">
        <v>23.77</v>
      </c>
      <c r="K294">
        <v>174.9</v>
      </c>
      <c r="L294">
        <v>143</v>
      </c>
      <c r="M294">
        <v>14.87</v>
      </c>
      <c r="N294">
        <v>201.6</v>
      </c>
      <c r="O294">
        <v>135</v>
      </c>
      <c r="P294">
        <v>9.07</v>
      </c>
      <c r="Q294">
        <v>9.4</v>
      </c>
      <c r="R294">
        <v>7</v>
      </c>
      <c r="S294">
        <v>2.54</v>
      </c>
      <c r="T294">
        <v>2</v>
      </c>
    </row>
    <row r="295" spans="1:20" x14ac:dyDescent="0.3">
      <c r="A295">
        <v>294</v>
      </c>
      <c r="B295" t="s">
        <v>25</v>
      </c>
      <c r="C295">
        <v>65</v>
      </c>
      <c r="D295" t="s">
        <v>72</v>
      </c>
      <c r="E295" t="s">
        <v>74</v>
      </c>
      <c r="F295" t="s">
        <v>74</v>
      </c>
      <c r="G295">
        <v>0</v>
      </c>
      <c r="H295">
        <v>192</v>
      </c>
      <c r="I295">
        <v>89</v>
      </c>
      <c r="J295">
        <v>32.64</v>
      </c>
      <c r="K295">
        <v>139.5</v>
      </c>
      <c r="L295">
        <v>88</v>
      </c>
      <c r="M295">
        <v>11.86</v>
      </c>
      <c r="N295">
        <v>187.4</v>
      </c>
      <c r="O295">
        <v>102</v>
      </c>
      <c r="P295">
        <v>8.43</v>
      </c>
      <c r="Q295">
        <v>5.5</v>
      </c>
      <c r="R295">
        <v>4</v>
      </c>
      <c r="S295">
        <v>1.49</v>
      </c>
      <c r="T295">
        <v>2</v>
      </c>
    </row>
    <row r="296" spans="1:20" x14ac:dyDescent="0.3">
      <c r="A296">
        <v>295</v>
      </c>
      <c r="B296" t="s">
        <v>52</v>
      </c>
      <c r="C296">
        <v>67</v>
      </c>
      <c r="D296" t="s">
        <v>71</v>
      </c>
      <c r="E296" t="s">
        <v>74</v>
      </c>
      <c r="F296" t="s">
        <v>74</v>
      </c>
      <c r="G296">
        <v>0</v>
      </c>
      <c r="H296">
        <v>215.5</v>
      </c>
      <c r="I296">
        <v>102</v>
      </c>
      <c r="J296">
        <v>36.64</v>
      </c>
      <c r="K296">
        <v>190.7</v>
      </c>
      <c r="L296">
        <v>95</v>
      </c>
      <c r="M296">
        <v>16.21</v>
      </c>
      <c r="N296">
        <v>214.5</v>
      </c>
      <c r="O296">
        <v>106</v>
      </c>
      <c r="P296">
        <v>9.65</v>
      </c>
      <c r="Q296">
        <v>8.6</v>
      </c>
      <c r="R296">
        <v>6</v>
      </c>
      <c r="S296">
        <v>2.3199999999999998</v>
      </c>
      <c r="T296">
        <v>1</v>
      </c>
    </row>
    <row r="297" spans="1:20" x14ac:dyDescent="0.3">
      <c r="A297">
        <v>296</v>
      </c>
      <c r="B297" t="s">
        <v>54</v>
      </c>
      <c r="C297">
        <v>124</v>
      </c>
      <c r="D297" t="s">
        <v>71</v>
      </c>
      <c r="E297" t="s">
        <v>74</v>
      </c>
      <c r="F297" t="s">
        <v>74</v>
      </c>
      <c r="G297">
        <v>0</v>
      </c>
      <c r="H297">
        <v>131.80000000000001</v>
      </c>
      <c r="I297">
        <v>82</v>
      </c>
      <c r="J297">
        <v>22.41</v>
      </c>
      <c r="K297">
        <v>284.3</v>
      </c>
      <c r="L297">
        <v>119</v>
      </c>
      <c r="M297">
        <v>24.17</v>
      </c>
      <c r="N297">
        <v>305.5</v>
      </c>
      <c r="O297">
        <v>101</v>
      </c>
      <c r="P297">
        <v>13.75</v>
      </c>
      <c r="Q297">
        <v>11.3</v>
      </c>
      <c r="R297">
        <v>2</v>
      </c>
      <c r="S297">
        <v>3.05</v>
      </c>
      <c r="T297">
        <v>1</v>
      </c>
    </row>
    <row r="298" spans="1:20" x14ac:dyDescent="0.3">
      <c r="A298">
        <v>297</v>
      </c>
      <c r="B298" t="s">
        <v>28</v>
      </c>
      <c r="C298">
        <v>84</v>
      </c>
      <c r="D298" t="s">
        <v>71</v>
      </c>
      <c r="E298" t="s">
        <v>74</v>
      </c>
      <c r="F298" t="s">
        <v>74</v>
      </c>
      <c r="G298">
        <v>0</v>
      </c>
      <c r="H298">
        <v>190.2</v>
      </c>
      <c r="I298">
        <v>102</v>
      </c>
      <c r="J298">
        <v>32.33</v>
      </c>
      <c r="K298">
        <v>197.7</v>
      </c>
      <c r="L298">
        <v>141</v>
      </c>
      <c r="M298">
        <v>16.8</v>
      </c>
      <c r="N298">
        <v>247.5</v>
      </c>
      <c r="O298">
        <v>102</v>
      </c>
      <c r="P298">
        <v>11.14</v>
      </c>
      <c r="Q298">
        <v>9.8000000000000007</v>
      </c>
      <c r="R298">
        <v>6</v>
      </c>
      <c r="S298">
        <v>2.65</v>
      </c>
      <c r="T298">
        <v>2</v>
      </c>
    </row>
    <row r="299" spans="1:20" x14ac:dyDescent="0.3">
      <c r="A299">
        <v>298</v>
      </c>
      <c r="B299" t="s">
        <v>50</v>
      </c>
      <c r="C299">
        <v>145</v>
      </c>
      <c r="D299" t="s">
        <v>73</v>
      </c>
      <c r="E299" t="s">
        <v>74</v>
      </c>
      <c r="F299" t="s">
        <v>74</v>
      </c>
      <c r="G299">
        <v>0</v>
      </c>
      <c r="H299">
        <v>199.2</v>
      </c>
      <c r="I299">
        <v>124</v>
      </c>
      <c r="J299">
        <v>33.86</v>
      </c>
      <c r="K299">
        <v>126</v>
      </c>
      <c r="L299">
        <v>86</v>
      </c>
      <c r="M299">
        <v>10.71</v>
      </c>
      <c r="N299">
        <v>289.2</v>
      </c>
      <c r="O299">
        <v>135</v>
      </c>
      <c r="P299">
        <v>13.01</v>
      </c>
      <c r="Q299">
        <v>7.6</v>
      </c>
      <c r="R299">
        <v>3</v>
      </c>
      <c r="S299">
        <v>2.0499999999999998</v>
      </c>
      <c r="T299">
        <v>1</v>
      </c>
    </row>
    <row r="300" spans="1:20" x14ac:dyDescent="0.3">
      <c r="A300">
        <v>299</v>
      </c>
      <c r="B300" t="s">
        <v>66</v>
      </c>
      <c r="C300">
        <v>124</v>
      </c>
      <c r="D300" t="s">
        <v>71</v>
      </c>
      <c r="E300" t="s">
        <v>74</v>
      </c>
      <c r="F300" t="s">
        <v>74</v>
      </c>
      <c r="G300">
        <v>0</v>
      </c>
      <c r="H300">
        <v>188.5</v>
      </c>
      <c r="I300">
        <v>77</v>
      </c>
      <c r="J300">
        <v>32.049999999999997</v>
      </c>
      <c r="K300">
        <v>182</v>
      </c>
      <c r="L300">
        <v>123</v>
      </c>
      <c r="M300">
        <v>15.47</v>
      </c>
      <c r="N300">
        <v>218.2</v>
      </c>
      <c r="O300">
        <v>127</v>
      </c>
      <c r="P300">
        <v>9.82</v>
      </c>
      <c r="Q300">
        <v>6.1</v>
      </c>
      <c r="R300">
        <v>6</v>
      </c>
      <c r="S300">
        <v>1.65</v>
      </c>
      <c r="T300">
        <v>1</v>
      </c>
    </row>
    <row r="301" spans="1:20" x14ac:dyDescent="0.3">
      <c r="A301">
        <v>300</v>
      </c>
      <c r="B301" t="s">
        <v>52</v>
      </c>
      <c r="C301">
        <v>94</v>
      </c>
      <c r="D301" t="s">
        <v>71</v>
      </c>
      <c r="E301" t="s">
        <v>74</v>
      </c>
      <c r="F301" t="s">
        <v>74</v>
      </c>
      <c r="G301">
        <v>0</v>
      </c>
      <c r="H301">
        <v>108</v>
      </c>
      <c r="I301">
        <v>79</v>
      </c>
      <c r="J301">
        <v>18.36</v>
      </c>
      <c r="K301">
        <v>241.9</v>
      </c>
      <c r="L301">
        <v>152</v>
      </c>
      <c r="M301">
        <v>20.56</v>
      </c>
      <c r="N301">
        <v>252.1</v>
      </c>
      <c r="O301">
        <v>92</v>
      </c>
      <c r="P301">
        <v>11.34</v>
      </c>
      <c r="Q301">
        <v>10.4</v>
      </c>
      <c r="R301">
        <v>3</v>
      </c>
      <c r="S301">
        <v>2.81</v>
      </c>
      <c r="T301">
        <v>3</v>
      </c>
    </row>
    <row r="302" spans="1:20" x14ac:dyDescent="0.3">
      <c r="A302">
        <v>301</v>
      </c>
      <c r="B302" t="s">
        <v>70</v>
      </c>
      <c r="C302">
        <v>72</v>
      </c>
      <c r="D302" t="s">
        <v>73</v>
      </c>
      <c r="E302" t="s">
        <v>74</v>
      </c>
      <c r="F302" t="s">
        <v>74</v>
      </c>
      <c r="G302">
        <v>0</v>
      </c>
      <c r="H302">
        <v>177.1</v>
      </c>
      <c r="I302">
        <v>97</v>
      </c>
      <c r="J302">
        <v>30.11</v>
      </c>
      <c r="K302">
        <v>184.7</v>
      </c>
      <c r="L302">
        <v>105</v>
      </c>
      <c r="M302">
        <v>15.7</v>
      </c>
      <c r="N302">
        <v>174.1</v>
      </c>
      <c r="O302">
        <v>94</v>
      </c>
      <c r="P302">
        <v>7.83</v>
      </c>
      <c r="Q302">
        <v>8</v>
      </c>
      <c r="R302">
        <v>6</v>
      </c>
      <c r="S302">
        <v>2.16</v>
      </c>
      <c r="T302">
        <v>1</v>
      </c>
    </row>
    <row r="303" spans="1:20" x14ac:dyDescent="0.3">
      <c r="A303">
        <v>302</v>
      </c>
      <c r="B303" t="s">
        <v>68</v>
      </c>
      <c r="C303">
        <v>177</v>
      </c>
      <c r="D303" t="s">
        <v>71</v>
      </c>
      <c r="E303" t="s">
        <v>74</v>
      </c>
      <c r="F303" t="s">
        <v>75</v>
      </c>
      <c r="G303">
        <v>27</v>
      </c>
      <c r="H303">
        <v>230.2</v>
      </c>
      <c r="I303">
        <v>106</v>
      </c>
      <c r="J303">
        <v>39.130000000000003</v>
      </c>
      <c r="K303">
        <v>196.1</v>
      </c>
      <c r="L303">
        <v>78</v>
      </c>
      <c r="M303">
        <v>16.670000000000002</v>
      </c>
      <c r="N303">
        <v>215.4</v>
      </c>
      <c r="O303">
        <v>108</v>
      </c>
      <c r="P303">
        <v>9.69</v>
      </c>
      <c r="Q303">
        <v>10.4</v>
      </c>
      <c r="R303">
        <v>2</v>
      </c>
      <c r="S303">
        <v>2.81</v>
      </c>
      <c r="T303">
        <v>1</v>
      </c>
    </row>
    <row r="304" spans="1:20" x14ac:dyDescent="0.3">
      <c r="A304">
        <v>303</v>
      </c>
      <c r="B304" t="s">
        <v>70</v>
      </c>
      <c r="C304">
        <v>43</v>
      </c>
      <c r="D304" t="s">
        <v>73</v>
      </c>
      <c r="E304" t="s">
        <v>74</v>
      </c>
      <c r="F304" t="s">
        <v>74</v>
      </c>
      <c r="G304">
        <v>0</v>
      </c>
      <c r="H304">
        <v>177.2</v>
      </c>
      <c r="I304">
        <v>93</v>
      </c>
      <c r="J304">
        <v>30.12</v>
      </c>
      <c r="K304">
        <v>142.6</v>
      </c>
      <c r="L304">
        <v>60</v>
      </c>
      <c r="M304">
        <v>12.12</v>
      </c>
      <c r="N304">
        <v>314.10000000000002</v>
      </c>
      <c r="O304">
        <v>144</v>
      </c>
      <c r="P304">
        <v>14.13</v>
      </c>
      <c r="Q304">
        <v>12.7</v>
      </c>
      <c r="R304">
        <v>2</v>
      </c>
      <c r="S304">
        <v>3.43</v>
      </c>
      <c r="T304">
        <v>4</v>
      </c>
    </row>
    <row r="305" spans="1:20" x14ac:dyDescent="0.3">
      <c r="A305">
        <v>304</v>
      </c>
      <c r="B305" t="s">
        <v>45</v>
      </c>
      <c r="C305">
        <v>99</v>
      </c>
      <c r="D305" t="s">
        <v>71</v>
      </c>
      <c r="E305" t="s">
        <v>74</v>
      </c>
      <c r="F305" t="s">
        <v>74</v>
      </c>
      <c r="G305">
        <v>0</v>
      </c>
      <c r="H305">
        <v>140.69999999999999</v>
      </c>
      <c r="I305">
        <v>88</v>
      </c>
      <c r="J305">
        <v>23.92</v>
      </c>
      <c r="K305">
        <v>210.9</v>
      </c>
      <c r="L305">
        <v>98</v>
      </c>
      <c r="M305">
        <v>17.93</v>
      </c>
      <c r="N305">
        <v>229.9</v>
      </c>
      <c r="O305">
        <v>125</v>
      </c>
      <c r="P305">
        <v>10.35</v>
      </c>
      <c r="Q305">
        <v>12.4</v>
      </c>
      <c r="R305">
        <v>4</v>
      </c>
      <c r="S305">
        <v>3.35</v>
      </c>
      <c r="T305">
        <v>2</v>
      </c>
    </row>
    <row r="306" spans="1:20" x14ac:dyDescent="0.3">
      <c r="A306">
        <v>305</v>
      </c>
      <c r="B306" t="s">
        <v>50</v>
      </c>
      <c r="C306">
        <v>150</v>
      </c>
      <c r="D306" t="s">
        <v>72</v>
      </c>
      <c r="E306" t="s">
        <v>74</v>
      </c>
      <c r="F306" t="s">
        <v>74</v>
      </c>
      <c r="G306">
        <v>0</v>
      </c>
      <c r="H306">
        <v>169.2</v>
      </c>
      <c r="I306">
        <v>123</v>
      </c>
      <c r="J306">
        <v>28.76</v>
      </c>
      <c r="K306">
        <v>216.8</v>
      </c>
      <c r="L306">
        <v>83</v>
      </c>
      <c r="M306">
        <v>18.43</v>
      </c>
      <c r="N306">
        <v>179.4</v>
      </c>
      <c r="O306">
        <v>107</v>
      </c>
      <c r="P306">
        <v>8.07</v>
      </c>
      <c r="Q306">
        <v>12.6</v>
      </c>
      <c r="R306">
        <v>3</v>
      </c>
      <c r="S306">
        <v>3.4</v>
      </c>
      <c r="T306">
        <v>1</v>
      </c>
    </row>
    <row r="307" spans="1:20" x14ac:dyDescent="0.3">
      <c r="A307">
        <v>306</v>
      </c>
      <c r="B307" t="s">
        <v>60</v>
      </c>
      <c r="C307">
        <v>77</v>
      </c>
      <c r="D307" t="s">
        <v>72</v>
      </c>
      <c r="E307" t="s">
        <v>74</v>
      </c>
      <c r="F307" t="s">
        <v>74</v>
      </c>
      <c r="G307">
        <v>0</v>
      </c>
      <c r="H307">
        <v>175.5</v>
      </c>
      <c r="I307">
        <v>86</v>
      </c>
      <c r="J307">
        <v>29.84</v>
      </c>
      <c r="K307">
        <v>205.1</v>
      </c>
      <c r="L307">
        <v>78</v>
      </c>
      <c r="M307">
        <v>17.43</v>
      </c>
      <c r="N307">
        <v>245.2</v>
      </c>
      <c r="O307">
        <v>100</v>
      </c>
      <c r="P307">
        <v>11.03</v>
      </c>
      <c r="Q307">
        <v>17.8</v>
      </c>
      <c r="R307">
        <v>3</v>
      </c>
      <c r="S307">
        <v>4.8099999999999996</v>
      </c>
      <c r="T307">
        <v>4</v>
      </c>
    </row>
    <row r="308" spans="1:20" x14ac:dyDescent="0.3">
      <c r="A308">
        <v>307</v>
      </c>
      <c r="B308" t="s">
        <v>29</v>
      </c>
      <c r="C308">
        <v>86</v>
      </c>
      <c r="D308" t="s">
        <v>71</v>
      </c>
      <c r="E308" t="s">
        <v>74</v>
      </c>
      <c r="F308" t="s">
        <v>74</v>
      </c>
      <c r="G308">
        <v>0</v>
      </c>
      <c r="H308">
        <v>194.2</v>
      </c>
      <c r="I308">
        <v>98</v>
      </c>
      <c r="J308">
        <v>33.01</v>
      </c>
      <c r="K308">
        <v>193.8</v>
      </c>
      <c r="L308">
        <v>95</v>
      </c>
      <c r="M308">
        <v>16.47</v>
      </c>
      <c r="N308">
        <v>192</v>
      </c>
      <c r="O308">
        <v>123</v>
      </c>
      <c r="P308">
        <v>8.64</v>
      </c>
      <c r="Q308">
        <v>9.3000000000000007</v>
      </c>
      <c r="R308">
        <v>7</v>
      </c>
      <c r="S308">
        <v>2.5099999999999998</v>
      </c>
      <c r="T308">
        <v>3</v>
      </c>
    </row>
    <row r="309" spans="1:20" x14ac:dyDescent="0.3">
      <c r="A309">
        <v>308</v>
      </c>
      <c r="B309" t="s">
        <v>49</v>
      </c>
      <c r="C309">
        <v>165</v>
      </c>
      <c r="D309" t="s">
        <v>71</v>
      </c>
      <c r="E309" t="s">
        <v>74</v>
      </c>
      <c r="F309" t="s">
        <v>75</v>
      </c>
      <c r="G309">
        <v>39</v>
      </c>
      <c r="H309">
        <v>167.4</v>
      </c>
      <c r="I309">
        <v>113</v>
      </c>
      <c r="J309">
        <v>28.46</v>
      </c>
      <c r="K309">
        <v>172.7</v>
      </c>
      <c r="L309">
        <v>94</v>
      </c>
      <c r="M309">
        <v>14.68</v>
      </c>
      <c r="N309">
        <v>192.6</v>
      </c>
      <c r="O309">
        <v>113</v>
      </c>
      <c r="P309">
        <v>8.67</v>
      </c>
      <c r="Q309">
        <v>9.5</v>
      </c>
      <c r="R309">
        <v>4</v>
      </c>
      <c r="S309">
        <v>2.57</v>
      </c>
      <c r="T309">
        <v>3</v>
      </c>
    </row>
    <row r="310" spans="1:20" x14ac:dyDescent="0.3">
      <c r="A310">
        <v>309</v>
      </c>
      <c r="B310" t="s">
        <v>59</v>
      </c>
      <c r="C310">
        <v>41</v>
      </c>
      <c r="D310" t="s">
        <v>71</v>
      </c>
      <c r="E310" t="s">
        <v>74</v>
      </c>
      <c r="F310" t="s">
        <v>75</v>
      </c>
      <c r="G310">
        <v>30</v>
      </c>
      <c r="H310">
        <v>191.7</v>
      </c>
      <c r="I310">
        <v>109</v>
      </c>
      <c r="J310">
        <v>32.590000000000003</v>
      </c>
      <c r="K310">
        <v>193</v>
      </c>
      <c r="L310">
        <v>86</v>
      </c>
      <c r="M310">
        <v>16.41</v>
      </c>
      <c r="N310">
        <v>149.4</v>
      </c>
      <c r="O310">
        <v>93</v>
      </c>
      <c r="P310">
        <v>6.72</v>
      </c>
      <c r="Q310">
        <v>11.1</v>
      </c>
      <c r="R310">
        <v>4</v>
      </c>
      <c r="S310">
        <v>3</v>
      </c>
      <c r="T310">
        <v>1</v>
      </c>
    </row>
    <row r="311" spans="1:20" x14ac:dyDescent="0.3">
      <c r="A311">
        <v>310</v>
      </c>
      <c r="B311" t="s">
        <v>56</v>
      </c>
      <c r="C311">
        <v>108</v>
      </c>
      <c r="D311" t="s">
        <v>71</v>
      </c>
      <c r="E311" t="s">
        <v>74</v>
      </c>
      <c r="F311" t="s">
        <v>74</v>
      </c>
      <c r="G311">
        <v>0</v>
      </c>
      <c r="H311">
        <v>240.2</v>
      </c>
      <c r="I311">
        <v>78</v>
      </c>
      <c r="J311">
        <v>40.83</v>
      </c>
      <c r="K311">
        <v>230.3</v>
      </c>
      <c r="L311">
        <v>109</v>
      </c>
      <c r="M311">
        <v>19.579999999999998</v>
      </c>
      <c r="N311">
        <v>217</v>
      </c>
      <c r="O311">
        <v>83</v>
      </c>
      <c r="P311">
        <v>9.76</v>
      </c>
      <c r="Q311">
        <v>5.2</v>
      </c>
      <c r="R311">
        <v>1</v>
      </c>
      <c r="S311">
        <v>1.4</v>
      </c>
      <c r="T311">
        <v>2</v>
      </c>
    </row>
    <row r="312" spans="1:20" x14ac:dyDescent="0.3">
      <c r="A312">
        <v>311</v>
      </c>
      <c r="B312" t="s">
        <v>45</v>
      </c>
      <c r="C312">
        <v>115</v>
      </c>
      <c r="D312" t="s">
        <v>73</v>
      </c>
      <c r="E312" t="s">
        <v>74</v>
      </c>
      <c r="F312" t="s">
        <v>74</v>
      </c>
      <c r="G312">
        <v>0</v>
      </c>
      <c r="H312">
        <v>127.7</v>
      </c>
      <c r="I312">
        <v>67</v>
      </c>
      <c r="J312">
        <v>21.71</v>
      </c>
      <c r="K312">
        <v>182.9</v>
      </c>
      <c r="L312">
        <v>90</v>
      </c>
      <c r="M312">
        <v>15.55</v>
      </c>
      <c r="N312">
        <v>172.9</v>
      </c>
      <c r="O312">
        <v>92</v>
      </c>
      <c r="P312">
        <v>7.78</v>
      </c>
      <c r="Q312">
        <v>10.6</v>
      </c>
      <c r="R312">
        <v>7</v>
      </c>
      <c r="S312">
        <v>2.86</v>
      </c>
      <c r="T312">
        <v>1</v>
      </c>
    </row>
    <row r="313" spans="1:20" x14ac:dyDescent="0.3">
      <c r="A313">
        <v>312</v>
      </c>
      <c r="B313" t="s">
        <v>31</v>
      </c>
      <c r="C313">
        <v>105</v>
      </c>
      <c r="D313" t="s">
        <v>71</v>
      </c>
      <c r="E313" t="s">
        <v>74</v>
      </c>
      <c r="F313" t="s">
        <v>75</v>
      </c>
      <c r="G313">
        <v>34</v>
      </c>
      <c r="H313">
        <v>218.5</v>
      </c>
      <c r="I313">
        <v>61</v>
      </c>
      <c r="J313">
        <v>37.15</v>
      </c>
      <c r="K313">
        <v>196.7</v>
      </c>
      <c r="L313">
        <v>74</v>
      </c>
      <c r="M313">
        <v>16.72</v>
      </c>
      <c r="N313">
        <v>151.1</v>
      </c>
      <c r="O313">
        <v>103</v>
      </c>
      <c r="P313">
        <v>6.8</v>
      </c>
      <c r="Q313">
        <v>9.9</v>
      </c>
      <c r="R313">
        <v>4</v>
      </c>
      <c r="S313">
        <v>2.67</v>
      </c>
      <c r="T313">
        <v>2</v>
      </c>
    </row>
    <row r="314" spans="1:20" x14ac:dyDescent="0.3">
      <c r="A314">
        <v>313</v>
      </c>
      <c r="B314" t="s">
        <v>42</v>
      </c>
      <c r="C314">
        <v>104</v>
      </c>
      <c r="D314" t="s">
        <v>73</v>
      </c>
      <c r="E314" t="s">
        <v>74</v>
      </c>
      <c r="F314" t="s">
        <v>74</v>
      </c>
      <c r="G314">
        <v>0</v>
      </c>
      <c r="H314">
        <v>263.39999999999998</v>
      </c>
      <c r="I314">
        <v>101</v>
      </c>
      <c r="J314">
        <v>44.78</v>
      </c>
      <c r="K314">
        <v>235.5</v>
      </c>
      <c r="L314">
        <v>117</v>
      </c>
      <c r="M314">
        <v>20.02</v>
      </c>
      <c r="N314">
        <v>102</v>
      </c>
      <c r="O314">
        <v>146</v>
      </c>
      <c r="P314">
        <v>4.59</v>
      </c>
      <c r="Q314">
        <v>13</v>
      </c>
      <c r="R314">
        <v>4</v>
      </c>
      <c r="S314">
        <v>3.51</v>
      </c>
      <c r="T314">
        <v>0</v>
      </c>
    </row>
    <row r="315" spans="1:20" x14ac:dyDescent="0.3">
      <c r="A315">
        <v>314</v>
      </c>
      <c r="B315" t="s">
        <v>26</v>
      </c>
      <c r="C315">
        <v>82</v>
      </c>
      <c r="D315" t="s">
        <v>71</v>
      </c>
      <c r="E315" t="s">
        <v>74</v>
      </c>
      <c r="F315" t="s">
        <v>74</v>
      </c>
      <c r="G315">
        <v>0</v>
      </c>
      <c r="H315">
        <v>197.7</v>
      </c>
      <c r="I315">
        <v>101</v>
      </c>
      <c r="J315">
        <v>33.61</v>
      </c>
      <c r="K315">
        <v>127.6</v>
      </c>
      <c r="L315">
        <v>83</v>
      </c>
      <c r="M315">
        <v>10.85</v>
      </c>
      <c r="N315">
        <v>142.1</v>
      </c>
      <c r="O315">
        <v>103</v>
      </c>
      <c r="P315">
        <v>6.39</v>
      </c>
      <c r="Q315">
        <v>13.5</v>
      </c>
      <c r="R315">
        <v>3</v>
      </c>
      <c r="S315">
        <v>3.65</v>
      </c>
      <c r="T315">
        <v>1</v>
      </c>
    </row>
    <row r="316" spans="1:20" x14ac:dyDescent="0.3">
      <c r="A316">
        <v>315</v>
      </c>
      <c r="B316" t="s">
        <v>59</v>
      </c>
      <c r="C316">
        <v>140</v>
      </c>
      <c r="D316" t="s">
        <v>71</v>
      </c>
      <c r="E316" t="s">
        <v>74</v>
      </c>
      <c r="F316" t="s">
        <v>74</v>
      </c>
      <c r="G316">
        <v>0</v>
      </c>
      <c r="H316">
        <v>159.1</v>
      </c>
      <c r="I316">
        <v>104</v>
      </c>
      <c r="J316">
        <v>27.05</v>
      </c>
      <c r="K316">
        <v>269.8</v>
      </c>
      <c r="L316">
        <v>106</v>
      </c>
      <c r="M316">
        <v>22.93</v>
      </c>
      <c r="N316">
        <v>220.4</v>
      </c>
      <c r="O316">
        <v>116</v>
      </c>
      <c r="P316">
        <v>9.92</v>
      </c>
      <c r="Q316">
        <v>10.3</v>
      </c>
      <c r="R316">
        <v>4</v>
      </c>
      <c r="S316">
        <v>2.78</v>
      </c>
      <c r="T316">
        <v>1</v>
      </c>
    </row>
    <row r="317" spans="1:20" x14ac:dyDescent="0.3">
      <c r="A317">
        <v>316</v>
      </c>
      <c r="B317" t="s">
        <v>66</v>
      </c>
      <c r="C317">
        <v>106</v>
      </c>
      <c r="D317" t="s">
        <v>71</v>
      </c>
      <c r="E317" t="s">
        <v>74</v>
      </c>
      <c r="F317" t="s">
        <v>75</v>
      </c>
      <c r="G317">
        <v>37</v>
      </c>
      <c r="H317">
        <v>223.5</v>
      </c>
      <c r="I317">
        <v>104</v>
      </c>
      <c r="J317">
        <v>38</v>
      </c>
      <c r="K317">
        <v>235.1</v>
      </c>
      <c r="L317">
        <v>99</v>
      </c>
      <c r="M317">
        <v>19.98</v>
      </c>
      <c r="N317">
        <v>140.1</v>
      </c>
      <c r="O317">
        <v>90</v>
      </c>
      <c r="P317">
        <v>6.3</v>
      </c>
      <c r="Q317">
        <v>10.6</v>
      </c>
      <c r="R317">
        <v>5</v>
      </c>
      <c r="S317">
        <v>2.86</v>
      </c>
      <c r="T317">
        <v>2</v>
      </c>
    </row>
    <row r="318" spans="1:20" x14ac:dyDescent="0.3">
      <c r="A318">
        <v>317</v>
      </c>
      <c r="B318" t="s">
        <v>68</v>
      </c>
      <c r="C318">
        <v>141</v>
      </c>
      <c r="D318" t="s">
        <v>71</v>
      </c>
      <c r="E318" t="s">
        <v>74</v>
      </c>
      <c r="F318" t="s">
        <v>74</v>
      </c>
      <c r="G318">
        <v>0</v>
      </c>
      <c r="H318">
        <v>192.4</v>
      </c>
      <c r="I318">
        <v>111</v>
      </c>
      <c r="J318">
        <v>32.71</v>
      </c>
      <c r="K318">
        <v>156.9</v>
      </c>
      <c r="L318">
        <v>87</v>
      </c>
      <c r="M318">
        <v>13.34</v>
      </c>
      <c r="N318">
        <v>175.8</v>
      </c>
      <c r="O318">
        <v>82</v>
      </c>
      <c r="P318">
        <v>7.91</v>
      </c>
      <c r="Q318">
        <v>11</v>
      </c>
      <c r="R318">
        <v>6</v>
      </c>
      <c r="S318">
        <v>2.97</v>
      </c>
      <c r="T318">
        <v>0</v>
      </c>
    </row>
    <row r="319" spans="1:20" x14ac:dyDescent="0.3">
      <c r="A319">
        <v>318</v>
      </c>
      <c r="B319" t="s">
        <v>33</v>
      </c>
      <c r="C319">
        <v>98</v>
      </c>
      <c r="D319" t="s">
        <v>73</v>
      </c>
      <c r="E319" t="s">
        <v>74</v>
      </c>
      <c r="F319" t="s">
        <v>74</v>
      </c>
      <c r="G319">
        <v>0</v>
      </c>
      <c r="H319">
        <v>236.2</v>
      </c>
      <c r="I319">
        <v>122</v>
      </c>
      <c r="J319">
        <v>40.15</v>
      </c>
      <c r="K319">
        <v>189.4</v>
      </c>
      <c r="L319">
        <v>110</v>
      </c>
      <c r="M319">
        <v>16.100000000000001</v>
      </c>
      <c r="N319">
        <v>153.6</v>
      </c>
      <c r="O319">
        <v>104</v>
      </c>
      <c r="P319">
        <v>6.91</v>
      </c>
      <c r="Q319">
        <v>13.3</v>
      </c>
      <c r="R319">
        <v>4</v>
      </c>
      <c r="S319">
        <v>3.59</v>
      </c>
      <c r="T319">
        <v>0</v>
      </c>
    </row>
    <row r="320" spans="1:20" x14ac:dyDescent="0.3">
      <c r="A320">
        <v>319</v>
      </c>
      <c r="B320" t="s">
        <v>60</v>
      </c>
      <c r="C320">
        <v>138</v>
      </c>
      <c r="D320" t="s">
        <v>72</v>
      </c>
      <c r="E320" t="s">
        <v>75</v>
      </c>
      <c r="F320" t="s">
        <v>74</v>
      </c>
      <c r="G320">
        <v>0</v>
      </c>
      <c r="H320">
        <v>196.2</v>
      </c>
      <c r="I320">
        <v>129</v>
      </c>
      <c r="J320">
        <v>33.35</v>
      </c>
      <c r="K320">
        <v>176.5</v>
      </c>
      <c r="L320">
        <v>86</v>
      </c>
      <c r="M320">
        <v>15</v>
      </c>
      <c r="N320">
        <v>232.4</v>
      </c>
      <c r="O320">
        <v>108</v>
      </c>
      <c r="P320">
        <v>10.46</v>
      </c>
      <c r="Q320">
        <v>15.2</v>
      </c>
      <c r="R320">
        <v>1</v>
      </c>
      <c r="S320">
        <v>4.0999999999999996</v>
      </c>
      <c r="T320">
        <v>0</v>
      </c>
    </row>
    <row r="321" spans="1:20" x14ac:dyDescent="0.3">
      <c r="A321">
        <v>320</v>
      </c>
      <c r="B321" t="s">
        <v>55</v>
      </c>
      <c r="C321">
        <v>127</v>
      </c>
      <c r="D321" t="s">
        <v>71</v>
      </c>
      <c r="E321" t="s">
        <v>74</v>
      </c>
      <c r="F321" t="s">
        <v>75</v>
      </c>
      <c r="G321">
        <v>27</v>
      </c>
      <c r="H321">
        <v>140.1</v>
      </c>
      <c r="I321">
        <v>59</v>
      </c>
      <c r="J321">
        <v>23.82</v>
      </c>
      <c r="K321">
        <v>223.4</v>
      </c>
      <c r="L321">
        <v>111</v>
      </c>
      <c r="M321">
        <v>18.989999999999998</v>
      </c>
      <c r="N321">
        <v>257.89999999999998</v>
      </c>
      <c r="O321">
        <v>73</v>
      </c>
      <c r="P321">
        <v>11.61</v>
      </c>
      <c r="Q321">
        <v>3.8</v>
      </c>
      <c r="R321">
        <v>10</v>
      </c>
      <c r="S321">
        <v>1.03</v>
      </c>
      <c r="T321">
        <v>1</v>
      </c>
    </row>
    <row r="322" spans="1:20" x14ac:dyDescent="0.3">
      <c r="A322">
        <v>321</v>
      </c>
      <c r="B322" t="s">
        <v>27</v>
      </c>
      <c r="C322">
        <v>202</v>
      </c>
      <c r="D322" t="s">
        <v>72</v>
      </c>
      <c r="E322" t="s">
        <v>74</v>
      </c>
      <c r="F322" t="s">
        <v>74</v>
      </c>
      <c r="G322">
        <v>0</v>
      </c>
      <c r="H322">
        <v>115.4</v>
      </c>
      <c r="I322">
        <v>137</v>
      </c>
      <c r="J322">
        <v>19.62</v>
      </c>
      <c r="K322">
        <v>178.7</v>
      </c>
      <c r="L322">
        <v>70</v>
      </c>
      <c r="M322">
        <v>15.19</v>
      </c>
      <c r="N322">
        <v>185.7</v>
      </c>
      <c r="O322">
        <v>113</v>
      </c>
      <c r="P322">
        <v>8.36</v>
      </c>
      <c r="Q322">
        <v>6</v>
      </c>
      <c r="R322">
        <v>3</v>
      </c>
      <c r="S322">
        <v>1.62</v>
      </c>
      <c r="T322">
        <v>3</v>
      </c>
    </row>
    <row r="323" spans="1:20" x14ac:dyDescent="0.3">
      <c r="A323">
        <v>322</v>
      </c>
      <c r="B323" t="s">
        <v>36</v>
      </c>
      <c r="C323">
        <v>79</v>
      </c>
      <c r="D323" t="s">
        <v>71</v>
      </c>
      <c r="E323" t="s">
        <v>74</v>
      </c>
      <c r="F323" t="s">
        <v>74</v>
      </c>
      <c r="G323">
        <v>0</v>
      </c>
      <c r="H323">
        <v>156.9</v>
      </c>
      <c r="I323">
        <v>109</v>
      </c>
      <c r="J323">
        <v>26.67</v>
      </c>
      <c r="K323">
        <v>122.2</v>
      </c>
      <c r="L323">
        <v>87</v>
      </c>
      <c r="M323">
        <v>10.39</v>
      </c>
      <c r="N323">
        <v>189.1</v>
      </c>
      <c r="O323">
        <v>103</v>
      </c>
      <c r="P323">
        <v>8.51</v>
      </c>
      <c r="Q323">
        <v>11.3</v>
      </c>
      <c r="R323">
        <v>5</v>
      </c>
      <c r="S323">
        <v>3.05</v>
      </c>
      <c r="T323">
        <v>3</v>
      </c>
    </row>
    <row r="324" spans="1:20" x14ac:dyDescent="0.3">
      <c r="A324">
        <v>323</v>
      </c>
      <c r="B324" t="s">
        <v>64</v>
      </c>
      <c r="C324">
        <v>166</v>
      </c>
      <c r="D324" t="s">
        <v>72</v>
      </c>
      <c r="E324" t="s">
        <v>74</v>
      </c>
      <c r="F324" t="s">
        <v>74</v>
      </c>
      <c r="G324">
        <v>0</v>
      </c>
      <c r="H324">
        <v>197.9</v>
      </c>
      <c r="I324">
        <v>89</v>
      </c>
      <c r="J324">
        <v>33.64</v>
      </c>
      <c r="K324">
        <v>251</v>
      </c>
      <c r="L324">
        <v>113</v>
      </c>
      <c r="M324">
        <v>21.34</v>
      </c>
      <c r="N324">
        <v>138.30000000000001</v>
      </c>
      <c r="O324">
        <v>85</v>
      </c>
      <c r="P324">
        <v>6.22</v>
      </c>
      <c r="Q324">
        <v>11.2</v>
      </c>
      <c r="R324">
        <v>2</v>
      </c>
      <c r="S324">
        <v>3.02</v>
      </c>
      <c r="T324">
        <v>2</v>
      </c>
    </row>
    <row r="325" spans="1:20" x14ac:dyDescent="0.3">
      <c r="A325">
        <v>324</v>
      </c>
      <c r="B325" t="s">
        <v>20</v>
      </c>
      <c r="C325">
        <v>47</v>
      </c>
      <c r="D325" t="s">
        <v>72</v>
      </c>
      <c r="E325" t="s">
        <v>75</v>
      </c>
      <c r="F325" t="s">
        <v>74</v>
      </c>
      <c r="G325">
        <v>0</v>
      </c>
      <c r="H325">
        <v>47.8</v>
      </c>
      <c r="I325">
        <v>120</v>
      </c>
      <c r="J325">
        <v>8.1300000000000008</v>
      </c>
      <c r="K325">
        <v>178.9</v>
      </c>
      <c r="L325">
        <v>123</v>
      </c>
      <c r="M325">
        <v>15.21</v>
      </c>
      <c r="N325">
        <v>152.6</v>
      </c>
      <c r="O325">
        <v>96</v>
      </c>
      <c r="P325">
        <v>6.87</v>
      </c>
      <c r="Q325">
        <v>13.3</v>
      </c>
      <c r="R325">
        <v>7</v>
      </c>
      <c r="S325">
        <v>3.59</v>
      </c>
      <c r="T325">
        <v>0</v>
      </c>
    </row>
    <row r="326" spans="1:20" x14ac:dyDescent="0.3">
      <c r="A326">
        <v>325</v>
      </c>
      <c r="B326" t="s">
        <v>64</v>
      </c>
      <c r="C326">
        <v>160</v>
      </c>
      <c r="D326" t="s">
        <v>72</v>
      </c>
      <c r="E326" t="s">
        <v>74</v>
      </c>
      <c r="F326" t="s">
        <v>74</v>
      </c>
      <c r="G326">
        <v>0</v>
      </c>
      <c r="H326">
        <v>121.8</v>
      </c>
      <c r="I326">
        <v>97</v>
      </c>
      <c r="J326">
        <v>20.71</v>
      </c>
      <c r="K326">
        <v>89.3</v>
      </c>
      <c r="L326">
        <v>97</v>
      </c>
      <c r="M326">
        <v>7.59</v>
      </c>
      <c r="N326">
        <v>150.69999999999999</v>
      </c>
      <c r="O326">
        <v>92</v>
      </c>
      <c r="P326">
        <v>6.78</v>
      </c>
      <c r="Q326">
        <v>10.3</v>
      </c>
      <c r="R326">
        <v>5</v>
      </c>
      <c r="S326">
        <v>2.78</v>
      </c>
      <c r="T326">
        <v>1</v>
      </c>
    </row>
    <row r="327" spans="1:20" x14ac:dyDescent="0.3">
      <c r="A327">
        <v>326</v>
      </c>
      <c r="B327" t="s">
        <v>44</v>
      </c>
      <c r="C327">
        <v>180</v>
      </c>
      <c r="D327" t="s">
        <v>71</v>
      </c>
      <c r="E327" t="s">
        <v>74</v>
      </c>
      <c r="F327" t="s">
        <v>74</v>
      </c>
      <c r="G327">
        <v>0</v>
      </c>
      <c r="H327">
        <v>143.5</v>
      </c>
      <c r="I327">
        <v>121</v>
      </c>
      <c r="J327">
        <v>24.4</v>
      </c>
      <c r="K327">
        <v>189.3</v>
      </c>
      <c r="L327">
        <v>111</v>
      </c>
      <c r="M327">
        <v>16.09</v>
      </c>
      <c r="N327">
        <v>174.9</v>
      </c>
      <c r="O327">
        <v>82</v>
      </c>
      <c r="P327">
        <v>7.87</v>
      </c>
      <c r="Q327">
        <v>8.8000000000000007</v>
      </c>
      <c r="R327">
        <v>5</v>
      </c>
      <c r="S327">
        <v>2.38</v>
      </c>
      <c r="T327">
        <v>3</v>
      </c>
    </row>
    <row r="328" spans="1:20" x14ac:dyDescent="0.3">
      <c r="A328">
        <v>327</v>
      </c>
      <c r="B328" t="s">
        <v>29</v>
      </c>
      <c r="C328">
        <v>170</v>
      </c>
      <c r="D328" t="s">
        <v>72</v>
      </c>
      <c r="E328" t="s">
        <v>74</v>
      </c>
      <c r="F328" t="s">
        <v>75</v>
      </c>
      <c r="G328">
        <v>37</v>
      </c>
      <c r="H328">
        <v>178.1</v>
      </c>
      <c r="I328">
        <v>130</v>
      </c>
      <c r="J328">
        <v>30.28</v>
      </c>
      <c r="K328">
        <v>242.8</v>
      </c>
      <c r="L328">
        <v>103</v>
      </c>
      <c r="M328">
        <v>20.64</v>
      </c>
      <c r="N328">
        <v>243</v>
      </c>
      <c r="O328">
        <v>93</v>
      </c>
      <c r="P328">
        <v>10.93</v>
      </c>
      <c r="Q328">
        <v>13</v>
      </c>
      <c r="R328">
        <v>4</v>
      </c>
      <c r="S328">
        <v>3.51</v>
      </c>
      <c r="T328">
        <v>0</v>
      </c>
    </row>
    <row r="329" spans="1:20" x14ac:dyDescent="0.3">
      <c r="A329">
        <v>328</v>
      </c>
      <c r="B329" t="s">
        <v>34</v>
      </c>
      <c r="C329">
        <v>123</v>
      </c>
      <c r="D329" t="s">
        <v>73</v>
      </c>
      <c r="E329" t="s">
        <v>74</v>
      </c>
      <c r="F329" t="s">
        <v>74</v>
      </c>
      <c r="G329">
        <v>0</v>
      </c>
      <c r="H329">
        <v>257.89999999999998</v>
      </c>
      <c r="I329">
        <v>92</v>
      </c>
      <c r="J329">
        <v>43.84</v>
      </c>
      <c r="K329">
        <v>211.6</v>
      </c>
      <c r="L329">
        <v>71</v>
      </c>
      <c r="M329">
        <v>17.989999999999998</v>
      </c>
      <c r="N329">
        <v>189.3</v>
      </c>
      <c r="O329">
        <v>104</v>
      </c>
      <c r="P329">
        <v>8.52</v>
      </c>
      <c r="Q329">
        <v>9.4</v>
      </c>
      <c r="R329">
        <v>2</v>
      </c>
      <c r="S329">
        <v>2.54</v>
      </c>
      <c r="T329">
        <v>2</v>
      </c>
    </row>
    <row r="330" spans="1:20" x14ac:dyDescent="0.3">
      <c r="A330">
        <v>329</v>
      </c>
      <c r="B330" t="s">
        <v>26</v>
      </c>
      <c r="C330">
        <v>133</v>
      </c>
      <c r="D330" t="s">
        <v>71</v>
      </c>
      <c r="E330" t="s">
        <v>74</v>
      </c>
      <c r="F330" t="s">
        <v>74</v>
      </c>
      <c r="G330">
        <v>0</v>
      </c>
      <c r="H330">
        <v>216.2</v>
      </c>
      <c r="I330">
        <v>67</v>
      </c>
      <c r="J330">
        <v>36.75</v>
      </c>
      <c r="K330">
        <v>222.2</v>
      </c>
      <c r="L330">
        <v>133</v>
      </c>
      <c r="M330">
        <v>18.89</v>
      </c>
      <c r="N330">
        <v>192</v>
      </c>
      <c r="O330">
        <v>95</v>
      </c>
      <c r="P330">
        <v>8.64</v>
      </c>
      <c r="Q330">
        <v>3.1</v>
      </c>
      <c r="R330">
        <v>1</v>
      </c>
      <c r="S330">
        <v>0.84</v>
      </c>
      <c r="T330">
        <v>2</v>
      </c>
    </row>
    <row r="331" spans="1:20" x14ac:dyDescent="0.3">
      <c r="A331">
        <v>330</v>
      </c>
      <c r="B331" t="s">
        <v>39</v>
      </c>
      <c r="C331">
        <v>127</v>
      </c>
      <c r="D331" t="s">
        <v>71</v>
      </c>
      <c r="E331" t="s">
        <v>74</v>
      </c>
      <c r="F331" t="s">
        <v>74</v>
      </c>
      <c r="G331">
        <v>0</v>
      </c>
      <c r="H331">
        <v>261.7</v>
      </c>
      <c r="I331">
        <v>105</v>
      </c>
      <c r="J331">
        <v>44.49</v>
      </c>
      <c r="K331">
        <v>181.8</v>
      </c>
      <c r="L331">
        <v>107</v>
      </c>
      <c r="M331">
        <v>15.45</v>
      </c>
      <c r="N331">
        <v>100.9</v>
      </c>
      <c r="O331">
        <v>131</v>
      </c>
      <c r="P331">
        <v>4.54</v>
      </c>
      <c r="Q331">
        <v>3.3</v>
      </c>
      <c r="R331">
        <v>5</v>
      </c>
      <c r="S331">
        <v>0.89</v>
      </c>
      <c r="T331">
        <v>0</v>
      </c>
    </row>
    <row r="332" spans="1:20" x14ac:dyDescent="0.3">
      <c r="A332">
        <v>331</v>
      </c>
      <c r="B332" t="s">
        <v>21</v>
      </c>
      <c r="C332">
        <v>8</v>
      </c>
      <c r="D332" t="s">
        <v>71</v>
      </c>
      <c r="E332" t="s">
        <v>74</v>
      </c>
      <c r="F332" t="s">
        <v>75</v>
      </c>
      <c r="G332">
        <v>36</v>
      </c>
      <c r="H332">
        <v>242.9</v>
      </c>
      <c r="I332">
        <v>67</v>
      </c>
      <c r="J332">
        <v>41.29</v>
      </c>
      <c r="K332">
        <v>170.9</v>
      </c>
      <c r="L332">
        <v>59</v>
      </c>
      <c r="M332">
        <v>14.53</v>
      </c>
      <c r="N332">
        <v>177.3</v>
      </c>
      <c r="O332">
        <v>130</v>
      </c>
      <c r="P332">
        <v>7.98</v>
      </c>
      <c r="Q332">
        <v>4.8</v>
      </c>
      <c r="R332">
        <v>12</v>
      </c>
      <c r="S332">
        <v>1.3</v>
      </c>
      <c r="T332">
        <v>1</v>
      </c>
    </row>
    <row r="333" spans="1:20" x14ac:dyDescent="0.3">
      <c r="A333">
        <v>332</v>
      </c>
      <c r="B333" t="s">
        <v>53</v>
      </c>
      <c r="C333">
        <v>13</v>
      </c>
      <c r="D333" t="s">
        <v>71</v>
      </c>
      <c r="E333" t="s">
        <v>74</v>
      </c>
      <c r="F333" t="s">
        <v>74</v>
      </c>
      <c r="G333">
        <v>0</v>
      </c>
      <c r="H333">
        <v>303.2</v>
      </c>
      <c r="I333">
        <v>133</v>
      </c>
      <c r="J333">
        <v>51.54</v>
      </c>
      <c r="K333">
        <v>170.5</v>
      </c>
      <c r="L333">
        <v>86</v>
      </c>
      <c r="M333">
        <v>14.49</v>
      </c>
      <c r="N333">
        <v>227.6</v>
      </c>
      <c r="O333">
        <v>80</v>
      </c>
      <c r="P333">
        <v>10.24</v>
      </c>
      <c r="Q333">
        <v>11.5</v>
      </c>
      <c r="R333">
        <v>3</v>
      </c>
      <c r="S333">
        <v>3.11</v>
      </c>
      <c r="T333">
        <v>0</v>
      </c>
    </row>
    <row r="334" spans="1:20" x14ac:dyDescent="0.3">
      <c r="A334">
        <v>333</v>
      </c>
      <c r="B334" t="s">
        <v>60</v>
      </c>
      <c r="C334">
        <v>137</v>
      </c>
      <c r="D334" t="s">
        <v>71</v>
      </c>
      <c r="E334" t="s">
        <v>74</v>
      </c>
      <c r="F334" t="s">
        <v>75</v>
      </c>
      <c r="G334">
        <v>22</v>
      </c>
      <c r="H334">
        <v>189.6</v>
      </c>
      <c r="I334">
        <v>42</v>
      </c>
      <c r="J334">
        <v>32.229999999999997</v>
      </c>
      <c r="K334">
        <v>179</v>
      </c>
      <c r="L334">
        <v>137</v>
      </c>
      <c r="M334">
        <v>15.22</v>
      </c>
      <c r="N334">
        <v>179.6</v>
      </c>
      <c r="O334">
        <v>126</v>
      </c>
      <c r="P334">
        <v>8.08</v>
      </c>
      <c r="Q334">
        <v>11.4</v>
      </c>
      <c r="R334">
        <v>5</v>
      </c>
      <c r="S334">
        <v>3.08</v>
      </c>
      <c r="T334">
        <v>2</v>
      </c>
    </row>
    <row r="335" spans="1:20" x14ac:dyDescent="0.3">
      <c r="A335">
        <v>334</v>
      </c>
      <c r="B335" t="s">
        <v>65</v>
      </c>
      <c r="C335">
        <v>94</v>
      </c>
      <c r="D335" t="s">
        <v>71</v>
      </c>
      <c r="E335" t="s">
        <v>74</v>
      </c>
      <c r="F335" t="s">
        <v>75</v>
      </c>
      <c r="G335">
        <v>28</v>
      </c>
      <c r="H335">
        <v>92.7</v>
      </c>
      <c r="I335">
        <v>107</v>
      </c>
      <c r="J335">
        <v>15.76</v>
      </c>
      <c r="K335">
        <v>127.8</v>
      </c>
      <c r="L335">
        <v>86</v>
      </c>
      <c r="M335">
        <v>10.86</v>
      </c>
      <c r="N335">
        <v>225.6</v>
      </c>
      <c r="O335">
        <v>86</v>
      </c>
      <c r="P335">
        <v>10.15</v>
      </c>
      <c r="Q335">
        <v>9.9</v>
      </c>
      <c r="R335">
        <v>4</v>
      </c>
      <c r="S335">
        <v>2.67</v>
      </c>
      <c r="T335">
        <v>3</v>
      </c>
    </row>
    <row r="336" spans="1:20" x14ac:dyDescent="0.3">
      <c r="A336">
        <v>335</v>
      </c>
      <c r="B336" t="s">
        <v>20</v>
      </c>
      <c r="C336">
        <v>148</v>
      </c>
      <c r="D336" t="s">
        <v>72</v>
      </c>
      <c r="E336" t="s">
        <v>74</v>
      </c>
      <c r="F336" t="s">
        <v>74</v>
      </c>
      <c r="G336">
        <v>0</v>
      </c>
      <c r="H336">
        <v>239.3</v>
      </c>
      <c r="I336">
        <v>84</v>
      </c>
      <c r="J336">
        <v>40.68</v>
      </c>
      <c r="K336">
        <v>195.7</v>
      </c>
      <c r="L336">
        <v>85</v>
      </c>
      <c r="M336">
        <v>16.63</v>
      </c>
      <c r="N336">
        <v>232.6</v>
      </c>
      <c r="O336">
        <v>104</v>
      </c>
      <c r="P336">
        <v>10.47</v>
      </c>
      <c r="Q336">
        <v>10.9</v>
      </c>
      <c r="R336">
        <v>3</v>
      </c>
      <c r="S336">
        <v>2.94</v>
      </c>
      <c r="T336">
        <v>1</v>
      </c>
    </row>
    <row r="337" spans="1:20" x14ac:dyDescent="0.3">
      <c r="A337">
        <v>336</v>
      </c>
      <c r="B337" t="s">
        <v>46</v>
      </c>
      <c r="C337">
        <v>148</v>
      </c>
      <c r="D337" t="s">
        <v>73</v>
      </c>
      <c r="E337" t="s">
        <v>74</v>
      </c>
      <c r="F337" t="s">
        <v>74</v>
      </c>
      <c r="G337">
        <v>0</v>
      </c>
      <c r="H337">
        <v>17.600000000000001</v>
      </c>
      <c r="I337">
        <v>121</v>
      </c>
      <c r="J337">
        <v>2.99</v>
      </c>
      <c r="K337">
        <v>161.69999999999999</v>
      </c>
      <c r="L337">
        <v>125</v>
      </c>
      <c r="M337">
        <v>13.74</v>
      </c>
      <c r="N337">
        <v>203.1</v>
      </c>
      <c r="O337">
        <v>82</v>
      </c>
      <c r="P337">
        <v>9.14</v>
      </c>
      <c r="Q337">
        <v>10.6</v>
      </c>
      <c r="R337">
        <v>6</v>
      </c>
      <c r="S337">
        <v>2.86</v>
      </c>
      <c r="T337">
        <v>1</v>
      </c>
    </row>
    <row r="338" spans="1:20" x14ac:dyDescent="0.3">
      <c r="A338">
        <v>337</v>
      </c>
      <c r="B338" t="s">
        <v>42</v>
      </c>
      <c r="C338">
        <v>144</v>
      </c>
      <c r="D338" t="s">
        <v>72</v>
      </c>
      <c r="E338" t="s">
        <v>74</v>
      </c>
      <c r="F338" t="s">
        <v>75</v>
      </c>
      <c r="G338">
        <v>37</v>
      </c>
      <c r="H338">
        <v>219.9</v>
      </c>
      <c r="I338">
        <v>102</v>
      </c>
      <c r="J338">
        <v>37.380000000000003</v>
      </c>
      <c r="K338">
        <v>222.1</v>
      </c>
      <c r="L338">
        <v>77</v>
      </c>
      <c r="M338">
        <v>18.88</v>
      </c>
      <c r="N338">
        <v>118.5</v>
      </c>
      <c r="O338">
        <v>111</v>
      </c>
      <c r="P338">
        <v>5.33</v>
      </c>
      <c r="Q338">
        <v>10</v>
      </c>
      <c r="R338">
        <v>4</v>
      </c>
      <c r="S338">
        <v>2.7</v>
      </c>
      <c r="T338">
        <v>1</v>
      </c>
    </row>
    <row r="339" spans="1:20" x14ac:dyDescent="0.3">
      <c r="A339">
        <v>338</v>
      </c>
      <c r="B339" t="s">
        <v>35</v>
      </c>
      <c r="C339">
        <v>146</v>
      </c>
      <c r="D339" t="s">
        <v>71</v>
      </c>
      <c r="E339" t="s">
        <v>74</v>
      </c>
      <c r="F339" t="s">
        <v>74</v>
      </c>
      <c r="G339">
        <v>0</v>
      </c>
      <c r="H339">
        <v>195.9</v>
      </c>
      <c r="I339">
        <v>86</v>
      </c>
      <c r="J339">
        <v>33.299999999999997</v>
      </c>
      <c r="K339">
        <v>228.6</v>
      </c>
      <c r="L339">
        <v>82</v>
      </c>
      <c r="M339">
        <v>19.43</v>
      </c>
      <c r="N339">
        <v>303.5</v>
      </c>
      <c r="O339">
        <v>94</v>
      </c>
      <c r="P339">
        <v>13.66</v>
      </c>
      <c r="Q339">
        <v>12.2</v>
      </c>
      <c r="R339">
        <v>4</v>
      </c>
      <c r="S339">
        <v>3.29</v>
      </c>
      <c r="T339">
        <v>3</v>
      </c>
    </row>
    <row r="340" spans="1:20" x14ac:dyDescent="0.3">
      <c r="A340">
        <v>339</v>
      </c>
      <c r="B340" t="s">
        <v>66</v>
      </c>
      <c r="C340">
        <v>107</v>
      </c>
      <c r="D340" t="s">
        <v>71</v>
      </c>
      <c r="E340" t="s">
        <v>74</v>
      </c>
      <c r="F340" t="s">
        <v>75</v>
      </c>
      <c r="G340">
        <v>38</v>
      </c>
      <c r="H340">
        <v>204.2</v>
      </c>
      <c r="I340">
        <v>57</v>
      </c>
      <c r="J340">
        <v>34.71</v>
      </c>
      <c r="K340">
        <v>205.9</v>
      </c>
      <c r="L340">
        <v>92</v>
      </c>
      <c r="M340">
        <v>17.5</v>
      </c>
      <c r="N340">
        <v>286.5</v>
      </c>
      <c r="O340">
        <v>80</v>
      </c>
      <c r="P340">
        <v>12.89</v>
      </c>
      <c r="Q340">
        <v>8.3000000000000007</v>
      </c>
      <c r="R340">
        <v>4</v>
      </c>
      <c r="S340">
        <v>2.2400000000000002</v>
      </c>
      <c r="T340">
        <v>0</v>
      </c>
    </row>
    <row r="341" spans="1:20" x14ac:dyDescent="0.3">
      <c r="A341">
        <v>340</v>
      </c>
      <c r="B341" t="s">
        <v>24</v>
      </c>
      <c r="C341">
        <v>34</v>
      </c>
      <c r="D341" t="s">
        <v>71</v>
      </c>
      <c r="E341" t="s">
        <v>74</v>
      </c>
      <c r="F341" t="s">
        <v>74</v>
      </c>
      <c r="G341">
        <v>0</v>
      </c>
      <c r="H341">
        <v>193.7</v>
      </c>
      <c r="I341">
        <v>74</v>
      </c>
      <c r="J341">
        <v>32.93</v>
      </c>
      <c r="K341">
        <v>126.9</v>
      </c>
      <c r="L341">
        <v>84</v>
      </c>
      <c r="M341">
        <v>10.79</v>
      </c>
      <c r="N341">
        <v>221.2</v>
      </c>
      <c r="O341">
        <v>166</v>
      </c>
      <c r="P341">
        <v>9.9499999999999993</v>
      </c>
      <c r="Q341">
        <v>8.8000000000000007</v>
      </c>
      <c r="R341">
        <v>4</v>
      </c>
      <c r="S341">
        <v>2.38</v>
      </c>
      <c r="T341">
        <v>0</v>
      </c>
    </row>
    <row r="342" spans="1:20" x14ac:dyDescent="0.3">
      <c r="A342">
        <v>341</v>
      </c>
      <c r="B342" t="s">
        <v>34</v>
      </c>
      <c r="C342">
        <v>86</v>
      </c>
      <c r="D342" t="s">
        <v>72</v>
      </c>
      <c r="E342" t="s">
        <v>74</v>
      </c>
      <c r="F342" t="s">
        <v>74</v>
      </c>
      <c r="G342">
        <v>0</v>
      </c>
      <c r="H342">
        <v>92.8</v>
      </c>
      <c r="I342">
        <v>92</v>
      </c>
      <c r="J342">
        <v>15.78</v>
      </c>
      <c r="K342">
        <v>159.6</v>
      </c>
      <c r="L342">
        <v>87</v>
      </c>
      <c r="M342">
        <v>13.57</v>
      </c>
      <c r="N342">
        <v>148.69999999999999</v>
      </c>
      <c r="O342">
        <v>115</v>
      </c>
      <c r="P342">
        <v>6.69</v>
      </c>
      <c r="Q342">
        <v>8.8000000000000007</v>
      </c>
      <c r="R342">
        <v>5</v>
      </c>
      <c r="S342">
        <v>2.38</v>
      </c>
      <c r="T342">
        <v>1</v>
      </c>
    </row>
    <row r="343" spans="1:20" x14ac:dyDescent="0.3">
      <c r="A343">
        <v>342</v>
      </c>
      <c r="B343" t="s">
        <v>32</v>
      </c>
      <c r="C343">
        <v>100</v>
      </c>
      <c r="D343" t="s">
        <v>71</v>
      </c>
      <c r="E343" t="s">
        <v>74</v>
      </c>
      <c r="F343" t="s">
        <v>75</v>
      </c>
      <c r="G343">
        <v>27</v>
      </c>
      <c r="H343">
        <v>221.7</v>
      </c>
      <c r="I343">
        <v>100</v>
      </c>
      <c r="J343">
        <v>37.69</v>
      </c>
      <c r="K343">
        <v>236.1</v>
      </c>
      <c r="L343">
        <v>70</v>
      </c>
      <c r="M343">
        <v>20.07</v>
      </c>
      <c r="N343">
        <v>192.7</v>
      </c>
      <c r="O343">
        <v>91</v>
      </c>
      <c r="P343">
        <v>8.67</v>
      </c>
      <c r="Q343">
        <v>8</v>
      </c>
      <c r="R343">
        <v>4</v>
      </c>
      <c r="S343">
        <v>2.16</v>
      </c>
      <c r="T343">
        <v>0</v>
      </c>
    </row>
    <row r="344" spans="1:20" x14ac:dyDescent="0.3">
      <c r="A344">
        <v>343</v>
      </c>
      <c r="B344" t="s">
        <v>47</v>
      </c>
      <c r="C344">
        <v>104</v>
      </c>
      <c r="D344" t="s">
        <v>71</v>
      </c>
      <c r="E344" t="s">
        <v>74</v>
      </c>
      <c r="F344" t="s">
        <v>74</v>
      </c>
      <c r="G344">
        <v>0</v>
      </c>
      <c r="H344">
        <v>144.5</v>
      </c>
      <c r="I344">
        <v>107</v>
      </c>
      <c r="J344">
        <v>24.57</v>
      </c>
      <c r="K344">
        <v>180.5</v>
      </c>
      <c r="L344">
        <v>85</v>
      </c>
      <c r="M344">
        <v>15.34</v>
      </c>
      <c r="N344">
        <v>226</v>
      </c>
      <c r="O344">
        <v>94</v>
      </c>
      <c r="P344">
        <v>10.17</v>
      </c>
      <c r="Q344">
        <v>17</v>
      </c>
      <c r="R344">
        <v>6</v>
      </c>
      <c r="S344">
        <v>4.59</v>
      </c>
      <c r="T344">
        <v>2</v>
      </c>
    </row>
    <row r="345" spans="1:20" x14ac:dyDescent="0.3">
      <c r="A345">
        <v>344</v>
      </c>
      <c r="B345" t="s">
        <v>51</v>
      </c>
      <c r="C345">
        <v>205</v>
      </c>
      <c r="D345" t="s">
        <v>72</v>
      </c>
      <c r="E345" t="s">
        <v>74</v>
      </c>
      <c r="F345" t="s">
        <v>74</v>
      </c>
      <c r="G345">
        <v>0</v>
      </c>
      <c r="H345">
        <v>49.9</v>
      </c>
      <c r="I345">
        <v>123</v>
      </c>
      <c r="J345">
        <v>8.48</v>
      </c>
      <c r="K345">
        <v>150.69999999999999</v>
      </c>
      <c r="L345">
        <v>81</v>
      </c>
      <c r="M345">
        <v>12.81</v>
      </c>
      <c r="N345">
        <v>188.2</v>
      </c>
      <c r="O345">
        <v>67</v>
      </c>
      <c r="P345">
        <v>8.4700000000000006</v>
      </c>
      <c r="Q345">
        <v>10.1</v>
      </c>
      <c r="R345">
        <v>4</v>
      </c>
      <c r="S345">
        <v>2.73</v>
      </c>
      <c r="T345">
        <v>2</v>
      </c>
    </row>
    <row r="346" spans="1:20" x14ac:dyDescent="0.3">
      <c r="A346">
        <v>345</v>
      </c>
      <c r="B346" t="s">
        <v>44</v>
      </c>
      <c r="C346">
        <v>93</v>
      </c>
      <c r="D346" t="s">
        <v>71</v>
      </c>
      <c r="E346" t="s">
        <v>74</v>
      </c>
      <c r="F346" t="s">
        <v>75</v>
      </c>
      <c r="G346">
        <v>32</v>
      </c>
      <c r="H346">
        <v>116.9</v>
      </c>
      <c r="I346">
        <v>120</v>
      </c>
      <c r="J346">
        <v>19.87</v>
      </c>
      <c r="K346">
        <v>232.4</v>
      </c>
      <c r="L346">
        <v>97</v>
      </c>
      <c r="M346">
        <v>19.75</v>
      </c>
      <c r="N346">
        <v>127.7</v>
      </c>
      <c r="O346">
        <v>112</v>
      </c>
      <c r="P346">
        <v>5.75</v>
      </c>
      <c r="Q346">
        <v>11</v>
      </c>
      <c r="R346">
        <v>9</v>
      </c>
      <c r="S346">
        <v>2.97</v>
      </c>
      <c r="T346">
        <v>0</v>
      </c>
    </row>
    <row r="347" spans="1:20" x14ac:dyDescent="0.3">
      <c r="A347">
        <v>346</v>
      </c>
      <c r="B347" t="s">
        <v>24</v>
      </c>
      <c r="C347">
        <v>123</v>
      </c>
      <c r="D347" t="s">
        <v>71</v>
      </c>
      <c r="E347" t="s">
        <v>74</v>
      </c>
      <c r="F347" t="s">
        <v>74</v>
      </c>
      <c r="G347">
        <v>0</v>
      </c>
      <c r="H347">
        <v>150</v>
      </c>
      <c r="I347">
        <v>98</v>
      </c>
      <c r="J347">
        <v>25.5</v>
      </c>
      <c r="K347">
        <v>89.8</v>
      </c>
      <c r="L347">
        <v>95</v>
      </c>
      <c r="M347">
        <v>7.63</v>
      </c>
      <c r="N347">
        <v>326</v>
      </c>
      <c r="O347">
        <v>91</v>
      </c>
      <c r="P347">
        <v>14.67</v>
      </c>
      <c r="Q347">
        <v>11.1</v>
      </c>
      <c r="R347">
        <v>3</v>
      </c>
      <c r="S347">
        <v>3</v>
      </c>
      <c r="T347">
        <v>3</v>
      </c>
    </row>
    <row r="348" spans="1:20" x14ac:dyDescent="0.3">
      <c r="A348">
        <v>347</v>
      </c>
      <c r="B348" t="s">
        <v>50</v>
      </c>
      <c r="C348">
        <v>43</v>
      </c>
      <c r="D348" t="s">
        <v>73</v>
      </c>
      <c r="E348" t="s">
        <v>74</v>
      </c>
      <c r="F348" t="s">
        <v>75</v>
      </c>
      <c r="G348">
        <v>35</v>
      </c>
      <c r="H348">
        <v>200.2</v>
      </c>
      <c r="I348">
        <v>105</v>
      </c>
      <c r="J348">
        <v>34.03</v>
      </c>
      <c r="K348">
        <v>244.4</v>
      </c>
      <c r="L348">
        <v>88</v>
      </c>
      <c r="M348">
        <v>20.77</v>
      </c>
      <c r="N348">
        <v>207.2</v>
      </c>
      <c r="O348">
        <v>97</v>
      </c>
      <c r="P348">
        <v>9.32</v>
      </c>
      <c r="Q348">
        <v>11.6</v>
      </c>
      <c r="R348">
        <v>4</v>
      </c>
      <c r="S348">
        <v>3.13</v>
      </c>
      <c r="T348">
        <v>3</v>
      </c>
    </row>
    <row r="349" spans="1:20" x14ac:dyDescent="0.3">
      <c r="A349">
        <v>348</v>
      </c>
      <c r="B349" t="s">
        <v>65</v>
      </c>
      <c r="C349">
        <v>106</v>
      </c>
      <c r="D349" t="s">
        <v>72</v>
      </c>
      <c r="E349" t="s">
        <v>74</v>
      </c>
      <c r="F349" t="s">
        <v>74</v>
      </c>
      <c r="G349">
        <v>0</v>
      </c>
      <c r="H349">
        <v>194.8</v>
      </c>
      <c r="I349">
        <v>133</v>
      </c>
      <c r="J349">
        <v>33.119999999999997</v>
      </c>
      <c r="K349">
        <v>213.4</v>
      </c>
      <c r="L349">
        <v>73</v>
      </c>
      <c r="M349">
        <v>18.14</v>
      </c>
      <c r="N349">
        <v>190.8</v>
      </c>
      <c r="O349">
        <v>92</v>
      </c>
      <c r="P349">
        <v>8.59</v>
      </c>
      <c r="Q349">
        <v>11.5</v>
      </c>
      <c r="R349">
        <v>7</v>
      </c>
      <c r="S349">
        <v>3.11</v>
      </c>
      <c r="T349">
        <v>0</v>
      </c>
    </row>
    <row r="350" spans="1:20" x14ac:dyDescent="0.3">
      <c r="A350">
        <v>349</v>
      </c>
      <c r="B350" t="s">
        <v>70</v>
      </c>
      <c r="C350">
        <v>122</v>
      </c>
      <c r="D350" t="s">
        <v>71</v>
      </c>
      <c r="E350" t="s">
        <v>74</v>
      </c>
      <c r="F350" t="s">
        <v>74</v>
      </c>
      <c r="G350">
        <v>0</v>
      </c>
      <c r="H350">
        <v>168.3</v>
      </c>
      <c r="I350">
        <v>96</v>
      </c>
      <c r="J350">
        <v>28.61</v>
      </c>
      <c r="K350">
        <v>87.6</v>
      </c>
      <c r="L350">
        <v>91</v>
      </c>
      <c r="M350">
        <v>7.45</v>
      </c>
      <c r="N350">
        <v>247.2</v>
      </c>
      <c r="O350">
        <v>87</v>
      </c>
      <c r="P350">
        <v>11.12</v>
      </c>
      <c r="Q350">
        <v>8.4</v>
      </c>
      <c r="R350">
        <v>6</v>
      </c>
      <c r="S350">
        <v>2.27</v>
      </c>
      <c r="T350">
        <v>1</v>
      </c>
    </row>
    <row r="351" spans="1:20" x14ac:dyDescent="0.3">
      <c r="A351">
        <v>350</v>
      </c>
      <c r="B351" t="s">
        <v>21</v>
      </c>
      <c r="C351">
        <v>137</v>
      </c>
      <c r="D351" t="s">
        <v>71</v>
      </c>
      <c r="E351" t="s">
        <v>74</v>
      </c>
      <c r="F351" t="s">
        <v>74</v>
      </c>
      <c r="G351">
        <v>0</v>
      </c>
      <c r="H351">
        <v>104.7</v>
      </c>
      <c r="I351">
        <v>115</v>
      </c>
      <c r="J351">
        <v>17.8</v>
      </c>
      <c r="K351">
        <v>249.8</v>
      </c>
      <c r="L351">
        <v>144</v>
      </c>
      <c r="M351">
        <v>21.23</v>
      </c>
      <c r="N351">
        <v>192.3</v>
      </c>
      <c r="O351">
        <v>99</v>
      </c>
      <c r="P351">
        <v>8.65</v>
      </c>
      <c r="Q351">
        <v>8.9</v>
      </c>
      <c r="R351">
        <v>2</v>
      </c>
      <c r="S351">
        <v>2.4</v>
      </c>
      <c r="T351">
        <v>1</v>
      </c>
    </row>
    <row r="352" spans="1:20" x14ac:dyDescent="0.3">
      <c r="A352">
        <v>351</v>
      </c>
      <c r="B352" t="s">
        <v>51</v>
      </c>
      <c r="C352">
        <v>46</v>
      </c>
      <c r="D352" t="s">
        <v>71</v>
      </c>
      <c r="E352" t="s">
        <v>74</v>
      </c>
      <c r="F352" t="s">
        <v>75</v>
      </c>
      <c r="G352">
        <v>34</v>
      </c>
      <c r="H352">
        <v>191.4</v>
      </c>
      <c r="I352">
        <v>102</v>
      </c>
      <c r="J352">
        <v>32.54</v>
      </c>
      <c r="K352">
        <v>361.8</v>
      </c>
      <c r="L352">
        <v>96</v>
      </c>
      <c r="M352">
        <v>30.75</v>
      </c>
      <c r="N352">
        <v>147.5</v>
      </c>
      <c r="O352">
        <v>132</v>
      </c>
      <c r="P352">
        <v>6.64</v>
      </c>
      <c r="Q352">
        <v>7.2</v>
      </c>
      <c r="R352">
        <v>2</v>
      </c>
      <c r="S352">
        <v>1.94</v>
      </c>
      <c r="T352">
        <v>1</v>
      </c>
    </row>
    <row r="353" spans="1:20" x14ac:dyDescent="0.3">
      <c r="A353">
        <v>352</v>
      </c>
      <c r="B353" t="s">
        <v>26</v>
      </c>
      <c r="C353">
        <v>40</v>
      </c>
      <c r="D353" t="s">
        <v>72</v>
      </c>
      <c r="E353" t="s">
        <v>74</v>
      </c>
      <c r="F353" t="s">
        <v>74</v>
      </c>
      <c r="G353">
        <v>0</v>
      </c>
      <c r="H353">
        <v>109.4</v>
      </c>
      <c r="I353">
        <v>107</v>
      </c>
      <c r="J353">
        <v>18.600000000000001</v>
      </c>
      <c r="K353">
        <v>244.7</v>
      </c>
      <c r="L353">
        <v>102</v>
      </c>
      <c r="M353">
        <v>20.8</v>
      </c>
      <c r="N353">
        <v>276.89999999999998</v>
      </c>
      <c r="O353">
        <v>123</v>
      </c>
      <c r="P353">
        <v>12.46</v>
      </c>
      <c r="Q353">
        <v>7.1</v>
      </c>
      <c r="R353">
        <v>7</v>
      </c>
      <c r="S353">
        <v>1.92</v>
      </c>
      <c r="T353">
        <v>0</v>
      </c>
    </row>
    <row r="354" spans="1:20" x14ac:dyDescent="0.3">
      <c r="A354">
        <v>353</v>
      </c>
      <c r="B354" t="s">
        <v>54</v>
      </c>
      <c r="C354">
        <v>22</v>
      </c>
      <c r="D354" t="s">
        <v>73</v>
      </c>
      <c r="E354" t="s">
        <v>74</v>
      </c>
      <c r="F354" t="s">
        <v>74</v>
      </c>
      <c r="G354">
        <v>0</v>
      </c>
      <c r="H354">
        <v>207.7</v>
      </c>
      <c r="I354">
        <v>116</v>
      </c>
      <c r="J354">
        <v>35.31</v>
      </c>
      <c r="K354">
        <v>210.6</v>
      </c>
      <c r="L354">
        <v>99</v>
      </c>
      <c r="M354">
        <v>17.899999999999999</v>
      </c>
      <c r="N354">
        <v>238.2</v>
      </c>
      <c r="O354">
        <v>88</v>
      </c>
      <c r="P354">
        <v>10.72</v>
      </c>
      <c r="Q354">
        <v>9.6</v>
      </c>
      <c r="R354">
        <v>5</v>
      </c>
      <c r="S354">
        <v>2.59</v>
      </c>
      <c r="T354">
        <v>0</v>
      </c>
    </row>
    <row r="355" spans="1:20" x14ac:dyDescent="0.3">
      <c r="A355">
        <v>354</v>
      </c>
      <c r="B355" t="s">
        <v>37</v>
      </c>
      <c r="C355">
        <v>101</v>
      </c>
      <c r="D355" t="s">
        <v>71</v>
      </c>
      <c r="E355" t="s">
        <v>75</v>
      </c>
      <c r="F355" t="s">
        <v>74</v>
      </c>
      <c r="G355">
        <v>0</v>
      </c>
      <c r="H355">
        <v>133.5</v>
      </c>
      <c r="I355">
        <v>51</v>
      </c>
      <c r="J355">
        <v>22.7</v>
      </c>
      <c r="K355">
        <v>219.6</v>
      </c>
      <c r="L355">
        <v>96</v>
      </c>
      <c r="M355">
        <v>18.670000000000002</v>
      </c>
      <c r="N355">
        <v>210</v>
      </c>
      <c r="O355">
        <v>74</v>
      </c>
      <c r="P355">
        <v>9.4499999999999993</v>
      </c>
      <c r="Q355">
        <v>11.7</v>
      </c>
      <c r="R355">
        <v>4</v>
      </c>
      <c r="S355">
        <v>3.16</v>
      </c>
      <c r="T355">
        <v>1</v>
      </c>
    </row>
    <row r="356" spans="1:20" x14ac:dyDescent="0.3">
      <c r="A356">
        <v>355</v>
      </c>
      <c r="B356" t="s">
        <v>31</v>
      </c>
      <c r="C356">
        <v>153</v>
      </c>
      <c r="D356" t="s">
        <v>72</v>
      </c>
      <c r="E356" t="s">
        <v>74</v>
      </c>
      <c r="F356" t="s">
        <v>74</v>
      </c>
      <c r="G356">
        <v>0</v>
      </c>
      <c r="H356">
        <v>159.5</v>
      </c>
      <c r="I356">
        <v>103</v>
      </c>
      <c r="J356">
        <v>27.12</v>
      </c>
      <c r="K356">
        <v>275.5</v>
      </c>
      <c r="L356">
        <v>90</v>
      </c>
      <c r="M356">
        <v>23.42</v>
      </c>
      <c r="N356">
        <v>176.7</v>
      </c>
      <c r="O356">
        <v>126</v>
      </c>
      <c r="P356">
        <v>7.95</v>
      </c>
      <c r="Q356">
        <v>10.1</v>
      </c>
      <c r="R356">
        <v>2</v>
      </c>
      <c r="S356">
        <v>2.73</v>
      </c>
      <c r="T356">
        <v>1</v>
      </c>
    </row>
    <row r="357" spans="1:20" x14ac:dyDescent="0.3">
      <c r="A357">
        <v>356</v>
      </c>
      <c r="B357" t="s">
        <v>38</v>
      </c>
      <c r="C357">
        <v>112</v>
      </c>
      <c r="D357" t="s">
        <v>71</v>
      </c>
      <c r="E357" t="s">
        <v>74</v>
      </c>
      <c r="F357" t="s">
        <v>74</v>
      </c>
      <c r="G357">
        <v>0</v>
      </c>
      <c r="H357">
        <v>174.3</v>
      </c>
      <c r="I357">
        <v>123</v>
      </c>
      <c r="J357">
        <v>29.63</v>
      </c>
      <c r="K357">
        <v>140.19999999999999</v>
      </c>
      <c r="L357">
        <v>124</v>
      </c>
      <c r="M357">
        <v>11.92</v>
      </c>
      <c r="N357">
        <v>215.4</v>
      </c>
      <c r="O357">
        <v>89</v>
      </c>
      <c r="P357">
        <v>9.69</v>
      </c>
      <c r="Q357">
        <v>9</v>
      </c>
      <c r="R357">
        <v>6</v>
      </c>
      <c r="S357">
        <v>2.4300000000000002</v>
      </c>
      <c r="T357">
        <v>4</v>
      </c>
    </row>
    <row r="358" spans="1:20" x14ac:dyDescent="0.3">
      <c r="A358">
        <v>357</v>
      </c>
      <c r="B358" t="s">
        <v>64</v>
      </c>
      <c r="C358">
        <v>101</v>
      </c>
      <c r="D358" t="s">
        <v>71</v>
      </c>
      <c r="E358" t="s">
        <v>74</v>
      </c>
      <c r="F358" t="s">
        <v>75</v>
      </c>
      <c r="G358">
        <v>36</v>
      </c>
      <c r="H358">
        <v>123.7</v>
      </c>
      <c r="I358">
        <v>125</v>
      </c>
      <c r="J358">
        <v>21.03</v>
      </c>
      <c r="K358">
        <v>172.6</v>
      </c>
      <c r="L358">
        <v>106</v>
      </c>
      <c r="M358">
        <v>14.67</v>
      </c>
      <c r="N358">
        <v>280.5</v>
      </c>
      <c r="O358">
        <v>127</v>
      </c>
      <c r="P358">
        <v>12.62</v>
      </c>
      <c r="Q358">
        <v>8.8000000000000007</v>
      </c>
      <c r="R358">
        <v>4</v>
      </c>
      <c r="S358">
        <v>2.38</v>
      </c>
      <c r="T358">
        <v>1</v>
      </c>
    </row>
    <row r="359" spans="1:20" x14ac:dyDescent="0.3">
      <c r="A359">
        <v>358</v>
      </c>
      <c r="B359" t="s">
        <v>43</v>
      </c>
      <c r="C359">
        <v>161</v>
      </c>
      <c r="D359" t="s">
        <v>72</v>
      </c>
      <c r="E359" t="s">
        <v>74</v>
      </c>
      <c r="F359" t="s">
        <v>74</v>
      </c>
      <c r="G359">
        <v>0</v>
      </c>
      <c r="H359">
        <v>297.89999999999998</v>
      </c>
      <c r="I359">
        <v>141</v>
      </c>
      <c r="J359">
        <v>50.64</v>
      </c>
      <c r="K359">
        <v>238.1</v>
      </c>
      <c r="L359">
        <v>107</v>
      </c>
      <c r="M359">
        <v>20.239999999999998</v>
      </c>
      <c r="N359">
        <v>240.5</v>
      </c>
      <c r="O359">
        <v>93</v>
      </c>
      <c r="P359">
        <v>10.82</v>
      </c>
      <c r="Q359">
        <v>8.9</v>
      </c>
      <c r="R359">
        <v>5</v>
      </c>
      <c r="S359">
        <v>2.4</v>
      </c>
      <c r="T359">
        <v>1</v>
      </c>
    </row>
    <row r="360" spans="1:20" x14ac:dyDescent="0.3">
      <c r="A360">
        <v>359</v>
      </c>
      <c r="B360" t="s">
        <v>43</v>
      </c>
      <c r="C360">
        <v>130</v>
      </c>
      <c r="D360" t="s">
        <v>71</v>
      </c>
      <c r="E360" t="s">
        <v>74</v>
      </c>
      <c r="F360" t="s">
        <v>74</v>
      </c>
      <c r="G360">
        <v>0</v>
      </c>
      <c r="H360">
        <v>212.8</v>
      </c>
      <c r="I360">
        <v>102</v>
      </c>
      <c r="J360">
        <v>36.18</v>
      </c>
      <c r="K360">
        <v>189.8</v>
      </c>
      <c r="L360">
        <v>137</v>
      </c>
      <c r="M360">
        <v>16.13</v>
      </c>
      <c r="N360">
        <v>170.1</v>
      </c>
      <c r="O360">
        <v>105</v>
      </c>
      <c r="P360">
        <v>7.65</v>
      </c>
      <c r="Q360">
        <v>10.6</v>
      </c>
      <c r="R360">
        <v>4</v>
      </c>
      <c r="S360">
        <v>2.86</v>
      </c>
      <c r="T360">
        <v>0</v>
      </c>
    </row>
    <row r="361" spans="1:20" x14ac:dyDescent="0.3">
      <c r="A361">
        <v>360</v>
      </c>
      <c r="B361" t="s">
        <v>30</v>
      </c>
      <c r="C361">
        <v>90</v>
      </c>
      <c r="D361" t="s">
        <v>72</v>
      </c>
      <c r="E361" t="s">
        <v>74</v>
      </c>
      <c r="F361" t="s">
        <v>74</v>
      </c>
      <c r="G361">
        <v>0</v>
      </c>
      <c r="H361">
        <v>125.4</v>
      </c>
      <c r="I361">
        <v>158</v>
      </c>
      <c r="J361">
        <v>21.32</v>
      </c>
      <c r="K361">
        <v>269.10000000000002</v>
      </c>
      <c r="L361">
        <v>83</v>
      </c>
      <c r="M361">
        <v>22.87</v>
      </c>
      <c r="N361">
        <v>238.6</v>
      </c>
      <c r="O361">
        <v>103</v>
      </c>
      <c r="P361">
        <v>10.74</v>
      </c>
      <c r="Q361">
        <v>11</v>
      </c>
      <c r="R361">
        <v>7</v>
      </c>
      <c r="S361">
        <v>2.97</v>
      </c>
      <c r="T361">
        <v>1</v>
      </c>
    </row>
    <row r="362" spans="1:20" x14ac:dyDescent="0.3">
      <c r="A362">
        <v>361</v>
      </c>
      <c r="B362" t="s">
        <v>49</v>
      </c>
      <c r="C362">
        <v>107</v>
      </c>
      <c r="D362" t="s">
        <v>71</v>
      </c>
      <c r="E362" t="s">
        <v>74</v>
      </c>
      <c r="F362" t="s">
        <v>74</v>
      </c>
      <c r="G362">
        <v>0</v>
      </c>
      <c r="H362">
        <v>294.89999999999998</v>
      </c>
      <c r="I362">
        <v>71</v>
      </c>
      <c r="J362">
        <v>50.13</v>
      </c>
      <c r="K362">
        <v>192.8</v>
      </c>
      <c r="L362">
        <v>78</v>
      </c>
      <c r="M362">
        <v>16.39</v>
      </c>
      <c r="N362">
        <v>148.1</v>
      </c>
      <c r="O362">
        <v>87</v>
      </c>
      <c r="P362">
        <v>6.66</v>
      </c>
      <c r="Q362">
        <v>13.2</v>
      </c>
      <c r="R362">
        <v>5</v>
      </c>
      <c r="S362">
        <v>3.56</v>
      </c>
      <c r="T362">
        <v>1</v>
      </c>
    </row>
    <row r="363" spans="1:20" x14ac:dyDescent="0.3">
      <c r="A363">
        <v>362</v>
      </c>
      <c r="B363" t="s">
        <v>60</v>
      </c>
      <c r="C363">
        <v>37</v>
      </c>
      <c r="D363" t="s">
        <v>72</v>
      </c>
      <c r="E363" t="s">
        <v>74</v>
      </c>
      <c r="F363" t="s">
        <v>74</v>
      </c>
      <c r="G363">
        <v>0</v>
      </c>
      <c r="H363">
        <v>239.9</v>
      </c>
      <c r="I363">
        <v>120</v>
      </c>
      <c r="J363">
        <v>40.78</v>
      </c>
      <c r="K363">
        <v>261.60000000000002</v>
      </c>
      <c r="L363">
        <v>88</v>
      </c>
      <c r="M363">
        <v>22.24</v>
      </c>
      <c r="N363">
        <v>207.1</v>
      </c>
      <c r="O363">
        <v>88</v>
      </c>
      <c r="P363">
        <v>9.32</v>
      </c>
      <c r="Q363">
        <v>8.9</v>
      </c>
      <c r="R363">
        <v>4</v>
      </c>
      <c r="S363">
        <v>2.4</v>
      </c>
      <c r="T363">
        <v>2</v>
      </c>
    </row>
    <row r="364" spans="1:20" x14ac:dyDescent="0.3">
      <c r="A364">
        <v>363</v>
      </c>
      <c r="B364" t="s">
        <v>32</v>
      </c>
      <c r="C364">
        <v>100</v>
      </c>
      <c r="D364" t="s">
        <v>71</v>
      </c>
      <c r="E364" t="s">
        <v>75</v>
      </c>
      <c r="F364" t="s">
        <v>74</v>
      </c>
      <c r="G364">
        <v>0</v>
      </c>
      <c r="H364">
        <v>159.9</v>
      </c>
      <c r="I364">
        <v>94</v>
      </c>
      <c r="J364">
        <v>27.18</v>
      </c>
      <c r="K364">
        <v>179.9</v>
      </c>
      <c r="L364">
        <v>95</v>
      </c>
      <c r="M364">
        <v>15.29</v>
      </c>
      <c r="N364">
        <v>154.4</v>
      </c>
      <c r="O364">
        <v>102</v>
      </c>
      <c r="P364">
        <v>6.95</v>
      </c>
      <c r="Q364">
        <v>11.6</v>
      </c>
      <c r="R364">
        <v>2</v>
      </c>
      <c r="S364">
        <v>3.13</v>
      </c>
      <c r="T364">
        <v>2</v>
      </c>
    </row>
    <row r="365" spans="1:20" x14ac:dyDescent="0.3">
      <c r="A365">
        <v>364</v>
      </c>
      <c r="B365" t="s">
        <v>70</v>
      </c>
      <c r="C365">
        <v>38</v>
      </c>
      <c r="D365" t="s">
        <v>73</v>
      </c>
      <c r="E365" t="s">
        <v>74</v>
      </c>
      <c r="F365" t="s">
        <v>75</v>
      </c>
      <c r="G365">
        <v>36</v>
      </c>
      <c r="H365">
        <v>115.4</v>
      </c>
      <c r="I365">
        <v>98</v>
      </c>
      <c r="J365">
        <v>19.62</v>
      </c>
      <c r="K365">
        <v>166.2</v>
      </c>
      <c r="L365">
        <v>83</v>
      </c>
      <c r="M365">
        <v>14.13</v>
      </c>
      <c r="N365">
        <v>184.7</v>
      </c>
      <c r="O365">
        <v>79</v>
      </c>
      <c r="P365">
        <v>8.31</v>
      </c>
      <c r="Q365">
        <v>15.2</v>
      </c>
      <c r="R365">
        <v>6</v>
      </c>
      <c r="S365">
        <v>4.0999999999999996</v>
      </c>
      <c r="T365">
        <v>2</v>
      </c>
    </row>
    <row r="366" spans="1:20" x14ac:dyDescent="0.3">
      <c r="A366">
        <v>365</v>
      </c>
      <c r="B366" t="s">
        <v>38</v>
      </c>
      <c r="C366">
        <v>112</v>
      </c>
      <c r="D366" t="s">
        <v>71</v>
      </c>
      <c r="E366" t="s">
        <v>74</v>
      </c>
      <c r="F366" t="s">
        <v>75</v>
      </c>
      <c r="G366">
        <v>23</v>
      </c>
      <c r="H366">
        <v>286.60000000000002</v>
      </c>
      <c r="I366">
        <v>79</v>
      </c>
      <c r="J366">
        <v>48.72</v>
      </c>
      <c r="K366">
        <v>315.3</v>
      </c>
      <c r="L366">
        <v>102</v>
      </c>
      <c r="M366">
        <v>26.8</v>
      </c>
      <c r="N366">
        <v>193.9</v>
      </c>
      <c r="O366">
        <v>101</v>
      </c>
      <c r="P366">
        <v>8.73</v>
      </c>
      <c r="Q366">
        <v>10.3</v>
      </c>
      <c r="R366">
        <v>6</v>
      </c>
      <c r="S366">
        <v>2.78</v>
      </c>
      <c r="T366">
        <v>1</v>
      </c>
    </row>
    <row r="367" spans="1:20" x14ac:dyDescent="0.3">
      <c r="A367">
        <v>366</v>
      </c>
      <c r="B367" t="s">
        <v>66</v>
      </c>
      <c r="C367">
        <v>182</v>
      </c>
      <c r="D367" t="s">
        <v>71</v>
      </c>
      <c r="E367" t="s">
        <v>74</v>
      </c>
      <c r="F367" t="s">
        <v>74</v>
      </c>
      <c r="G367">
        <v>0</v>
      </c>
      <c r="H367">
        <v>279.5</v>
      </c>
      <c r="I367">
        <v>118</v>
      </c>
      <c r="J367">
        <v>47.52</v>
      </c>
      <c r="K367">
        <v>203.2</v>
      </c>
      <c r="L367">
        <v>113</v>
      </c>
      <c r="M367">
        <v>17.27</v>
      </c>
      <c r="N367">
        <v>174.2</v>
      </c>
      <c r="O367">
        <v>101</v>
      </c>
      <c r="P367">
        <v>7.84</v>
      </c>
      <c r="Q367">
        <v>10.7</v>
      </c>
      <c r="R367">
        <v>4</v>
      </c>
      <c r="S367">
        <v>2.89</v>
      </c>
      <c r="T367">
        <v>2</v>
      </c>
    </row>
    <row r="368" spans="1:20" x14ac:dyDescent="0.3">
      <c r="A368">
        <v>367</v>
      </c>
      <c r="B368" t="s">
        <v>26</v>
      </c>
      <c r="C368">
        <v>163</v>
      </c>
      <c r="D368" t="s">
        <v>73</v>
      </c>
      <c r="E368" t="s">
        <v>74</v>
      </c>
      <c r="F368" t="s">
        <v>75</v>
      </c>
      <c r="G368">
        <v>23</v>
      </c>
      <c r="H368">
        <v>224</v>
      </c>
      <c r="I368">
        <v>126</v>
      </c>
      <c r="J368">
        <v>38.08</v>
      </c>
      <c r="K368">
        <v>233.5</v>
      </c>
      <c r="L368">
        <v>89</v>
      </c>
      <c r="M368">
        <v>19.850000000000001</v>
      </c>
      <c r="N368">
        <v>293.89999999999998</v>
      </c>
      <c r="O368">
        <v>104</v>
      </c>
      <c r="P368">
        <v>13.23</v>
      </c>
      <c r="Q368">
        <v>8.8000000000000007</v>
      </c>
      <c r="R368">
        <v>4</v>
      </c>
      <c r="S368">
        <v>2.38</v>
      </c>
      <c r="T368">
        <v>1</v>
      </c>
    </row>
    <row r="369" spans="1:20" x14ac:dyDescent="0.3">
      <c r="A369">
        <v>368</v>
      </c>
      <c r="B369" t="s">
        <v>65</v>
      </c>
      <c r="C369">
        <v>152</v>
      </c>
      <c r="D369" t="s">
        <v>72</v>
      </c>
      <c r="E369" t="s">
        <v>75</v>
      </c>
      <c r="F369" t="s">
        <v>75</v>
      </c>
      <c r="G369">
        <v>41</v>
      </c>
      <c r="H369">
        <v>146.80000000000001</v>
      </c>
      <c r="I369">
        <v>128</v>
      </c>
      <c r="J369">
        <v>24.96</v>
      </c>
      <c r="K369">
        <v>285.60000000000002</v>
      </c>
      <c r="L369">
        <v>96</v>
      </c>
      <c r="M369">
        <v>24.28</v>
      </c>
      <c r="N369">
        <v>213.6</v>
      </c>
      <c r="O369">
        <v>80</v>
      </c>
      <c r="P369">
        <v>9.61</v>
      </c>
      <c r="Q369">
        <v>4.3</v>
      </c>
      <c r="R369">
        <v>2</v>
      </c>
      <c r="S369">
        <v>1.1599999999999999</v>
      </c>
      <c r="T369">
        <v>1</v>
      </c>
    </row>
    <row r="370" spans="1:20" x14ac:dyDescent="0.3">
      <c r="A370">
        <v>369</v>
      </c>
      <c r="B370" t="s">
        <v>61</v>
      </c>
      <c r="C370">
        <v>95</v>
      </c>
      <c r="D370" t="s">
        <v>71</v>
      </c>
      <c r="E370" t="s">
        <v>74</v>
      </c>
      <c r="F370" t="s">
        <v>75</v>
      </c>
      <c r="G370">
        <v>23</v>
      </c>
      <c r="H370">
        <v>160.30000000000001</v>
      </c>
      <c r="I370">
        <v>87</v>
      </c>
      <c r="J370">
        <v>27.25</v>
      </c>
      <c r="K370">
        <v>202.4</v>
      </c>
      <c r="L370">
        <v>101</v>
      </c>
      <c r="M370">
        <v>17.2</v>
      </c>
      <c r="N370">
        <v>191.1</v>
      </c>
      <c r="O370">
        <v>122</v>
      </c>
      <c r="P370">
        <v>8.6</v>
      </c>
      <c r="Q370">
        <v>7.4</v>
      </c>
      <c r="R370">
        <v>3</v>
      </c>
      <c r="S370">
        <v>2</v>
      </c>
      <c r="T370">
        <v>0</v>
      </c>
    </row>
    <row r="371" spans="1:20" x14ac:dyDescent="0.3">
      <c r="A371">
        <v>370</v>
      </c>
      <c r="B371" t="s">
        <v>35</v>
      </c>
      <c r="C371">
        <v>1</v>
      </c>
      <c r="D371" t="s">
        <v>73</v>
      </c>
      <c r="E371" t="s">
        <v>74</v>
      </c>
      <c r="F371" t="s">
        <v>74</v>
      </c>
      <c r="G371">
        <v>0</v>
      </c>
      <c r="H371">
        <v>175.2</v>
      </c>
      <c r="I371">
        <v>74</v>
      </c>
      <c r="J371">
        <v>29.78</v>
      </c>
      <c r="K371">
        <v>151.69999999999999</v>
      </c>
      <c r="L371">
        <v>79</v>
      </c>
      <c r="M371">
        <v>12.89</v>
      </c>
      <c r="N371">
        <v>230.5</v>
      </c>
      <c r="O371">
        <v>109</v>
      </c>
      <c r="P371">
        <v>10.37</v>
      </c>
      <c r="Q371">
        <v>5.3</v>
      </c>
      <c r="R371">
        <v>3</v>
      </c>
      <c r="S371">
        <v>1.43</v>
      </c>
      <c r="T371">
        <v>1</v>
      </c>
    </row>
    <row r="372" spans="1:20" x14ac:dyDescent="0.3">
      <c r="A372">
        <v>371</v>
      </c>
      <c r="B372" t="s">
        <v>29</v>
      </c>
      <c r="C372">
        <v>116</v>
      </c>
      <c r="D372" t="s">
        <v>72</v>
      </c>
      <c r="E372" t="s">
        <v>75</v>
      </c>
      <c r="F372" t="s">
        <v>75</v>
      </c>
      <c r="G372">
        <v>29</v>
      </c>
      <c r="H372">
        <v>162.30000000000001</v>
      </c>
      <c r="I372">
        <v>91</v>
      </c>
      <c r="J372">
        <v>27.59</v>
      </c>
      <c r="K372">
        <v>279.3</v>
      </c>
      <c r="L372">
        <v>79</v>
      </c>
      <c r="M372">
        <v>23.74</v>
      </c>
      <c r="N372">
        <v>192.7</v>
      </c>
      <c r="O372">
        <v>131</v>
      </c>
      <c r="P372">
        <v>8.67</v>
      </c>
      <c r="Q372">
        <v>11.7</v>
      </c>
      <c r="R372">
        <v>2</v>
      </c>
      <c r="S372">
        <v>3.16</v>
      </c>
      <c r="T372">
        <v>3</v>
      </c>
    </row>
    <row r="373" spans="1:20" x14ac:dyDescent="0.3">
      <c r="A373">
        <v>372</v>
      </c>
      <c r="B373" t="s">
        <v>41</v>
      </c>
      <c r="C373">
        <v>111</v>
      </c>
      <c r="D373" t="s">
        <v>72</v>
      </c>
      <c r="E373" t="s">
        <v>74</v>
      </c>
      <c r="F373" t="s">
        <v>74</v>
      </c>
      <c r="G373">
        <v>0</v>
      </c>
      <c r="H373">
        <v>152.19999999999999</v>
      </c>
      <c r="I373">
        <v>114</v>
      </c>
      <c r="J373">
        <v>25.87</v>
      </c>
      <c r="K373">
        <v>137.19999999999999</v>
      </c>
      <c r="L373">
        <v>102</v>
      </c>
      <c r="M373">
        <v>11.66</v>
      </c>
      <c r="N373">
        <v>185.9</v>
      </c>
      <c r="O373">
        <v>97</v>
      </c>
      <c r="P373">
        <v>8.3699999999999992</v>
      </c>
      <c r="Q373">
        <v>9.8000000000000007</v>
      </c>
      <c r="R373">
        <v>3</v>
      </c>
      <c r="S373">
        <v>2.65</v>
      </c>
      <c r="T373">
        <v>0</v>
      </c>
    </row>
    <row r="374" spans="1:20" x14ac:dyDescent="0.3">
      <c r="A374">
        <v>373</v>
      </c>
      <c r="B374" t="s">
        <v>62</v>
      </c>
      <c r="C374">
        <v>109</v>
      </c>
      <c r="D374" t="s">
        <v>72</v>
      </c>
      <c r="E374" t="s">
        <v>74</v>
      </c>
      <c r="F374" t="s">
        <v>74</v>
      </c>
      <c r="G374">
        <v>0</v>
      </c>
      <c r="H374">
        <v>175.4</v>
      </c>
      <c r="I374">
        <v>125</v>
      </c>
      <c r="J374">
        <v>29.82</v>
      </c>
      <c r="K374">
        <v>250.7</v>
      </c>
      <c r="L374">
        <v>87</v>
      </c>
      <c r="M374">
        <v>21.31</v>
      </c>
      <c r="N374">
        <v>289.3</v>
      </c>
      <c r="O374">
        <v>74</v>
      </c>
      <c r="P374">
        <v>13.02</v>
      </c>
      <c r="Q374">
        <v>9.8000000000000007</v>
      </c>
      <c r="R374">
        <v>9</v>
      </c>
      <c r="S374">
        <v>2.65</v>
      </c>
      <c r="T374">
        <v>1</v>
      </c>
    </row>
    <row r="375" spans="1:20" x14ac:dyDescent="0.3">
      <c r="A375">
        <v>374</v>
      </c>
      <c r="B375" t="s">
        <v>24</v>
      </c>
      <c r="C375">
        <v>103</v>
      </c>
      <c r="D375" t="s">
        <v>73</v>
      </c>
      <c r="E375" t="s">
        <v>74</v>
      </c>
      <c r="F375" t="s">
        <v>74</v>
      </c>
      <c r="G375">
        <v>0</v>
      </c>
      <c r="H375">
        <v>160.80000000000001</v>
      </c>
      <c r="I375">
        <v>91</v>
      </c>
      <c r="J375">
        <v>27.34</v>
      </c>
      <c r="K375">
        <v>155.80000000000001</v>
      </c>
      <c r="L375">
        <v>82</v>
      </c>
      <c r="M375">
        <v>13.24</v>
      </c>
      <c r="N375">
        <v>254.3</v>
      </c>
      <c r="O375">
        <v>103</v>
      </c>
      <c r="P375">
        <v>11.44</v>
      </c>
      <c r="Q375">
        <v>8.5</v>
      </c>
      <c r="R375">
        <v>3</v>
      </c>
      <c r="S375">
        <v>2.2999999999999998</v>
      </c>
      <c r="T375">
        <v>1</v>
      </c>
    </row>
    <row r="376" spans="1:20" x14ac:dyDescent="0.3">
      <c r="A376">
        <v>375</v>
      </c>
      <c r="B376" t="s">
        <v>63</v>
      </c>
      <c r="C376">
        <v>115</v>
      </c>
      <c r="D376" t="s">
        <v>73</v>
      </c>
      <c r="E376" t="s">
        <v>74</v>
      </c>
      <c r="F376" t="s">
        <v>74</v>
      </c>
      <c r="G376">
        <v>0</v>
      </c>
      <c r="H376">
        <v>178.7</v>
      </c>
      <c r="I376">
        <v>114</v>
      </c>
      <c r="J376">
        <v>30.38</v>
      </c>
      <c r="K376">
        <v>271</v>
      </c>
      <c r="L376">
        <v>96</v>
      </c>
      <c r="M376">
        <v>23.04</v>
      </c>
      <c r="N376">
        <v>245.9</v>
      </c>
      <c r="O376">
        <v>94</v>
      </c>
      <c r="P376">
        <v>11.07</v>
      </c>
      <c r="Q376">
        <v>16.399999999999999</v>
      </c>
      <c r="R376">
        <v>5</v>
      </c>
      <c r="S376">
        <v>4.43</v>
      </c>
      <c r="T376">
        <v>2</v>
      </c>
    </row>
    <row r="377" spans="1:20" x14ac:dyDescent="0.3">
      <c r="A377">
        <v>376</v>
      </c>
      <c r="B377" t="s">
        <v>52</v>
      </c>
      <c r="C377">
        <v>90</v>
      </c>
      <c r="D377" t="s">
        <v>71</v>
      </c>
      <c r="E377" t="s">
        <v>74</v>
      </c>
      <c r="F377" t="s">
        <v>74</v>
      </c>
      <c r="G377">
        <v>0</v>
      </c>
      <c r="H377">
        <v>167.5</v>
      </c>
      <c r="I377">
        <v>96</v>
      </c>
      <c r="J377">
        <v>28.48</v>
      </c>
      <c r="K377">
        <v>139.1</v>
      </c>
      <c r="L377">
        <v>104</v>
      </c>
      <c r="M377">
        <v>11.82</v>
      </c>
      <c r="N377">
        <v>138.4</v>
      </c>
      <c r="O377">
        <v>87</v>
      </c>
      <c r="P377">
        <v>6.23</v>
      </c>
      <c r="Q377">
        <v>13</v>
      </c>
      <c r="R377">
        <v>1</v>
      </c>
      <c r="S377">
        <v>3.51</v>
      </c>
      <c r="T377">
        <v>1</v>
      </c>
    </row>
    <row r="378" spans="1:20" x14ac:dyDescent="0.3">
      <c r="A378">
        <v>377</v>
      </c>
      <c r="B378" t="s">
        <v>53</v>
      </c>
      <c r="C378">
        <v>70</v>
      </c>
      <c r="D378" t="s">
        <v>72</v>
      </c>
      <c r="E378" t="s">
        <v>74</v>
      </c>
      <c r="F378" t="s">
        <v>74</v>
      </c>
      <c r="G378">
        <v>0</v>
      </c>
      <c r="H378">
        <v>147.1</v>
      </c>
      <c r="I378">
        <v>105</v>
      </c>
      <c r="J378">
        <v>25.01</v>
      </c>
      <c r="K378">
        <v>200</v>
      </c>
      <c r="L378">
        <v>135</v>
      </c>
      <c r="M378">
        <v>17</v>
      </c>
      <c r="N378">
        <v>234.9</v>
      </c>
      <c r="O378">
        <v>65</v>
      </c>
      <c r="P378">
        <v>10.57</v>
      </c>
      <c r="Q378">
        <v>12.5</v>
      </c>
      <c r="R378">
        <v>9</v>
      </c>
      <c r="S378">
        <v>3.38</v>
      </c>
      <c r="T378">
        <v>3</v>
      </c>
    </row>
    <row r="379" spans="1:20" x14ac:dyDescent="0.3">
      <c r="A379">
        <v>378</v>
      </c>
      <c r="B379" t="s">
        <v>62</v>
      </c>
      <c r="C379">
        <v>109</v>
      </c>
      <c r="D379" t="s">
        <v>72</v>
      </c>
      <c r="E379" t="s">
        <v>74</v>
      </c>
      <c r="F379" t="s">
        <v>74</v>
      </c>
      <c r="G379">
        <v>0</v>
      </c>
      <c r="H379">
        <v>153.1</v>
      </c>
      <c r="I379">
        <v>102</v>
      </c>
      <c r="J379">
        <v>26.03</v>
      </c>
      <c r="K379">
        <v>234.1</v>
      </c>
      <c r="L379">
        <v>77</v>
      </c>
      <c r="M379">
        <v>19.899999999999999</v>
      </c>
      <c r="N379">
        <v>329.2</v>
      </c>
      <c r="O379">
        <v>74</v>
      </c>
      <c r="P379">
        <v>14.81</v>
      </c>
      <c r="Q379">
        <v>9.9</v>
      </c>
      <c r="R379">
        <v>9</v>
      </c>
      <c r="S379">
        <v>2.67</v>
      </c>
      <c r="T379">
        <v>3</v>
      </c>
    </row>
    <row r="380" spans="1:20" x14ac:dyDescent="0.3">
      <c r="A380">
        <v>379</v>
      </c>
      <c r="B380" t="s">
        <v>41</v>
      </c>
      <c r="C380">
        <v>82</v>
      </c>
      <c r="D380" t="s">
        <v>72</v>
      </c>
      <c r="E380" t="s">
        <v>74</v>
      </c>
      <c r="F380" t="s">
        <v>74</v>
      </c>
      <c r="G380">
        <v>0</v>
      </c>
      <c r="H380">
        <v>265.2</v>
      </c>
      <c r="I380">
        <v>122</v>
      </c>
      <c r="J380">
        <v>45.08</v>
      </c>
      <c r="K380">
        <v>178.7</v>
      </c>
      <c r="L380">
        <v>102</v>
      </c>
      <c r="M380">
        <v>15.19</v>
      </c>
      <c r="N380">
        <v>174.7</v>
      </c>
      <c r="O380">
        <v>90</v>
      </c>
      <c r="P380">
        <v>7.86</v>
      </c>
      <c r="Q380">
        <v>10.7</v>
      </c>
      <c r="R380">
        <v>9</v>
      </c>
      <c r="S380">
        <v>2.89</v>
      </c>
      <c r="T380">
        <v>2</v>
      </c>
    </row>
    <row r="381" spans="1:20" x14ac:dyDescent="0.3">
      <c r="A381">
        <v>380</v>
      </c>
      <c r="B381" t="s">
        <v>55</v>
      </c>
      <c r="C381">
        <v>180</v>
      </c>
      <c r="D381" t="s">
        <v>71</v>
      </c>
      <c r="E381" t="s">
        <v>74</v>
      </c>
      <c r="F381" t="s">
        <v>74</v>
      </c>
      <c r="G381">
        <v>0</v>
      </c>
      <c r="H381">
        <v>143.30000000000001</v>
      </c>
      <c r="I381">
        <v>134</v>
      </c>
      <c r="J381">
        <v>24.36</v>
      </c>
      <c r="K381">
        <v>180.5</v>
      </c>
      <c r="L381">
        <v>113</v>
      </c>
      <c r="M381">
        <v>15.34</v>
      </c>
      <c r="N381">
        <v>184.2</v>
      </c>
      <c r="O381">
        <v>87</v>
      </c>
      <c r="P381">
        <v>8.2899999999999991</v>
      </c>
      <c r="Q381">
        <v>10.1</v>
      </c>
      <c r="R381">
        <v>4</v>
      </c>
      <c r="S381">
        <v>2.73</v>
      </c>
      <c r="T381">
        <v>1</v>
      </c>
    </row>
    <row r="382" spans="1:20" x14ac:dyDescent="0.3">
      <c r="A382">
        <v>381</v>
      </c>
      <c r="B382" t="s">
        <v>25</v>
      </c>
      <c r="C382">
        <v>79</v>
      </c>
      <c r="D382" t="s">
        <v>73</v>
      </c>
      <c r="E382" t="s">
        <v>75</v>
      </c>
      <c r="F382" t="s">
        <v>74</v>
      </c>
      <c r="G382">
        <v>0</v>
      </c>
      <c r="H382">
        <v>103.5</v>
      </c>
      <c r="I382">
        <v>134</v>
      </c>
      <c r="J382">
        <v>17.600000000000001</v>
      </c>
      <c r="K382">
        <v>319.3</v>
      </c>
      <c r="L382">
        <v>111</v>
      </c>
      <c r="M382">
        <v>27.14</v>
      </c>
      <c r="N382">
        <v>239.9</v>
      </c>
      <c r="O382">
        <v>124</v>
      </c>
      <c r="P382">
        <v>10.8</v>
      </c>
      <c r="Q382">
        <v>8.4</v>
      </c>
      <c r="R382">
        <v>4</v>
      </c>
      <c r="S382">
        <v>2.27</v>
      </c>
      <c r="T382">
        <v>2</v>
      </c>
    </row>
    <row r="383" spans="1:20" x14ac:dyDescent="0.3">
      <c r="A383">
        <v>382</v>
      </c>
      <c r="B383" t="s">
        <v>49</v>
      </c>
      <c r="C383">
        <v>102</v>
      </c>
      <c r="D383" t="s">
        <v>71</v>
      </c>
      <c r="E383" t="s">
        <v>74</v>
      </c>
      <c r="F383" t="s">
        <v>74</v>
      </c>
      <c r="G383">
        <v>0</v>
      </c>
      <c r="H383">
        <v>129.5</v>
      </c>
      <c r="I383">
        <v>56</v>
      </c>
      <c r="J383">
        <v>22.02</v>
      </c>
      <c r="K383">
        <v>354.2</v>
      </c>
      <c r="L383">
        <v>118</v>
      </c>
      <c r="M383">
        <v>30.11</v>
      </c>
      <c r="N383">
        <v>145.5</v>
      </c>
      <c r="O383">
        <v>93</v>
      </c>
      <c r="P383">
        <v>6.55</v>
      </c>
      <c r="Q383">
        <v>10.9</v>
      </c>
      <c r="R383">
        <v>3</v>
      </c>
      <c r="S383">
        <v>2.94</v>
      </c>
      <c r="T383">
        <v>1</v>
      </c>
    </row>
    <row r="384" spans="1:20" x14ac:dyDescent="0.3">
      <c r="A384">
        <v>383</v>
      </c>
      <c r="B384" t="s">
        <v>57</v>
      </c>
      <c r="C384">
        <v>49</v>
      </c>
      <c r="D384" t="s">
        <v>73</v>
      </c>
      <c r="E384" t="s">
        <v>74</v>
      </c>
      <c r="F384" t="s">
        <v>74</v>
      </c>
      <c r="G384">
        <v>0</v>
      </c>
      <c r="H384">
        <v>236.6</v>
      </c>
      <c r="I384">
        <v>91</v>
      </c>
      <c r="J384">
        <v>40.22</v>
      </c>
      <c r="K384">
        <v>220.9</v>
      </c>
      <c r="L384">
        <v>146</v>
      </c>
      <c r="M384">
        <v>18.78</v>
      </c>
      <c r="N384">
        <v>146.80000000000001</v>
      </c>
      <c r="O384">
        <v>114</v>
      </c>
      <c r="P384">
        <v>6.61</v>
      </c>
      <c r="Q384">
        <v>8.9</v>
      </c>
      <c r="R384">
        <v>2</v>
      </c>
      <c r="S384">
        <v>2.4</v>
      </c>
      <c r="T384">
        <v>1</v>
      </c>
    </row>
    <row r="385" spans="1:20" x14ac:dyDescent="0.3">
      <c r="A385">
        <v>384</v>
      </c>
      <c r="B385" t="s">
        <v>23</v>
      </c>
      <c r="C385">
        <v>67</v>
      </c>
      <c r="D385" t="s">
        <v>73</v>
      </c>
      <c r="E385" t="s">
        <v>74</v>
      </c>
      <c r="F385" t="s">
        <v>74</v>
      </c>
      <c r="G385">
        <v>0</v>
      </c>
      <c r="H385">
        <v>260.39999999999998</v>
      </c>
      <c r="I385">
        <v>107</v>
      </c>
      <c r="J385">
        <v>44.27</v>
      </c>
      <c r="K385">
        <v>208.2</v>
      </c>
      <c r="L385">
        <v>104</v>
      </c>
      <c r="M385">
        <v>17.7</v>
      </c>
      <c r="N385">
        <v>207.9</v>
      </c>
      <c r="O385">
        <v>115</v>
      </c>
      <c r="P385">
        <v>9.36</v>
      </c>
      <c r="Q385">
        <v>10</v>
      </c>
      <c r="R385">
        <v>2</v>
      </c>
      <c r="S385">
        <v>2.7</v>
      </c>
      <c r="T385">
        <v>6</v>
      </c>
    </row>
    <row r="386" spans="1:20" x14ac:dyDescent="0.3">
      <c r="A386">
        <v>385</v>
      </c>
      <c r="B386" t="s">
        <v>33</v>
      </c>
      <c r="C386">
        <v>107</v>
      </c>
      <c r="D386" t="s">
        <v>71</v>
      </c>
      <c r="E386" t="s">
        <v>74</v>
      </c>
      <c r="F386" t="s">
        <v>74</v>
      </c>
      <c r="G386">
        <v>0</v>
      </c>
      <c r="H386">
        <v>167.3</v>
      </c>
      <c r="I386">
        <v>100</v>
      </c>
      <c r="J386">
        <v>28.44</v>
      </c>
      <c r="K386">
        <v>163.9</v>
      </c>
      <c r="L386">
        <v>79</v>
      </c>
      <c r="M386">
        <v>13.93</v>
      </c>
      <c r="N386">
        <v>185.9</v>
      </c>
      <c r="O386">
        <v>100</v>
      </c>
      <c r="P386">
        <v>8.3699999999999992</v>
      </c>
      <c r="Q386">
        <v>6.7</v>
      </c>
      <c r="R386">
        <v>5</v>
      </c>
      <c r="S386">
        <v>1.81</v>
      </c>
      <c r="T386">
        <v>2</v>
      </c>
    </row>
    <row r="387" spans="1:20" x14ac:dyDescent="0.3">
      <c r="A387">
        <v>386</v>
      </c>
      <c r="B387" t="s">
        <v>41</v>
      </c>
      <c r="C387">
        <v>118</v>
      </c>
      <c r="D387" t="s">
        <v>72</v>
      </c>
      <c r="E387" t="s">
        <v>74</v>
      </c>
      <c r="F387" t="s">
        <v>74</v>
      </c>
      <c r="G387">
        <v>0</v>
      </c>
      <c r="H387">
        <v>113</v>
      </c>
      <c r="I387">
        <v>80</v>
      </c>
      <c r="J387">
        <v>19.21</v>
      </c>
      <c r="K387">
        <v>150.1</v>
      </c>
      <c r="L387">
        <v>87</v>
      </c>
      <c r="M387">
        <v>12.76</v>
      </c>
      <c r="N387">
        <v>204.3</v>
      </c>
      <c r="O387">
        <v>115</v>
      </c>
      <c r="P387">
        <v>9.19</v>
      </c>
      <c r="Q387">
        <v>10.8</v>
      </c>
      <c r="R387">
        <v>4</v>
      </c>
      <c r="S387">
        <v>2.92</v>
      </c>
      <c r="T387">
        <v>2</v>
      </c>
    </row>
    <row r="388" spans="1:20" x14ac:dyDescent="0.3">
      <c r="A388">
        <v>387</v>
      </c>
      <c r="B388" t="s">
        <v>62</v>
      </c>
      <c r="C388">
        <v>94</v>
      </c>
      <c r="D388" t="s">
        <v>73</v>
      </c>
      <c r="E388" t="s">
        <v>74</v>
      </c>
      <c r="F388" t="s">
        <v>74</v>
      </c>
      <c r="G388">
        <v>0</v>
      </c>
      <c r="H388">
        <v>136.19999999999999</v>
      </c>
      <c r="I388">
        <v>114</v>
      </c>
      <c r="J388">
        <v>23.15</v>
      </c>
      <c r="K388">
        <v>165.1</v>
      </c>
      <c r="L388">
        <v>118</v>
      </c>
      <c r="M388">
        <v>14.03</v>
      </c>
      <c r="N388">
        <v>137.9</v>
      </c>
      <c r="O388">
        <v>71</v>
      </c>
      <c r="P388">
        <v>6.21</v>
      </c>
      <c r="Q388">
        <v>9.6</v>
      </c>
      <c r="R388">
        <v>5</v>
      </c>
      <c r="S388">
        <v>2.59</v>
      </c>
      <c r="T388">
        <v>0</v>
      </c>
    </row>
    <row r="389" spans="1:20" x14ac:dyDescent="0.3">
      <c r="A389">
        <v>388</v>
      </c>
      <c r="B389" t="s">
        <v>63</v>
      </c>
      <c r="C389">
        <v>147</v>
      </c>
      <c r="D389" t="s">
        <v>73</v>
      </c>
      <c r="E389" t="s">
        <v>74</v>
      </c>
      <c r="F389" t="s">
        <v>74</v>
      </c>
      <c r="G389">
        <v>0</v>
      </c>
      <c r="H389">
        <v>168.6</v>
      </c>
      <c r="I389">
        <v>92</v>
      </c>
      <c r="J389">
        <v>28.66</v>
      </c>
      <c r="K389">
        <v>187.7</v>
      </c>
      <c r="L389">
        <v>107</v>
      </c>
      <c r="M389">
        <v>15.95</v>
      </c>
      <c r="N389">
        <v>216.5</v>
      </c>
      <c r="O389">
        <v>95</v>
      </c>
      <c r="P389">
        <v>9.74</v>
      </c>
      <c r="Q389">
        <v>14.4</v>
      </c>
      <c r="R389">
        <v>8</v>
      </c>
      <c r="S389">
        <v>3.89</v>
      </c>
      <c r="T389">
        <v>2</v>
      </c>
    </row>
    <row r="390" spans="1:20" x14ac:dyDescent="0.3">
      <c r="A390">
        <v>389</v>
      </c>
      <c r="B390" t="s">
        <v>69</v>
      </c>
      <c r="C390">
        <v>123</v>
      </c>
      <c r="D390" t="s">
        <v>71</v>
      </c>
      <c r="E390" t="s">
        <v>74</v>
      </c>
      <c r="F390" t="s">
        <v>74</v>
      </c>
      <c r="G390">
        <v>0</v>
      </c>
      <c r="H390">
        <v>166.9</v>
      </c>
      <c r="I390">
        <v>98</v>
      </c>
      <c r="J390">
        <v>28.37</v>
      </c>
      <c r="K390">
        <v>221.8</v>
      </c>
      <c r="L390">
        <v>77</v>
      </c>
      <c r="M390">
        <v>18.850000000000001</v>
      </c>
      <c r="N390">
        <v>243.9</v>
      </c>
      <c r="O390">
        <v>114</v>
      </c>
      <c r="P390">
        <v>10.98</v>
      </c>
      <c r="Q390">
        <v>12.8</v>
      </c>
      <c r="R390">
        <v>4</v>
      </c>
      <c r="S390">
        <v>3.46</v>
      </c>
      <c r="T390">
        <v>3</v>
      </c>
    </row>
    <row r="391" spans="1:20" x14ac:dyDescent="0.3">
      <c r="A391">
        <v>390</v>
      </c>
      <c r="B391" t="s">
        <v>58</v>
      </c>
      <c r="C391">
        <v>97</v>
      </c>
      <c r="D391" t="s">
        <v>71</v>
      </c>
      <c r="E391" t="s">
        <v>74</v>
      </c>
      <c r="F391" t="s">
        <v>74</v>
      </c>
      <c r="G391">
        <v>0</v>
      </c>
      <c r="H391">
        <v>146</v>
      </c>
      <c r="I391">
        <v>121</v>
      </c>
      <c r="J391">
        <v>24.82</v>
      </c>
      <c r="K391">
        <v>203</v>
      </c>
      <c r="L391">
        <v>141</v>
      </c>
      <c r="M391">
        <v>17.260000000000002</v>
      </c>
      <c r="N391">
        <v>151.80000000000001</v>
      </c>
      <c r="O391">
        <v>120</v>
      </c>
      <c r="P391">
        <v>6.83</v>
      </c>
      <c r="Q391">
        <v>13.3</v>
      </c>
      <c r="R391">
        <v>2</v>
      </c>
      <c r="S391">
        <v>3.59</v>
      </c>
      <c r="T391">
        <v>1</v>
      </c>
    </row>
    <row r="392" spans="1:20" x14ac:dyDescent="0.3">
      <c r="A392">
        <v>391</v>
      </c>
      <c r="B392" t="s">
        <v>38</v>
      </c>
      <c r="C392">
        <v>123</v>
      </c>
      <c r="D392" t="s">
        <v>71</v>
      </c>
      <c r="E392" t="s">
        <v>74</v>
      </c>
      <c r="F392" t="s">
        <v>74</v>
      </c>
      <c r="G392">
        <v>0</v>
      </c>
      <c r="H392">
        <v>123.2</v>
      </c>
      <c r="I392">
        <v>104</v>
      </c>
      <c r="J392">
        <v>20.94</v>
      </c>
      <c r="K392">
        <v>190</v>
      </c>
      <c r="L392">
        <v>117</v>
      </c>
      <c r="M392">
        <v>16.149999999999999</v>
      </c>
      <c r="N392">
        <v>170.3</v>
      </c>
      <c r="O392">
        <v>95</v>
      </c>
      <c r="P392">
        <v>7.66</v>
      </c>
      <c r="Q392">
        <v>12.9</v>
      </c>
      <c r="R392">
        <v>5</v>
      </c>
      <c r="S392">
        <v>3.48</v>
      </c>
      <c r="T392">
        <v>4</v>
      </c>
    </row>
    <row r="393" spans="1:20" x14ac:dyDescent="0.3">
      <c r="A393">
        <v>392</v>
      </c>
      <c r="B393" t="s">
        <v>44</v>
      </c>
      <c r="C393">
        <v>63</v>
      </c>
      <c r="D393" t="s">
        <v>71</v>
      </c>
      <c r="E393" t="s">
        <v>74</v>
      </c>
      <c r="F393" t="s">
        <v>74</v>
      </c>
      <c r="G393">
        <v>0</v>
      </c>
      <c r="H393">
        <v>128.69999999999999</v>
      </c>
      <c r="I393">
        <v>78</v>
      </c>
      <c r="J393">
        <v>21.88</v>
      </c>
      <c r="K393">
        <v>240.8</v>
      </c>
      <c r="L393">
        <v>133</v>
      </c>
      <c r="M393">
        <v>20.47</v>
      </c>
      <c r="N393">
        <v>237.7</v>
      </c>
      <c r="O393">
        <v>121</v>
      </c>
      <c r="P393">
        <v>10.7</v>
      </c>
      <c r="Q393">
        <v>12.8</v>
      </c>
      <c r="R393">
        <v>6</v>
      </c>
      <c r="S393">
        <v>3.46</v>
      </c>
      <c r="T393">
        <v>1</v>
      </c>
    </row>
    <row r="394" spans="1:20" x14ac:dyDescent="0.3">
      <c r="A394">
        <v>393</v>
      </c>
      <c r="B394" t="s">
        <v>53</v>
      </c>
      <c r="C394">
        <v>78</v>
      </c>
      <c r="D394" t="s">
        <v>71</v>
      </c>
      <c r="E394" t="s">
        <v>74</v>
      </c>
      <c r="F394" t="s">
        <v>75</v>
      </c>
      <c r="G394">
        <v>13</v>
      </c>
      <c r="H394">
        <v>281.2</v>
      </c>
      <c r="I394">
        <v>93</v>
      </c>
      <c r="J394">
        <v>47.8</v>
      </c>
      <c r="K394">
        <v>178.2</v>
      </c>
      <c r="L394">
        <v>101</v>
      </c>
      <c r="M394">
        <v>15.15</v>
      </c>
      <c r="N394">
        <v>244.2</v>
      </c>
      <c r="O394">
        <v>129</v>
      </c>
      <c r="P394">
        <v>10.99</v>
      </c>
      <c r="Q394">
        <v>6.4</v>
      </c>
      <c r="R394">
        <v>5</v>
      </c>
      <c r="S394">
        <v>1.73</v>
      </c>
      <c r="T394">
        <v>2</v>
      </c>
    </row>
    <row r="395" spans="1:20" x14ac:dyDescent="0.3">
      <c r="A395">
        <v>394</v>
      </c>
      <c r="B395" t="s">
        <v>49</v>
      </c>
      <c r="C395">
        <v>106</v>
      </c>
      <c r="D395" t="s">
        <v>71</v>
      </c>
      <c r="E395" t="s">
        <v>74</v>
      </c>
      <c r="F395" t="s">
        <v>74</v>
      </c>
      <c r="G395">
        <v>0</v>
      </c>
      <c r="H395">
        <v>208.3</v>
      </c>
      <c r="I395">
        <v>89</v>
      </c>
      <c r="J395">
        <v>35.409999999999997</v>
      </c>
      <c r="K395">
        <v>169.4</v>
      </c>
      <c r="L395">
        <v>67</v>
      </c>
      <c r="M395">
        <v>14.4</v>
      </c>
      <c r="N395">
        <v>102</v>
      </c>
      <c r="O395">
        <v>90</v>
      </c>
      <c r="P395">
        <v>4.59</v>
      </c>
      <c r="Q395">
        <v>15.9</v>
      </c>
      <c r="R395">
        <v>4</v>
      </c>
      <c r="S395">
        <v>4.29</v>
      </c>
      <c r="T395">
        <v>3</v>
      </c>
    </row>
    <row r="396" spans="1:20" x14ac:dyDescent="0.3">
      <c r="A396">
        <v>395</v>
      </c>
      <c r="B396" t="s">
        <v>62</v>
      </c>
      <c r="C396">
        <v>145</v>
      </c>
      <c r="D396" t="s">
        <v>71</v>
      </c>
      <c r="E396" t="s">
        <v>74</v>
      </c>
      <c r="F396" t="s">
        <v>74</v>
      </c>
      <c r="G396">
        <v>0</v>
      </c>
      <c r="H396">
        <v>224.2</v>
      </c>
      <c r="I396">
        <v>89</v>
      </c>
      <c r="J396">
        <v>38.11</v>
      </c>
      <c r="K396">
        <v>314.89999999999998</v>
      </c>
      <c r="L396">
        <v>121</v>
      </c>
      <c r="M396">
        <v>26.77</v>
      </c>
      <c r="N396">
        <v>182.9</v>
      </c>
      <c r="O396">
        <v>121</v>
      </c>
      <c r="P396">
        <v>8.23</v>
      </c>
      <c r="Q396">
        <v>16.100000000000001</v>
      </c>
      <c r="R396">
        <v>3</v>
      </c>
      <c r="S396">
        <v>4.3499999999999996</v>
      </c>
      <c r="T396">
        <v>1</v>
      </c>
    </row>
    <row r="397" spans="1:20" x14ac:dyDescent="0.3">
      <c r="A397">
        <v>396</v>
      </c>
      <c r="B397" t="s">
        <v>40</v>
      </c>
      <c r="C397">
        <v>48</v>
      </c>
      <c r="D397" t="s">
        <v>71</v>
      </c>
      <c r="E397" t="s">
        <v>74</v>
      </c>
      <c r="F397" t="s">
        <v>74</v>
      </c>
      <c r="G397">
        <v>0</v>
      </c>
      <c r="H397">
        <v>240</v>
      </c>
      <c r="I397">
        <v>88</v>
      </c>
      <c r="J397">
        <v>40.799999999999997</v>
      </c>
      <c r="K397">
        <v>141</v>
      </c>
      <c r="L397">
        <v>117</v>
      </c>
      <c r="M397">
        <v>11.99</v>
      </c>
      <c r="N397">
        <v>128.9</v>
      </c>
      <c r="O397">
        <v>137</v>
      </c>
      <c r="P397">
        <v>5.8</v>
      </c>
      <c r="Q397">
        <v>7.1</v>
      </c>
      <c r="R397">
        <v>9</v>
      </c>
      <c r="S397">
        <v>1.92</v>
      </c>
      <c r="T397">
        <v>1</v>
      </c>
    </row>
    <row r="398" spans="1:20" x14ac:dyDescent="0.3">
      <c r="A398">
        <v>397</v>
      </c>
      <c r="B398" t="s">
        <v>65</v>
      </c>
      <c r="C398">
        <v>100</v>
      </c>
      <c r="D398" t="s">
        <v>71</v>
      </c>
      <c r="E398" t="s">
        <v>74</v>
      </c>
      <c r="F398" t="s">
        <v>74</v>
      </c>
      <c r="G398">
        <v>0</v>
      </c>
      <c r="H398">
        <v>166</v>
      </c>
      <c r="I398">
        <v>102</v>
      </c>
      <c r="J398">
        <v>28.22</v>
      </c>
      <c r="K398">
        <v>236.1</v>
      </c>
      <c r="L398">
        <v>97</v>
      </c>
      <c r="M398">
        <v>20.07</v>
      </c>
      <c r="N398">
        <v>134.30000000000001</v>
      </c>
      <c r="O398">
        <v>93</v>
      </c>
      <c r="P398">
        <v>6.04</v>
      </c>
      <c r="Q398">
        <v>10.9</v>
      </c>
      <c r="R398">
        <v>4</v>
      </c>
      <c r="S398">
        <v>2.94</v>
      </c>
      <c r="T398">
        <v>1</v>
      </c>
    </row>
    <row r="399" spans="1:20" x14ac:dyDescent="0.3">
      <c r="A399">
        <v>398</v>
      </c>
      <c r="B399" t="s">
        <v>64</v>
      </c>
      <c r="C399">
        <v>147</v>
      </c>
      <c r="D399" t="s">
        <v>73</v>
      </c>
      <c r="E399" t="s">
        <v>75</v>
      </c>
      <c r="F399" t="s">
        <v>75</v>
      </c>
      <c r="G399">
        <v>35</v>
      </c>
      <c r="H399">
        <v>157.5</v>
      </c>
      <c r="I399">
        <v>109</v>
      </c>
      <c r="J399">
        <v>26.78</v>
      </c>
      <c r="K399">
        <v>189.6</v>
      </c>
      <c r="L399">
        <v>67</v>
      </c>
      <c r="M399">
        <v>16.12</v>
      </c>
      <c r="N399">
        <v>227</v>
      </c>
      <c r="O399">
        <v>76</v>
      </c>
      <c r="P399">
        <v>10.220000000000001</v>
      </c>
      <c r="Q399">
        <v>11.1</v>
      </c>
      <c r="R399">
        <v>2</v>
      </c>
      <c r="S399">
        <v>3</v>
      </c>
      <c r="T399">
        <v>3</v>
      </c>
    </row>
    <row r="400" spans="1:20" x14ac:dyDescent="0.3">
      <c r="A400">
        <v>399</v>
      </c>
      <c r="B400" t="s">
        <v>69</v>
      </c>
      <c r="C400">
        <v>115</v>
      </c>
      <c r="D400" t="s">
        <v>71</v>
      </c>
      <c r="E400" t="s">
        <v>74</v>
      </c>
      <c r="F400" t="s">
        <v>74</v>
      </c>
      <c r="G400">
        <v>0</v>
      </c>
      <c r="H400">
        <v>206.2</v>
      </c>
      <c r="I400">
        <v>113</v>
      </c>
      <c r="J400">
        <v>35.049999999999997</v>
      </c>
      <c r="K400">
        <v>176.4</v>
      </c>
      <c r="L400">
        <v>102</v>
      </c>
      <c r="M400">
        <v>14.99</v>
      </c>
      <c r="N400">
        <v>297.10000000000002</v>
      </c>
      <c r="O400">
        <v>119</v>
      </c>
      <c r="P400">
        <v>13.37</v>
      </c>
      <c r="Q400">
        <v>11</v>
      </c>
      <c r="R400">
        <v>7</v>
      </c>
      <c r="S400">
        <v>2.97</v>
      </c>
      <c r="T400">
        <v>1</v>
      </c>
    </row>
    <row r="401" spans="1:20" x14ac:dyDescent="0.3">
      <c r="A401">
        <v>400</v>
      </c>
      <c r="B401" t="s">
        <v>25</v>
      </c>
      <c r="C401">
        <v>86</v>
      </c>
      <c r="D401" t="s">
        <v>72</v>
      </c>
      <c r="E401" t="s">
        <v>74</v>
      </c>
      <c r="F401" t="s">
        <v>75</v>
      </c>
      <c r="G401">
        <v>16</v>
      </c>
      <c r="H401">
        <v>144.80000000000001</v>
      </c>
      <c r="I401">
        <v>105</v>
      </c>
      <c r="J401">
        <v>24.62</v>
      </c>
      <c r="K401">
        <v>206.2</v>
      </c>
      <c r="L401">
        <v>111</v>
      </c>
      <c r="M401">
        <v>17.53</v>
      </c>
      <c r="N401">
        <v>255.4</v>
      </c>
      <c r="O401">
        <v>117</v>
      </c>
      <c r="P401">
        <v>11.49</v>
      </c>
      <c r="Q401">
        <v>11.6</v>
      </c>
      <c r="R401">
        <v>2</v>
      </c>
      <c r="S401">
        <v>3.13</v>
      </c>
      <c r="T401">
        <v>4</v>
      </c>
    </row>
    <row r="402" spans="1:20" x14ac:dyDescent="0.3">
      <c r="A402">
        <v>401</v>
      </c>
      <c r="B402" t="s">
        <v>46</v>
      </c>
      <c r="C402">
        <v>141</v>
      </c>
      <c r="D402" t="s">
        <v>71</v>
      </c>
      <c r="E402" t="s">
        <v>74</v>
      </c>
      <c r="F402" t="s">
        <v>75</v>
      </c>
      <c r="G402">
        <v>32</v>
      </c>
      <c r="H402">
        <v>322.39999999999998</v>
      </c>
      <c r="I402">
        <v>92</v>
      </c>
      <c r="J402">
        <v>54.81</v>
      </c>
      <c r="K402">
        <v>283.2</v>
      </c>
      <c r="L402">
        <v>107</v>
      </c>
      <c r="M402">
        <v>24.07</v>
      </c>
      <c r="N402">
        <v>209.5</v>
      </c>
      <c r="O402">
        <v>111</v>
      </c>
      <c r="P402">
        <v>9.43</v>
      </c>
      <c r="Q402">
        <v>6.7</v>
      </c>
      <c r="R402">
        <v>3</v>
      </c>
      <c r="S402">
        <v>1.81</v>
      </c>
      <c r="T402">
        <v>1</v>
      </c>
    </row>
    <row r="403" spans="1:20" x14ac:dyDescent="0.3">
      <c r="A403">
        <v>402</v>
      </c>
      <c r="B403" t="s">
        <v>32</v>
      </c>
      <c r="C403">
        <v>163</v>
      </c>
      <c r="D403" t="s">
        <v>73</v>
      </c>
      <c r="E403" t="s">
        <v>74</v>
      </c>
      <c r="F403" t="s">
        <v>75</v>
      </c>
      <c r="G403">
        <v>22</v>
      </c>
      <c r="H403">
        <v>215.1</v>
      </c>
      <c r="I403">
        <v>91</v>
      </c>
      <c r="J403">
        <v>36.57</v>
      </c>
      <c r="K403">
        <v>138.9</v>
      </c>
      <c r="L403">
        <v>102</v>
      </c>
      <c r="M403">
        <v>11.81</v>
      </c>
      <c r="N403">
        <v>146.19999999999999</v>
      </c>
      <c r="O403">
        <v>109</v>
      </c>
      <c r="P403">
        <v>6.58</v>
      </c>
      <c r="Q403">
        <v>12.4</v>
      </c>
      <c r="R403">
        <v>2</v>
      </c>
      <c r="S403">
        <v>3.35</v>
      </c>
      <c r="T403">
        <v>2</v>
      </c>
    </row>
    <row r="404" spans="1:20" x14ac:dyDescent="0.3">
      <c r="A404">
        <v>403</v>
      </c>
      <c r="B404" t="s">
        <v>22</v>
      </c>
      <c r="C404">
        <v>89</v>
      </c>
      <c r="D404" t="s">
        <v>71</v>
      </c>
      <c r="E404" t="s">
        <v>74</v>
      </c>
      <c r="F404" t="s">
        <v>75</v>
      </c>
      <c r="G404">
        <v>35</v>
      </c>
      <c r="H404">
        <v>174.4</v>
      </c>
      <c r="I404">
        <v>108</v>
      </c>
      <c r="J404">
        <v>29.65</v>
      </c>
      <c r="K404">
        <v>196.7</v>
      </c>
      <c r="L404">
        <v>100</v>
      </c>
      <c r="M404">
        <v>16.72</v>
      </c>
      <c r="N404">
        <v>127.4</v>
      </c>
      <c r="O404">
        <v>74</v>
      </c>
      <c r="P404">
        <v>5.73</v>
      </c>
      <c r="Q404">
        <v>11.8</v>
      </c>
      <c r="R404">
        <v>3</v>
      </c>
      <c r="S404">
        <v>3.19</v>
      </c>
      <c r="T404">
        <v>1</v>
      </c>
    </row>
    <row r="405" spans="1:20" x14ac:dyDescent="0.3">
      <c r="A405">
        <v>404</v>
      </c>
      <c r="B405" t="s">
        <v>21</v>
      </c>
      <c r="C405">
        <v>76</v>
      </c>
      <c r="D405" t="s">
        <v>71</v>
      </c>
      <c r="E405" t="s">
        <v>74</v>
      </c>
      <c r="F405" t="s">
        <v>74</v>
      </c>
      <c r="G405">
        <v>0</v>
      </c>
      <c r="H405">
        <v>179.2</v>
      </c>
      <c r="I405">
        <v>85</v>
      </c>
      <c r="J405">
        <v>30.46</v>
      </c>
      <c r="K405">
        <v>222.9</v>
      </c>
      <c r="L405">
        <v>66</v>
      </c>
      <c r="M405">
        <v>18.95</v>
      </c>
      <c r="N405">
        <v>188.2</v>
      </c>
      <c r="O405">
        <v>113</v>
      </c>
      <c r="P405">
        <v>8.4700000000000006</v>
      </c>
      <c r="Q405">
        <v>12.4</v>
      </c>
      <c r="R405">
        <v>2</v>
      </c>
      <c r="S405">
        <v>3.35</v>
      </c>
      <c r="T405">
        <v>0</v>
      </c>
    </row>
    <row r="406" spans="1:20" x14ac:dyDescent="0.3">
      <c r="A406">
        <v>405</v>
      </c>
      <c r="B406" t="s">
        <v>20</v>
      </c>
      <c r="C406">
        <v>91</v>
      </c>
      <c r="D406" t="s">
        <v>73</v>
      </c>
      <c r="E406" t="s">
        <v>75</v>
      </c>
      <c r="F406" t="s">
        <v>74</v>
      </c>
      <c r="G406">
        <v>0</v>
      </c>
      <c r="H406">
        <v>246.4</v>
      </c>
      <c r="I406">
        <v>110</v>
      </c>
      <c r="J406">
        <v>41.89</v>
      </c>
      <c r="K406">
        <v>182</v>
      </c>
      <c r="L406">
        <v>98</v>
      </c>
      <c r="M406">
        <v>15.47</v>
      </c>
      <c r="N406">
        <v>157.6</v>
      </c>
      <c r="O406">
        <v>106</v>
      </c>
      <c r="P406">
        <v>7.09</v>
      </c>
      <c r="Q406">
        <v>12.1</v>
      </c>
      <c r="R406">
        <v>2</v>
      </c>
      <c r="S406">
        <v>3.27</v>
      </c>
      <c r="T406">
        <v>2</v>
      </c>
    </row>
    <row r="407" spans="1:20" x14ac:dyDescent="0.3">
      <c r="A407">
        <v>406</v>
      </c>
      <c r="B407" t="s">
        <v>61</v>
      </c>
      <c r="C407">
        <v>69</v>
      </c>
      <c r="D407" t="s">
        <v>71</v>
      </c>
      <c r="E407" t="s">
        <v>74</v>
      </c>
      <c r="F407" t="s">
        <v>74</v>
      </c>
      <c r="G407">
        <v>0</v>
      </c>
      <c r="H407">
        <v>227</v>
      </c>
      <c r="I407">
        <v>122</v>
      </c>
      <c r="J407">
        <v>38.590000000000003</v>
      </c>
      <c r="K407">
        <v>258.7</v>
      </c>
      <c r="L407">
        <v>111</v>
      </c>
      <c r="M407">
        <v>21.99</v>
      </c>
      <c r="N407">
        <v>169.7</v>
      </c>
      <c r="O407">
        <v>87</v>
      </c>
      <c r="P407">
        <v>7.64</v>
      </c>
      <c r="Q407">
        <v>8.9</v>
      </c>
      <c r="R407">
        <v>1</v>
      </c>
      <c r="S407">
        <v>2.4</v>
      </c>
      <c r="T407">
        <v>2</v>
      </c>
    </row>
    <row r="408" spans="1:20" x14ac:dyDescent="0.3">
      <c r="A408">
        <v>407</v>
      </c>
      <c r="B408" t="s">
        <v>64</v>
      </c>
      <c r="C408">
        <v>180</v>
      </c>
      <c r="D408" t="s">
        <v>71</v>
      </c>
      <c r="E408" t="s">
        <v>74</v>
      </c>
      <c r="F408" t="s">
        <v>74</v>
      </c>
      <c r="G408">
        <v>0</v>
      </c>
      <c r="H408">
        <v>224.9</v>
      </c>
      <c r="I408">
        <v>105</v>
      </c>
      <c r="J408">
        <v>38.229999999999997</v>
      </c>
      <c r="K408">
        <v>250</v>
      </c>
      <c r="L408">
        <v>101</v>
      </c>
      <c r="M408">
        <v>21.25</v>
      </c>
      <c r="N408">
        <v>216.1</v>
      </c>
      <c r="O408">
        <v>73</v>
      </c>
      <c r="P408">
        <v>9.7200000000000006</v>
      </c>
      <c r="Q408">
        <v>6.7</v>
      </c>
      <c r="R408">
        <v>5</v>
      </c>
      <c r="S408">
        <v>1.81</v>
      </c>
      <c r="T408">
        <v>3</v>
      </c>
    </row>
    <row r="409" spans="1:20" x14ac:dyDescent="0.3">
      <c r="A409">
        <v>408</v>
      </c>
      <c r="B409" t="s">
        <v>58</v>
      </c>
      <c r="C409">
        <v>64</v>
      </c>
      <c r="D409" t="s">
        <v>72</v>
      </c>
      <c r="E409" t="s">
        <v>74</v>
      </c>
      <c r="F409" t="s">
        <v>74</v>
      </c>
      <c r="G409">
        <v>0</v>
      </c>
      <c r="H409">
        <v>213.5</v>
      </c>
      <c r="I409">
        <v>93</v>
      </c>
      <c r="J409">
        <v>36.299999999999997</v>
      </c>
      <c r="K409">
        <v>166.6</v>
      </c>
      <c r="L409">
        <v>114</v>
      </c>
      <c r="M409">
        <v>14.16</v>
      </c>
      <c r="N409">
        <v>122</v>
      </c>
      <c r="O409">
        <v>78</v>
      </c>
      <c r="P409">
        <v>5.49</v>
      </c>
      <c r="Q409">
        <v>14.1</v>
      </c>
      <c r="R409">
        <v>3</v>
      </c>
      <c r="S409">
        <v>3.81</v>
      </c>
      <c r="T409">
        <v>3</v>
      </c>
    </row>
    <row r="410" spans="1:20" x14ac:dyDescent="0.3">
      <c r="A410">
        <v>409</v>
      </c>
      <c r="B410" t="s">
        <v>44</v>
      </c>
      <c r="C410">
        <v>160</v>
      </c>
      <c r="D410" t="s">
        <v>73</v>
      </c>
      <c r="E410" t="s">
        <v>74</v>
      </c>
      <c r="F410" t="s">
        <v>74</v>
      </c>
      <c r="G410">
        <v>0</v>
      </c>
      <c r="H410">
        <v>166.4</v>
      </c>
      <c r="I410">
        <v>117</v>
      </c>
      <c r="J410">
        <v>28.29</v>
      </c>
      <c r="K410">
        <v>317</v>
      </c>
      <c r="L410">
        <v>129</v>
      </c>
      <c r="M410">
        <v>26.95</v>
      </c>
      <c r="N410">
        <v>160.4</v>
      </c>
      <c r="O410">
        <v>121</v>
      </c>
      <c r="P410">
        <v>7.22</v>
      </c>
      <c r="Q410">
        <v>10</v>
      </c>
      <c r="R410">
        <v>2</v>
      </c>
      <c r="S410">
        <v>2.7</v>
      </c>
      <c r="T410">
        <v>1</v>
      </c>
    </row>
    <row r="411" spans="1:20" x14ac:dyDescent="0.3">
      <c r="A411">
        <v>410</v>
      </c>
      <c r="B411" t="s">
        <v>40</v>
      </c>
      <c r="C411">
        <v>74</v>
      </c>
      <c r="D411" t="s">
        <v>71</v>
      </c>
      <c r="E411" t="s">
        <v>74</v>
      </c>
      <c r="F411" t="s">
        <v>74</v>
      </c>
      <c r="G411">
        <v>0</v>
      </c>
      <c r="H411">
        <v>314.10000000000002</v>
      </c>
      <c r="I411">
        <v>86</v>
      </c>
      <c r="J411">
        <v>53.4</v>
      </c>
      <c r="K411">
        <v>222.4</v>
      </c>
      <c r="L411">
        <v>99</v>
      </c>
      <c r="M411">
        <v>18.899999999999999</v>
      </c>
      <c r="N411">
        <v>259</v>
      </c>
      <c r="O411">
        <v>121</v>
      </c>
      <c r="P411">
        <v>11.66</v>
      </c>
      <c r="Q411">
        <v>12.3</v>
      </c>
      <c r="R411">
        <v>5</v>
      </c>
      <c r="S411">
        <v>3.32</v>
      </c>
      <c r="T411">
        <v>3</v>
      </c>
    </row>
    <row r="412" spans="1:20" x14ac:dyDescent="0.3">
      <c r="A412">
        <v>411</v>
      </c>
      <c r="B412" t="s">
        <v>40</v>
      </c>
      <c r="C412">
        <v>134</v>
      </c>
      <c r="D412" t="s">
        <v>71</v>
      </c>
      <c r="E412" t="s">
        <v>74</v>
      </c>
      <c r="F412" t="s">
        <v>75</v>
      </c>
      <c r="G412">
        <v>41</v>
      </c>
      <c r="H412">
        <v>162</v>
      </c>
      <c r="I412">
        <v>82</v>
      </c>
      <c r="J412">
        <v>27.54</v>
      </c>
      <c r="K412">
        <v>324.7</v>
      </c>
      <c r="L412">
        <v>77</v>
      </c>
      <c r="M412">
        <v>27.6</v>
      </c>
      <c r="N412">
        <v>160.1</v>
      </c>
      <c r="O412">
        <v>112</v>
      </c>
      <c r="P412">
        <v>7.2</v>
      </c>
      <c r="Q412">
        <v>11.9</v>
      </c>
      <c r="R412">
        <v>5</v>
      </c>
      <c r="S412">
        <v>3.21</v>
      </c>
      <c r="T412">
        <v>0</v>
      </c>
    </row>
    <row r="413" spans="1:20" x14ac:dyDescent="0.3">
      <c r="A413">
        <v>412</v>
      </c>
      <c r="B413" t="s">
        <v>55</v>
      </c>
      <c r="C413">
        <v>46</v>
      </c>
      <c r="D413" t="s">
        <v>73</v>
      </c>
      <c r="E413" t="s">
        <v>74</v>
      </c>
      <c r="F413" t="s">
        <v>74</v>
      </c>
      <c r="G413">
        <v>0</v>
      </c>
      <c r="H413">
        <v>40.4</v>
      </c>
      <c r="I413">
        <v>105</v>
      </c>
      <c r="J413">
        <v>6.87</v>
      </c>
      <c r="K413">
        <v>172.4</v>
      </c>
      <c r="L413">
        <v>83</v>
      </c>
      <c r="M413">
        <v>14.65</v>
      </c>
      <c r="N413">
        <v>145.1</v>
      </c>
      <c r="O413">
        <v>89</v>
      </c>
      <c r="P413">
        <v>6.53</v>
      </c>
      <c r="Q413">
        <v>9</v>
      </c>
      <c r="R413">
        <v>2</v>
      </c>
      <c r="S413">
        <v>2.4300000000000002</v>
      </c>
      <c r="T413">
        <v>2</v>
      </c>
    </row>
    <row r="414" spans="1:20" x14ac:dyDescent="0.3">
      <c r="A414">
        <v>413</v>
      </c>
      <c r="B414" t="s">
        <v>40</v>
      </c>
      <c r="C414">
        <v>132</v>
      </c>
      <c r="D414" t="s">
        <v>73</v>
      </c>
      <c r="E414" t="s">
        <v>74</v>
      </c>
      <c r="F414" t="s">
        <v>74</v>
      </c>
      <c r="G414">
        <v>0</v>
      </c>
      <c r="H414">
        <v>291.2</v>
      </c>
      <c r="I414">
        <v>104</v>
      </c>
      <c r="J414">
        <v>49.5</v>
      </c>
      <c r="K414">
        <v>234.2</v>
      </c>
      <c r="L414">
        <v>132</v>
      </c>
      <c r="M414">
        <v>19.91</v>
      </c>
      <c r="N414">
        <v>191.7</v>
      </c>
      <c r="O414">
        <v>87</v>
      </c>
      <c r="P414">
        <v>8.6300000000000008</v>
      </c>
      <c r="Q414">
        <v>8.9</v>
      </c>
      <c r="R414">
        <v>3</v>
      </c>
      <c r="S414">
        <v>2.4</v>
      </c>
      <c r="T414">
        <v>1</v>
      </c>
    </row>
    <row r="415" spans="1:20" x14ac:dyDescent="0.3">
      <c r="A415">
        <v>414</v>
      </c>
      <c r="B415" t="s">
        <v>64</v>
      </c>
      <c r="C415">
        <v>50</v>
      </c>
      <c r="D415" t="s">
        <v>71</v>
      </c>
      <c r="E415" t="s">
        <v>74</v>
      </c>
      <c r="F415" t="s">
        <v>74</v>
      </c>
      <c r="G415">
        <v>0</v>
      </c>
      <c r="H415">
        <v>295.3</v>
      </c>
      <c r="I415">
        <v>127</v>
      </c>
      <c r="J415">
        <v>50.2</v>
      </c>
      <c r="K415">
        <v>127.4</v>
      </c>
      <c r="L415">
        <v>100</v>
      </c>
      <c r="M415">
        <v>10.83</v>
      </c>
      <c r="N415">
        <v>166.8</v>
      </c>
      <c r="O415">
        <v>105</v>
      </c>
      <c r="P415">
        <v>7.51</v>
      </c>
      <c r="Q415">
        <v>9.6</v>
      </c>
      <c r="R415">
        <v>6</v>
      </c>
      <c r="S415">
        <v>2.59</v>
      </c>
      <c r="T415">
        <v>1</v>
      </c>
    </row>
    <row r="416" spans="1:20" x14ac:dyDescent="0.3">
      <c r="A416">
        <v>415</v>
      </c>
      <c r="B416" t="s">
        <v>26</v>
      </c>
      <c r="C416">
        <v>98</v>
      </c>
      <c r="D416" t="s">
        <v>73</v>
      </c>
      <c r="E416" t="s">
        <v>74</v>
      </c>
      <c r="F416" t="s">
        <v>74</v>
      </c>
      <c r="G416">
        <v>0</v>
      </c>
      <c r="H416">
        <v>136.1</v>
      </c>
      <c r="I416">
        <v>82</v>
      </c>
      <c r="J416">
        <v>23.14</v>
      </c>
      <c r="K416">
        <v>156.30000000000001</v>
      </c>
      <c r="L416">
        <v>118</v>
      </c>
      <c r="M416">
        <v>13.29</v>
      </c>
      <c r="N416">
        <v>158.80000000000001</v>
      </c>
      <c r="O416">
        <v>83</v>
      </c>
      <c r="P416">
        <v>7.15</v>
      </c>
      <c r="Q416">
        <v>10.1</v>
      </c>
      <c r="R416">
        <v>5</v>
      </c>
      <c r="S416">
        <v>2.73</v>
      </c>
      <c r="T416">
        <v>2</v>
      </c>
    </row>
    <row r="417" spans="1:20" x14ac:dyDescent="0.3">
      <c r="A417">
        <v>416</v>
      </c>
      <c r="B417" t="s">
        <v>28</v>
      </c>
      <c r="C417">
        <v>156</v>
      </c>
      <c r="D417" t="s">
        <v>73</v>
      </c>
      <c r="E417" t="s">
        <v>74</v>
      </c>
      <c r="F417" t="s">
        <v>75</v>
      </c>
      <c r="G417">
        <v>27</v>
      </c>
      <c r="H417">
        <v>192.3</v>
      </c>
      <c r="I417">
        <v>137</v>
      </c>
      <c r="J417">
        <v>32.69</v>
      </c>
      <c r="K417">
        <v>199.9</v>
      </c>
      <c r="L417">
        <v>115</v>
      </c>
      <c r="M417">
        <v>16.989999999999998</v>
      </c>
      <c r="N417">
        <v>244.2</v>
      </c>
      <c r="O417">
        <v>112</v>
      </c>
      <c r="P417">
        <v>10.99</v>
      </c>
      <c r="Q417">
        <v>14.8</v>
      </c>
      <c r="R417">
        <v>8</v>
      </c>
      <c r="S417">
        <v>4</v>
      </c>
      <c r="T417">
        <v>1</v>
      </c>
    </row>
    <row r="418" spans="1:20" x14ac:dyDescent="0.3">
      <c r="A418">
        <v>417</v>
      </c>
      <c r="B418" t="s">
        <v>66</v>
      </c>
      <c r="C418">
        <v>130</v>
      </c>
      <c r="D418" t="s">
        <v>73</v>
      </c>
      <c r="E418" t="s">
        <v>75</v>
      </c>
      <c r="F418" t="s">
        <v>74</v>
      </c>
      <c r="G418">
        <v>0</v>
      </c>
      <c r="H418">
        <v>216.2</v>
      </c>
      <c r="I418">
        <v>106</v>
      </c>
      <c r="J418">
        <v>36.75</v>
      </c>
      <c r="K418">
        <v>363.7</v>
      </c>
      <c r="L418">
        <v>86</v>
      </c>
      <c r="M418">
        <v>30.91</v>
      </c>
      <c r="N418">
        <v>126.7</v>
      </c>
      <c r="O418">
        <v>123</v>
      </c>
      <c r="P418">
        <v>5.7</v>
      </c>
      <c r="Q418">
        <v>16.899999999999999</v>
      </c>
      <c r="R418">
        <v>2</v>
      </c>
      <c r="S418">
        <v>4.5599999999999996</v>
      </c>
      <c r="T418">
        <v>5</v>
      </c>
    </row>
    <row r="419" spans="1:20" x14ac:dyDescent="0.3">
      <c r="A419">
        <v>418</v>
      </c>
      <c r="B419" t="s">
        <v>34</v>
      </c>
      <c r="C419">
        <v>90</v>
      </c>
      <c r="D419" t="s">
        <v>71</v>
      </c>
      <c r="E419" t="s">
        <v>75</v>
      </c>
      <c r="F419" t="s">
        <v>75</v>
      </c>
      <c r="G419">
        <v>26</v>
      </c>
      <c r="H419">
        <v>169</v>
      </c>
      <c r="I419">
        <v>104</v>
      </c>
      <c r="J419">
        <v>28.73</v>
      </c>
      <c r="K419">
        <v>188.8</v>
      </c>
      <c r="L419">
        <v>104</v>
      </c>
      <c r="M419">
        <v>16.05</v>
      </c>
      <c r="N419">
        <v>213.3</v>
      </c>
      <c r="O419">
        <v>76</v>
      </c>
      <c r="P419">
        <v>9.6</v>
      </c>
      <c r="Q419">
        <v>13.3</v>
      </c>
      <c r="R419">
        <v>3</v>
      </c>
      <c r="S419">
        <v>3.59</v>
      </c>
      <c r="T419">
        <v>0</v>
      </c>
    </row>
    <row r="420" spans="1:20" x14ac:dyDescent="0.3">
      <c r="A420">
        <v>419</v>
      </c>
      <c r="B420" t="s">
        <v>30</v>
      </c>
      <c r="C420">
        <v>101</v>
      </c>
      <c r="D420" t="s">
        <v>72</v>
      </c>
      <c r="E420" t="s">
        <v>74</v>
      </c>
      <c r="F420" t="s">
        <v>75</v>
      </c>
      <c r="G420">
        <v>9</v>
      </c>
      <c r="H420">
        <v>160.1</v>
      </c>
      <c r="I420">
        <v>116</v>
      </c>
      <c r="J420">
        <v>27.22</v>
      </c>
      <c r="K420">
        <v>210</v>
      </c>
      <c r="L420">
        <v>121</v>
      </c>
      <c r="M420">
        <v>17.850000000000001</v>
      </c>
      <c r="N420">
        <v>139.1</v>
      </c>
      <c r="O420">
        <v>65</v>
      </c>
      <c r="P420">
        <v>6.26</v>
      </c>
      <c r="Q420">
        <v>10.8</v>
      </c>
      <c r="R420">
        <v>9</v>
      </c>
      <c r="S420">
        <v>2.92</v>
      </c>
      <c r="T420">
        <v>0</v>
      </c>
    </row>
    <row r="421" spans="1:20" x14ac:dyDescent="0.3">
      <c r="A421">
        <v>420</v>
      </c>
      <c r="B421" t="s">
        <v>21</v>
      </c>
      <c r="C421">
        <v>117</v>
      </c>
      <c r="D421" t="s">
        <v>72</v>
      </c>
      <c r="E421" t="s">
        <v>74</v>
      </c>
      <c r="F421" t="s">
        <v>74</v>
      </c>
      <c r="G421">
        <v>0</v>
      </c>
      <c r="H421">
        <v>158.69999999999999</v>
      </c>
      <c r="I421">
        <v>84</v>
      </c>
      <c r="J421">
        <v>26.98</v>
      </c>
      <c r="K421">
        <v>181.7</v>
      </c>
      <c r="L421">
        <v>91</v>
      </c>
      <c r="M421">
        <v>15.44</v>
      </c>
      <c r="N421">
        <v>177.3</v>
      </c>
      <c r="O421">
        <v>67</v>
      </c>
      <c r="P421">
        <v>7.98</v>
      </c>
      <c r="Q421">
        <v>7.7</v>
      </c>
      <c r="R421">
        <v>10</v>
      </c>
      <c r="S421">
        <v>2.08</v>
      </c>
      <c r="T421">
        <v>2</v>
      </c>
    </row>
    <row r="422" spans="1:20" x14ac:dyDescent="0.3">
      <c r="A422">
        <v>421</v>
      </c>
      <c r="B422" t="s">
        <v>21</v>
      </c>
      <c r="C422">
        <v>95</v>
      </c>
      <c r="D422" t="s">
        <v>71</v>
      </c>
      <c r="E422" t="s">
        <v>74</v>
      </c>
      <c r="F422" t="s">
        <v>74</v>
      </c>
      <c r="G422">
        <v>0</v>
      </c>
      <c r="H422">
        <v>229.9</v>
      </c>
      <c r="I422">
        <v>116</v>
      </c>
      <c r="J422">
        <v>39.08</v>
      </c>
      <c r="K422">
        <v>202.4</v>
      </c>
      <c r="L422">
        <v>110</v>
      </c>
      <c r="M422">
        <v>17.2</v>
      </c>
      <c r="N422">
        <v>171.4</v>
      </c>
      <c r="O422">
        <v>105</v>
      </c>
      <c r="P422">
        <v>7.71</v>
      </c>
      <c r="Q422">
        <v>14.2</v>
      </c>
      <c r="R422">
        <v>6</v>
      </c>
      <c r="S422">
        <v>3.83</v>
      </c>
      <c r="T422">
        <v>1</v>
      </c>
    </row>
    <row r="423" spans="1:20" x14ac:dyDescent="0.3">
      <c r="A423">
        <v>422</v>
      </c>
      <c r="B423" t="s">
        <v>43</v>
      </c>
      <c r="C423">
        <v>107</v>
      </c>
      <c r="D423" t="s">
        <v>71</v>
      </c>
      <c r="E423" t="s">
        <v>74</v>
      </c>
      <c r="F423" t="s">
        <v>74</v>
      </c>
      <c r="G423">
        <v>0</v>
      </c>
      <c r="H423">
        <v>206.9</v>
      </c>
      <c r="I423">
        <v>79</v>
      </c>
      <c r="J423">
        <v>35.17</v>
      </c>
      <c r="K423">
        <v>262.39999999999998</v>
      </c>
      <c r="L423">
        <v>117</v>
      </c>
      <c r="M423">
        <v>22.3</v>
      </c>
      <c r="N423">
        <v>149.30000000000001</v>
      </c>
      <c r="O423">
        <v>69</v>
      </c>
      <c r="P423">
        <v>6.72</v>
      </c>
      <c r="Q423">
        <v>10.7</v>
      </c>
      <c r="R423">
        <v>3</v>
      </c>
      <c r="S423">
        <v>2.89</v>
      </c>
      <c r="T423">
        <v>0</v>
      </c>
    </row>
    <row r="424" spans="1:20" x14ac:dyDescent="0.3">
      <c r="A424">
        <v>423</v>
      </c>
      <c r="B424" t="s">
        <v>69</v>
      </c>
      <c r="C424">
        <v>88</v>
      </c>
      <c r="D424" t="s">
        <v>71</v>
      </c>
      <c r="E424" t="s">
        <v>74</v>
      </c>
      <c r="F424" t="s">
        <v>74</v>
      </c>
      <c r="G424">
        <v>0</v>
      </c>
      <c r="H424">
        <v>181.5</v>
      </c>
      <c r="I424">
        <v>116</v>
      </c>
      <c r="J424">
        <v>30.86</v>
      </c>
      <c r="K424">
        <v>187</v>
      </c>
      <c r="L424">
        <v>119</v>
      </c>
      <c r="M424">
        <v>15.9</v>
      </c>
      <c r="N424">
        <v>220.3</v>
      </c>
      <c r="O424">
        <v>96</v>
      </c>
      <c r="P424">
        <v>9.91</v>
      </c>
      <c r="Q424">
        <v>10.5</v>
      </c>
      <c r="R424">
        <v>7</v>
      </c>
      <c r="S424">
        <v>2.84</v>
      </c>
      <c r="T424">
        <v>1</v>
      </c>
    </row>
    <row r="425" spans="1:20" x14ac:dyDescent="0.3">
      <c r="A425">
        <v>424</v>
      </c>
      <c r="B425" t="s">
        <v>53</v>
      </c>
      <c r="C425">
        <v>120</v>
      </c>
      <c r="D425" t="s">
        <v>71</v>
      </c>
      <c r="E425" t="s">
        <v>74</v>
      </c>
      <c r="F425" t="s">
        <v>74</v>
      </c>
      <c r="G425">
        <v>0</v>
      </c>
      <c r="H425">
        <v>131.69999999999999</v>
      </c>
      <c r="I425">
        <v>99</v>
      </c>
      <c r="J425">
        <v>22.39</v>
      </c>
      <c r="K425">
        <v>163.1</v>
      </c>
      <c r="L425">
        <v>109</v>
      </c>
      <c r="M425">
        <v>13.86</v>
      </c>
      <c r="N425">
        <v>201.1</v>
      </c>
      <c r="O425">
        <v>116</v>
      </c>
      <c r="P425">
        <v>9.0500000000000007</v>
      </c>
      <c r="Q425">
        <v>10.7</v>
      </c>
      <c r="R425">
        <v>3</v>
      </c>
      <c r="S425">
        <v>2.89</v>
      </c>
      <c r="T425">
        <v>1</v>
      </c>
    </row>
    <row r="426" spans="1:20" x14ac:dyDescent="0.3">
      <c r="A426">
        <v>425</v>
      </c>
      <c r="B426" t="s">
        <v>70</v>
      </c>
      <c r="C426">
        <v>106</v>
      </c>
      <c r="D426" t="s">
        <v>72</v>
      </c>
      <c r="E426" t="s">
        <v>74</v>
      </c>
      <c r="F426" t="s">
        <v>75</v>
      </c>
      <c r="G426">
        <v>9</v>
      </c>
      <c r="H426">
        <v>88.5</v>
      </c>
      <c r="I426">
        <v>100</v>
      </c>
      <c r="J426">
        <v>15.05</v>
      </c>
      <c r="K426">
        <v>324.8</v>
      </c>
      <c r="L426">
        <v>109</v>
      </c>
      <c r="M426">
        <v>27.61</v>
      </c>
      <c r="N426">
        <v>79.900000000000006</v>
      </c>
      <c r="O426">
        <v>86</v>
      </c>
      <c r="P426">
        <v>3.6</v>
      </c>
      <c r="Q426">
        <v>8.1999999999999993</v>
      </c>
      <c r="R426">
        <v>4</v>
      </c>
      <c r="S426">
        <v>2.21</v>
      </c>
      <c r="T426">
        <v>3</v>
      </c>
    </row>
    <row r="427" spans="1:20" x14ac:dyDescent="0.3">
      <c r="A427">
        <v>426</v>
      </c>
      <c r="B427" t="s">
        <v>46</v>
      </c>
      <c r="C427">
        <v>84</v>
      </c>
      <c r="D427" t="s">
        <v>73</v>
      </c>
      <c r="E427" t="s">
        <v>74</v>
      </c>
      <c r="F427" t="s">
        <v>75</v>
      </c>
      <c r="G427">
        <v>30</v>
      </c>
      <c r="H427">
        <v>106.5</v>
      </c>
      <c r="I427">
        <v>65</v>
      </c>
      <c r="J427">
        <v>18.11</v>
      </c>
      <c r="K427">
        <v>225.7</v>
      </c>
      <c r="L427">
        <v>108</v>
      </c>
      <c r="M427">
        <v>19.18</v>
      </c>
      <c r="N427">
        <v>188.6</v>
      </c>
      <c r="O427">
        <v>61</v>
      </c>
      <c r="P427">
        <v>8.49</v>
      </c>
      <c r="Q427">
        <v>5.7</v>
      </c>
      <c r="R427">
        <v>3</v>
      </c>
      <c r="S427">
        <v>1.54</v>
      </c>
      <c r="T427">
        <v>2</v>
      </c>
    </row>
    <row r="428" spans="1:20" x14ac:dyDescent="0.3">
      <c r="A428">
        <v>427</v>
      </c>
      <c r="B428" t="s">
        <v>59</v>
      </c>
      <c r="C428">
        <v>62</v>
      </c>
      <c r="D428" t="s">
        <v>71</v>
      </c>
      <c r="E428" t="s">
        <v>75</v>
      </c>
      <c r="F428" t="s">
        <v>75</v>
      </c>
      <c r="G428">
        <v>32</v>
      </c>
      <c r="H428">
        <v>218.4</v>
      </c>
      <c r="I428">
        <v>93</v>
      </c>
      <c r="J428">
        <v>37.130000000000003</v>
      </c>
      <c r="K428">
        <v>236.7</v>
      </c>
      <c r="L428">
        <v>132</v>
      </c>
      <c r="M428">
        <v>20.12</v>
      </c>
      <c r="N428">
        <v>192.2</v>
      </c>
      <c r="O428">
        <v>137</v>
      </c>
      <c r="P428">
        <v>8.65</v>
      </c>
      <c r="Q428">
        <v>13.2</v>
      </c>
      <c r="R428">
        <v>3</v>
      </c>
      <c r="S428">
        <v>3.56</v>
      </c>
      <c r="T428">
        <v>0</v>
      </c>
    </row>
    <row r="429" spans="1:20" x14ac:dyDescent="0.3">
      <c r="A429">
        <v>428</v>
      </c>
      <c r="B429" t="s">
        <v>31</v>
      </c>
      <c r="C429">
        <v>20</v>
      </c>
      <c r="D429" t="s">
        <v>73</v>
      </c>
      <c r="E429" t="s">
        <v>74</v>
      </c>
      <c r="F429" t="s">
        <v>74</v>
      </c>
      <c r="G429">
        <v>0</v>
      </c>
      <c r="H429">
        <v>186.8</v>
      </c>
      <c r="I429">
        <v>89</v>
      </c>
      <c r="J429">
        <v>31.76</v>
      </c>
      <c r="K429">
        <v>253.4</v>
      </c>
      <c r="L429">
        <v>51</v>
      </c>
      <c r="M429">
        <v>21.54</v>
      </c>
      <c r="N429">
        <v>273.10000000000002</v>
      </c>
      <c r="O429">
        <v>105</v>
      </c>
      <c r="P429">
        <v>12.29</v>
      </c>
      <c r="Q429">
        <v>12.3</v>
      </c>
      <c r="R429">
        <v>6</v>
      </c>
      <c r="S429">
        <v>3.32</v>
      </c>
      <c r="T429">
        <v>2</v>
      </c>
    </row>
    <row r="430" spans="1:20" x14ac:dyDescent="0.3">
      <c r="A430">
        <v>429</v>
      </c>
      <c r="B430" t="s">
        <v>60</v>
      </c>
      <c r="C430">
        <v>112</v>
      </c>
      <c r="D430" t="s">
        <v>71</v>
      </c>
      <c r="E430" t="s">
        <v>74</v>
      </c>
      <c r="F430" t="s">
        <v>74</v>
      </c>
      <c r="G430">
        <v>0</v>
      </c>
      <c r="H430">
        <v>208.7</v>
      </c>
      <c r="I430">
        <v>150</v>
      </c>
      <c r="J430">
        <v>35.479999999999997</v>
      </c>
      <c r="K430">
        <v>212.8</v>
      </c>
      <c r="L430">
        <v>104</v>
      </c>
      <c r="M430">
        <v>18.09</v>
      </c>
      <c r="N430">
        <v>178.1</v>
      </c>
      <c r="O430">
        <v>98</v>
      </c>
      <c r="P430">
        <v>8.01</v>
      </c>
      <c r="Q430">
        <v>8.5</v>
      </c>
      <c r="R430">
        <v>4</v>
      </c>
      <c r="S430">
        <v>2.2999999999999998</v>
      </c>
      <c r="T430">
        <v>0</v>
      </c>
    </row>
    <row r="431" spans="1:20" x14ac:dyDescent="0.3">
      <c r="A431">
        <v>430</v>
      </c>
      <c r="B431" t="s">
        <v>50</v>
      </c>
      <c r="C431">
        <v>107</v>
      </c>
      <c r="D431" t="s">
        <v>72</v>
      </c>
      <c r="E431" t="s">
        <v>74</v>
      </c>
      <c r="F431" t="s">
        <v>75</v>
      </c>
      <c r="G431">
        <v>27</v>
      </c>
      <c r="H431">
        <v>283.39999999999998</v>
      </c>
      <c r="I431">
        <v>104</v>
      </c>
      <c r="J431">
        <v>48.18</v>
      </c>
      <c r="K431">
        <v>224.1</v>
      </c>
      <c r="L431">
        <v>152</v>
      </c>
      <c r="M431">
        <v>19.05</v>
      </c>
      <c r="N431">
        <v>241.3</v>
      </c>
      <c r="O431">
        <v>63</v>
      </c>
      <c r="P431">
        <v>10.86</v>
      </c>
      <c r="Q431">
        <v>14.4</v>
      </c>
      <c r="R431">
        <v>7</v>
      </c>
      <c r="S431">
        <v>3.89</v>
      </c>
      <c r="T431">
        <v>2</v>
      </c>
    </row>
    <row r="432" spans="1:20" x14ac:dyDescent="0.3">
      <c r="A432">
        <v>431</v>
      </c>
      <c r="B432" t="s">
        <v>57</v>
      </c>
      <c r="C432">
        <v>137</v>
      </c>
      <c r="D432" t="s">
        <v>73</v>
      </c>
      <c r="E432" t="s">
        <v>75</v>
      </c>
      <c r="F432" t="s">
        <v>74</v>
      </c>
      <c r="G432">
        <v>0</v>
      </c>
      <c r="H432">
        <v>258</v>
      </c>
      <c r="I432">
        <v>112</v>
      </c>
      <c r="J432">
        <v>43.86</v>
      </c>
      <c r="K432">
        <v>246.5</v>
      </c>
      <c r="L432">
        <v>117</v>
      </c>
      <c r="M432">
        <v>20.95</v>
      </c>
      <c r="N432">
        <v>173.2</v>
      </c>
      <c r="O432">
        <v>100</v>
      </c>
      <c r="P432">
        <v>7.79</v>
      </c>
      <c r="Q432">
        <v>10.9</v>
      </c>
      <c r="R432">
        <v>3</v>
      </c>
      <c r="S432">
        <v>2.94</v>
      </c>
      <c r="T432">
        <v>0</v>
      </c>
    </row>
    <row r="433" spans="1:20" x14ac:dyDescent="0.3">
      <c r="A433">
        <v>432</v>
      </c>
      <c r="B433" t="s">
        <v>46</v>
      </c>
      <c r="C433">
        <v>90</v>
      </c>
      <c r="D433" t="s">
        <v>71</v>
      </c>
      <c r="E433" t="s">
        <v>74</v>
      </c>
      <c r="F433" t="s">
        <v>75</v>
      </c>
      <c r="G433">
        <v>42</v>
      </c>
      <c r="H433">
        <v>193.3</v>
      </c>
      <c r="I433">
        <v>66</v>
      </c>
      <c r="J433">
        <v>32.86</v>
      </c>
      <c r="K433">
        <v>263.3</v>
      </c>
      <c r="L433">
        <v>85</v>
      </c>
      <c r="M433">
        <v>22.38</v>
      </c>
      <c r="N433">
        <v>214.4</v>
      </c>
      <c r="O433">
        <v>97</v>
      </c>
      <c r="P433">
        <v>9.65</v>
      </c>
      <c r="Q433">
        <v>11.1</v>
      </c>
      <c r="R433">
        <v>4</v>
      </c>
      <c r="S433">
        <v>3</v>
      </c>
      <c r="T433">
        <v>0</v>
      </c>
    </row>
    <row r="434" spans="1:20" x14ac:dyDescent="0.3">
      <c r="A434">
        <v>433</v>
      </c>
      <c r="B434" t="s">
        <v>51</v>
      </c>
      <c r="C434">
        <v>189</v>
      </c>
      <c r="D434" t="s">
        <v>72</v>
      </c>
      <c r="E434" t="s">
        <v>74</v>
      </c>
      <c r="F434" t="s">
        <v>74</v>
      </c>
      <c r="G434">
        <v>0</v>
      </c>
      <c r="H434">
        <v>219.9</v>
      </c>
      <c r="I434">
        <v>80</v>
      </c>
      <c r="J434">
        <v>37.380000000000003</v>
      </c>
      <c r="K434">
        <v>143.30000000000001</v>
      </c>
      <c r="L434">
        <v>117</v>
      </c>
      <c r="M434">
        <v>12.18</v>
      </c>
      <c r="N434">
        <v>130.6</v>
      </c>
      <c r="O434">
        <v>69</v>
      </c>
      <c r="P434">
        <v>5.88</v>
      </c>
      <c r="Q434">
        <v>11.7</v>
      </c>
      <c r="R434">
        <v>7</v>
      </c>
      <c r="S434">
        <v>3.16</v>
      </c>
      <c r="T434">
        <v>1</v>
      </c>
    </row>
    <row r="435" spans="1:20" x14ac:dyDescent="0.3">
      <c r="A435">
        <v>434</v>
      </c>
      <c r="B435" t="s">
        <v>21</v>
      </c>
      <c r="C435">
        <v>19</v>
      </c>
      <c r="D435" t="s">
        <v>71</v>
      </c>
      <c r="E435" t="s">
        <v>75</v>
      </c>
      <c r="F435" t="s">
        <v>74</v>
      </c>
      <c r="G435">
        <v>0</v>
      </c>
      <c r="H435">
        <v>237.7</v>
      </c>
      <c r="I435">
        <v>98</v>
      </c>
      <c r="J435">
        <v>40.409999999999997</v>
      </c>
      <c r="K435">
        <v>207.1</v>
      </c>
      <c r="L435">
        <v>121</v>
      </c>
      <c r="M435">
        <v>17.600000000000001</v>
      </c>
      <c r="N435">
        <v>182.2</v>
      </c>
      <c r="O435">
        <v>95</v>
      </c>
      <c r="P435">
        <v>8.1999999999999993</v>
      </c>
      <c r="Q435">
        <v>4.5</v>
      </c>
      <c r="R435">
        <v>4</v>
      </c>
      <c r="S435">
        <v>1.22</v>
      </c>
      <c r="T435">
        <v>0</v>
      </c>
    </row>
    <row r="436" spans="1:20" x14ac:dyDescent="0.3">
      <c r="A436">
        <v>435</v>
      </c>
      <c r="B436" t="s">
        <v>51</v>
      </c>
      <c r="C436">
        <v>156</v>
      </c>
      <c r="D436" t="s">
        <v>72</v>
      </c>
      <c r="E436" t="s">
        <v>74</v>
      </c>
      <c r="F436" t="s">
        <v>74</v>
      </c>
      <c r="G436">
        <v>0</v>
      </c>
      <c r="H436">
        <v>237.7</v>
      </c>
      <c r="I436">
        <v>122</v>
      </c>
      <c r="J436">
        <v>40.409999999999997</v>
      </c>
      <c r="K436">
        <v>181.5</v>
      </c>
      <c r="L436">
        <v>91</v>
      </c>
      <c r="M436">
        <v>15.43</v>
      </c>
      <c r="N436">
        <v>185.7</v>
      </c>
      <c r="O436">
        <v>151</v>
      </c>
      <c r="P436">
        <v>8.36</v>
      </c>
      <c r="Q436">
        <v>7.7</v>
      </c>
      <c r="R436">
        <v>4</v>
      </c>
      <c r="S436">
        <v>2.08</v>
      </c>
      <c r="T436">
        <v>1</v>
      </c>
    </row>
    <row r="437" spans="1:20" x14ac:dyDescent="0.3">
      <c r="A437">
        <v>436</v>
      </c>
      <c r="B437" t="s">
        <v>46</v>
      </c>
      <c r="C437">
        <v>101</v>
      </c>
      <c r="D437" t="s">
        <v>72</v>
      </c>
      <c r="E437" t="s">
        <v>74</v>
      </c>
      <c r="F437" t="s">
        <v>74</v>
      </c>
      <c r="G437">
        <v>0</v>
      </c>
      <c r="H437">
        <v>220.3</v>
      </c>
      <c r="I437">
        <v>124</v>
      </c>
      <c r="J437">
        <v>37.450000000000003</v>
      </c>
      <c r="K437">
        <v>188.6</v>
      </c>
      <c r="L437">
        <v>101</v>
      </c>
      <c r="M437">
        <v>16.03</v>
      </c>
      <c r="N437">
        <v>278.39999999999998</v>
      </c>
      <c r="O437">
        <v>98</v>
      </c>
      <c r="P437">
        <v>12.53</v>
      </c>
      <c r="Q437">
        <v>10.6</v>
      </c>
      <c r="R437">
        <v>4</v>
      </c>
      <c r="S437">
        <v>2.86</v>
      </c>
      <c r="T437">
        <v>1</v>
      </c>
    </row>
    <row r="438" spans="1:20" x14ac:dyDescent="0.3">
      <c r="A438">
        <v>437</v>
      </c>
      <c r="B438" t="s">
        <v>22</v>
      </c>
      <c r="C438">
        <v>123</v>
      </c>
      <c r="D438" t="s">
        <v>71</v>
      </c>
      <c r="E438" t="s">
        <v>74</v>
      </c>
      <c r="F438" t="s">
        <v>74</v>
      </c>
      <c r="G438">
        <v>0</v>
      </c>
      <c r="H438">
        <v>204.4</v>
      </c>
      <c r="I438">
        <v>88</v>
      </c>
      <c r="J438">
        <v>34.75</v>
      </c>
      <c r="K438">
        <v>137.5</v>
      </c>
      <c r="L438">
        <v>111</v>
      </c>
      <c r="M438">
        <v>11.69</v>
      </c>
      <c r="N438">
        <v>226</v>
      </c>
      <c r="O438">
        <v>100</v>
      </c>
      <c r="P438">
        <v>10.17</v>
      </c>
      <c r="Q438">
        <v>10</v>
      </c>
      <c r="R438">
        <v>4</v>
      </c>
      <c r="S438">
        <v>2.7</v>
      </c>
      <c r="T438">
        <v>0</v>
      </c>
    </row>
    <row r="439" spans="1:20" x14ac:dyDescent="0.3">
      <c r="A439">
        <v>438</v>
      </c>
      <c r="B439" t="s">
        <v>46</v>
      </c>
      <c r="C439">
        <v>97</v>
      </c>
      <c r="D439" t="s">
        <v>73</v>
      </c>
      <c r="E439" t="s">
        <v>74</v>
      </c>
      <c r="F439" t="s">
        <v>75</v>
      </c>
      <c r="G439">
        <v>32</v>
      </c>
      <c r="H439">
        <v>90</v>
      </c>
      <c r="I439">
        <v>87</v>
      </c>
      <c r="J439">
        <v>15.3</v>
      </c>
      <c r="K439">
        <v>276.3</v>
      </c>
      <c r="L439">
        <v>113</v>
      </c>
      <c r="M439">
        <v>23.49</v>
      </c>
      <c r="N439">
        <v>185.2</v>
      </c>
      <c r="O439">
        <v>107</v>
      </c>
      <c r="P439">
        <v>8.33</v>
      </c>
      <c r="Q439">
        <v>8.6</v>
      </c>
      <c r="R439">
        <v>6</v>
      </c>
      <c r="S439">
        <v>2.3199999999999998</v>
      </c>
      <c r="T439">
        <v>2</v>
      </c>
    </row>
    <row r="440" spans="1:20" x14ac:dyDescent="0.3">
      <c r="A440">
        <v>439</v>
      </c>
      <c r="B440" t="s">
        <v>51</v>
      </c>
      <c r="C440">
        <v>115</v>
      </c>
      <c r="D440" t="s">
        <v>73</v>
      </c>
      <c r="E440" t="s">
        <v>74</v>
      </c>
      <c r="F440" t="s">
        <v>74</v>
      </c>
      <c r="G440">
        <v>0</v>
      </c>
      <c r="H440">
        <v>146.69999999999999</v>
      </c>
      <c r="I440">
        <v>128</v>
      </c>
      <c r="J440">
        <v>24.94</v>
      </c>
      <c r="K440">
        <v>106.2</v>
      </c>
      <c r="L440">
        <v>74</v>
      </c>
      <c r="M440">
        <v>9.0299999999999994</v>
      </c>
      <c r="N440">
        <v>197.7</v>
      </c>
      <c r="O440">
        <v>104</v>
      </c>
      <c r="P440">
        <v>8.9</v>
      </c>
      <c r="Q440">
        <v>11.1</v>
      </c>
      <c r="R440">
        <v>4</v>
      </c>
      <c r="S440">
        <v>3</v>
      </c>
      <c r="T440">
        <v>2</v>
      </c>
    </row>
    <row r="441" spans="1:20" x14ac:dyDescent="0.3">
      <c r="A441">
        <v>440</v>
      </c>
      <c r="B441" t="s">
        <v>31</v>
      </c>
      <c r="C441">
        <v>95</v>
      </c>
      <c r="D441" t="s">
        <v>73</v>
      </c>
      <c r="E441" t="s">
        <v>74</v>
      </c>
      <c r="F441" t="s">
        <v>74</v>
      </c>
      <c r="G441">
        <v>0</v>
      </c>
      <c r="H441">
        <v>237.3</v>
      </c>
      <c r="I441">
        <v>83</v>
      </c>
      <c r="J441">
        <v>40.340000000000003</v>
      </c>
      <c r="K441">
        <v>154</v>
      </c>
      <c r="L441">
        <v>65</v>
      </c>
      <c r="M441">
        <v>13.09</v>
      </c>
      <c r="N441">
        <v>237</v>
      </c>
      <c r="O441">
        <v>105</v>
      </c>
      <c r="P441">
        <v>10.67</v>
      </c>
      <c r="Q441">
        <v>11.2</v>
      </c>
      <c r="R441">
        <v>6</v>
      </c>
      <c r="S441">
        <v>3.02</v>
      </c>
      <c r="T441">
        <v>1</v>
      </c>
    </row>
    <row r="442" spans="1:20" x14ac:dyDescent="0.3">
      <c r="A442">
        <v>441</v>
      </c>
      <c r="B442" t="s">
        <v>46</v>
      </c>
      <c r="C442">
        <v>105</v>
      </c>
      <c r="D442" t="s">
        <v>71</v>
      </c>
      <c r="E442" t="s">
        <v>74</v>
      </c>
      <c r="F442" t="s">
        <v>75</v>
      </c>
      <c r="G442">
        <v>20</v>
      </c>
      <c r="H442">
        <v>186.9</v>
      </c>
      <c r="I442">
        <v>114</v>
      </c>
      <c r="J442">
        <v>31.77</v>
      </c>
      <c r="K442">
        <v>256.3</v>
      </c>
      <c r="L442">
        <v>91</v>
      </c>
      <c r="M442">
        <v>21.79</v>
      </c>
      <c r="N442">
        <v>334.7</v>
      </c>
      <c r="O442">
        <v>104</v>
      </c>
      <c r="P442">
        <v>15.06</v>
      </c>
      <c r="Q442">
        <v>8.9</v>
      </c>
      <c r="R442">
        <v>2</v>
      </c>
      <c r="S442">
        <v>2.4</v>
      </c>
      <c r="T442">
        <v>1</v>
      </c>
    </row>
    <row r="443" spans="1:20" x14ac:dyDescent="0.3">
      <c r="A443">
        <v>442</v>
      </c>
      <c r="B443" t="s">
        <v>43</v>
      </c>
      <c r="C443">
        <v>1</v>
      </c>
      <c r="D443" t="s">
        <v>71</v>
      </c>
      <c r="E443" t="s">
        <v>74</v>
      </c>
      <c r="F443" t="s">
        <v>75</v>
      </c>
      <c r="G443">
        <v>26</v>
      </c>
      <c r="H443">
        <v>146.6</v>
      </c>
      <c r="I443">
        <v>68</v>
      </c>
      <c r="J443">
        <v>24.92</v>
      </c>
      <c r="K443">
        <v>172.8</v>
      </c>
      <c r="L443">
        <v>67</v>
      </c>
      <c r="M443">
        <v>14.69</v>
      </c>
      <c r="N443">
        <v>173.8</v>
      </c>
      <c r="O443">
        <v>113</v>
      </c>
      <c r="P443">
        <v>7.82</v>
      </c>
      <c r="Q443">
        <v>10</v>
      </c>
      <c r="R443">
        <v>2</v>
      </c>
      <c r="S443">
        <v>2.7</v>
      </c>
      <c r="T443">
        <v>1</v>
      </c>
    </row>
    <row r="444" spans="1:20" x14ac:dyDescent="0.3">
      <c r="A444">
        <v>443</v>
      </c>
      <c r="B444" t="s">
        <v>38</v>
      </c>
      <c r="C444">
        <v>91</v>
      </c>
      <c r="D444" t="s">
        <v>71</v>
      </c>
      <c r="E444" t="s">
        <v>74</v>
      </c>
      <c r="F444" t="s">
        <v>75</v>
      </c>
      <c r="G444">
        <v>20</v>
      </c>
      <c r="H444">
        <v>146.1</v>
      </c>
      <c r="I444">
        <v>98</v>
      </c>
      <c r="J444">
        <v>24.84</v>
      </c>
      <c r="K444">
        <v>277.39999999999998</v>
      </c>
      <c r="L444">
        <v>104</v>
      </c>
      <c r="M444">
        <v>23.58</v>
      </c>
      <c r="N444">
        <v>137.69999999999999</v>
      </c>
      <c r="O444">
        <v>100</v>
      </c>
      <c r="P444">
        <v>6.2</v>
      </c>
      <c r="Q444">
        <v>6.2</v>
      </c>
      <c r="R444">
        <v>3</v>
      </c>
      <c r="S444">
        <v>1.67</v>
      </c>
      <c r="T444">
        <v>1</v>
      </c>
    </row>
    <row r="445" spans="1:20" x14ac:dyDescent="0.3">
      <c r="A445">
        <v>444</v>
      </c>
      <c r="B445" t="s">
        <v>47</v>
      </c>
      <c r="C445">
        <v>85</v>
      </c>
      <c r="D445" t="s">
        <v>73</v>
      </c>
      <c r="E445" t="s">
        <v>74</v>
      </c>
      <c r="F445" t="s">
        <v>74</v>
      </c>
      <c r="G445">
        <v>0</v>
      </c>
      <c r="H445">
        <v>144.4</v>
      </c>
      <c r="I445">
        <v>88</v>
      </c>
      <c r="J445">
        <v>24.55</v>
      </c>
      <c r="K445">
        <v>264.60000000000002</v>
      </c>
      <c r="L445">
        <v>105</v>
      </c>
      <c r="M445">
        <v>22.49</v>
      </c>
      <c r="N445">
        <v>185.4</v>
      </c>
      <c r="O445">
        <v>94</v>
      </c>
      <c r="P445">
        <v>8.34</v>
      </c>
      <c r="Q445">
        <v>9.9</v>
      </c>
      <c r="R445">
        <v>3</v>
      </c>
      <c r="S445">
        <v>2.67</v>
      </c>
      <c r="T445">
        <v>1</v>
      </c>
    </row>
    <row r="446" spans="1:20" x14ac:dyDescent="0.3">
      <c r="A446">
        <v>445</v>
      </c>
      <c r="B446" t="s">
        <v>57</v>
      </c>
      <c r="C446">
        <v>85</v>
      </c>
      <c r="D446" t="s">
        <v>73</v>
      </c>
      <c r="E446" t="s">
        <v>74</v>
      </c>
      <c r="F446" t="s">
        <v>75</v>
      </c>
      <c r="G446">
        <v>17</v>
      </c>
      <c r="H446">
        <v>89.8</v>
      </c>
      <c r="I446">
        <v>88</v>
      </c>
      <c r="J446">
        <v>15.27</v>
      </c>
      <c r="K446">
        <v>233.2</v>
      </c>
      <c r="L446">
        <v>75</v>
      </c>
      <c r="M446">
        <v>19.82</v>
      </c>
      <c r="N446">
        <v>165.7</v>
      </c>
      <c r="O446">
        <v>116</v>
      </c>
      <c r="P446">
        <v>7.46</v>
      </c>
      <c r="Q446">
        <v>9.3000000000000007</v>
      </c>
      <c r="R446">
        <v>7</v>
      </c>
      <c r="S446">
        <v>2.5099999999999998</v>
      </c>
      <c r="T446">
        <v>4</v>
      </c>
    </row>
    <row r="447" spans="1:20" x14ac:dyDescent="0.3">
      <c r="A447">
        <v>446</v>
      </c>
      <c r="B447" t="s">
        <v>43</v>
      </c>
      <c r="C447">
        <v>99</v>
      </c>
      <c r="D447" t="s">
        <v>71</v>
      </c>
      <c r="E447" t="s">
        <v>74</v>
      </c>
      <c r="F447" t="s">
        <v>74</v>
      </c>
      <c r="G447">
        <v>0</v>
      </c>
      <c r="H447">
        <v>174.1</v>
      </c>
      <c r="I447">
        <v>102</v>
      </c>
      <c r="J447">
        <v>29.6</v>
      </c>
      <c r="K447">
        <v>99.1</v>
      </c>
      <c r="L447">
        <v>118</v>
      </c>
      <c r="M447">
        <v>8.42</v>
      </c>
      <c r="N447">
        <v>211.6</v>
      </c>
      <c r="O447">
        <v>126</v>
      </c>
      <c r="P447">
        <v>9.52</v>
      </c>
      <c r="Q447">
        <v>7.7</v>
      </c>
      <c r="R447">
        <v>2</v>
      </c>
      <c r="S447">
        <v>2.08</v>
      </c>
      <c r="T447">
        <v>2</v>
      </c>
    </row>
    <row r="448" spans="1:20" x14ac:dyDescent="0.3">
      <c r="A448">
        <v>447</v>
      </c>
      <c r="B448" t="s">
        <v>65</v>
      </c>
      <c r="C448">
        <v>123</v>
      </c>
      <c r="D448" t="s">
        <v>71</v>
      </c>
      <c r="E448" t="s">
        <v>74</v>
      </c>
      <c r="F448" t="s">
        <v>74</v>
      </c>
      <c r="G448">
        <v>0</v>
      </c>
      <c r="H448">
        <v>175.7</v>
      </c>
      <c r="I448">
        <v>78</v>
      </c>
      <c r="J448">
        <v>29.87</v>
      </c>
      <c r="K448">
        <v>184.6</v>
      </c>
      <c r="L448">
        <v>96</v>
      </c>
      <c r="M448">
        <v>15.69</v>
      </c>
      <c r="N448">
        <v>156.9</v>
      </c>
      <c r="O448">
        <v>92</v>
      </c>
      <c r="P448">
        <v>7.06</v>
      </c>
      <c r="Q448">
        <v>9.1</v>
      </c>
      <c r="R448">
        <v>2</v>
      </c>
      <c r="S448">
        <v>2.46</v>
      </c>
      <c r="T448">
        <v>2</v>
      </c>
    </row>
    <row r="449" spans="1:20" x14ac:dyDescent="0.3">
      <c r="A449">
        <v>448</v>
      </c>
      <c r="B449" t="s">
        <v>44</v>
      </c>
      <c r="C449">
        <v>104</v>
      </c>
      <c r="D449" t="s">
        <v>71</v>
      </c>
      <c r="E449" t="s">
        <v>74</v>
      </c>
      <c r="F449" t="s">
        <v>74</v>
      </c>
      <c r="G449">
        <v>0</v>
      </c>
      <c r="H449">
        <v>113.6</v>
      </c>
      <c r="I449">
        <v>87</v>
      </c>
      <c r="J449">
        <v>19.309999999999999</v>
      </c>
      <c r="K449">
        <v>158.6</v>
      </c>
      <c r="L449">
        <v>98</v>
      </c>
      <c r="M449">
        <v>13.48</v>
      </c>
      <c r="N449">
        <v>187.7</v>
      </c>
      <c r="O449">
        <v>87</v>
      </c>
      <c r="P449">
        <v>8.4499999999999993</v>
      </c>
      <c r="Q449">
        <v>10.5</v>
      </c>
      <c r="R449">
        <v>6</v>
      </c>
      <c r="S449">
        <v>2.84</v>
      </c>
      <c r="T449">
        <v>2</v>
      </c>
    </row>
    <row r="450" spans="1:20" x14ac:dyDescent="0.3">
      <c r="A450">
        <v>449</v>
      </c>
      <c r="B450" t="s">
        <v>38</v>
      </c>
      <c r="C450">
        <v>168</v>
      </c>
      <c r="D450" t="s">
        <v>73</v>
      </c>
      <c r="E450" t="s">
        <v>74</v>
      </c>
      <c r="F450" t="s">
        <v>74</v>
      </c>
      <c r="G450">
        <v>0</v>
      </c>
      <c r="H450">
        <v>163.4</v>
      </c>
      <c r="I450">
        <v>134</v>
      </c>
      <c r="J450">
        <v>27.78</v>
      </c>
      <c r="K450">
        <v>240.1</v>
      </c>
      <c r="L450">
        <v>87</v>
      </c>
      <c r="M450">
        <v>20.41</v>
      </c>
      <c r="N450">
        <v>164</v>
      </c>
      <c r="O450">
        <v>147</v>
      </c>
      <c r="P450">
        <v>7.38</v>
      </c>
      <c r="Q450">
        <v>11.6</v>
      </c>
      <c r="R450">
        <v>2</v>
      </c>
      <c r="S450">
        <v>3.13</v>
      </c>
      <c r="T450">
        <v>2</v>
      </c>
    </row>
    <row r="451" spans="1:20" x14ac:dyDescent="0.3">
      <c r="A451">
        <v>450</v>
      </c>
      <c r="B451" t="s">
        <v>20</v>
      </c>
      <c r="C451">
        <v>68</v>
      </c>
      <c r="D451" t="s">
        <v>71</v>
      </c>
      <c r="E451" t="s">
        <v>74</v>
      </c>
      <c r="F451" t="s">
        <v>74</v>
      </c>
      <c r="G451">
        <v>0</v>
      </c>
      <c r="H451">
        <v>207.6</v>
      </c>
      <c r="I451">
        <v>68</v>
      </c>
      <c r="J451">
        <v>35.29</v>
      </c>
      <c r="K451">
        <v>251.6</v>
      </c>
      <c r="L451">
        <v>123</v>
      </c>
      <c r="M451">
        <v>21.39</v>
      </c>
      <c r="N451">
        <v>191.6</v>
      </c>
      <c r="O451">
        <v>100</v>
      </c>
      <c r="P451">
        <v>8.6199999999999992</v>
      </c>
      <c r="Q451">
        <v>10.9</v>
      </c>
      <c r="R451">
        <v>6</v>
      </c>
      <c r="S451">
        <v>2.94</v>
      </c>
      <c r="T451">
        <v>2</v>
      </c>
    </row>
    <row r="452" spans="1:20" x14ac:dyDescent="0.3">
      <c r="A452">
        <v>451</v>
      </c>
      <c r="B452" t="s">
        <v>43</v>
      </c>
      <c r="C452">
        <v>112</v>
      </c>
      <c r="D452" t="s">
        <v>71</v>
      </c>
      <c r="E452" t="s">
        <v>74</v>
      </c>
      <c r="F452" t="s">
        <v>75</v>
      </c>
      <c r="G452">
        <v>31</v>
      </c>
      <c r="H452">
        <v>225.2</v>
      </c>
      <c r="I452">
        <v>89</v>
      </c>
      <c r="J452">
        <v>38.28</v>
      </c>
      <c r="K452">
        <v>256.8</v>
      </c>
      <c r="L452">
        <v>117</v>
      </c>
      <c r="M452">
        <v>21.83</v>
      </c>
      <c r="N452">
        <v>249.7</v>
      </c>
      <c r="O452">
        <v>87</v>
      </c>
      <c r="P452">
        <v>11.24</v>
      </c>
      <c r="Q452">
        <v>11.5</v>
      </c>
      <c r="R452">
        <v>1</v>
      </c>
      <c r="S452">
        <v>3.11</v>
      </c>
      <c r="T452">
        <v>4</v>
      </c>
    </row>
    <row r="453" spans="1:20" x14ac:dyDescent="0.3">
      <c r="A453">
        <v>452</v>
      </c>
      <c r="B453" t="s">
        <v>70</v>
      </c>
      <c r="C453">
        <v>56</v>
      </c>
      <c r="D453" t="s">
        <v>71</v>
      </c>
      <c r="E453" t="s">
        <v>75</v>
      </c>
      <c r="F453" t="s">
        <v>74</v>
      </c>
      <c r="G453">
        <v>0</v>
      </c>
      <c r="H453">
        <v>177.7</v>
      </c>
      <c r="I453">
        <v>114</v>
      </c>
      <c r="J453">
        <v>30.21</v>
      </c>
      <c r="K453">
        <v>215.6</v>
      </c>
      <c r="L453">
        <v>110</v>
      </c>
      <c r="M453">
        <v>18.329999999999998</v>
      </c>
      <c r="N453">
        <v>236.7</v>
      </c>
      <c r="O453">
        <v>67</v>
      </c>
      <c r="P453">
        <v>10.65</v>
      </c>
      <c r="Q453">
        <v>10.5</v>
      </c>
      <c r="R453">
        <v>5</v>
      </c>
      <c r="S453">
        <v>2.84</v>
      </c>
      <c r="T453">
        <v>1</v>
      </c>
    </row>
    <row r="454" spans="1:20" x14ac:dyDescent="0.3">
      <c r="A454">
        <v>453</v>
      </c>
      <c r="B454" t="s">
        <v>61</v>
      </c>
      <c r="C454">
        <v>133</v>
      </c>
      <c r="D454" t="s">
        <v>73</v>
      </c>
      <c r="E454" t="s">
        <v>74</v>
      </c>
      <c r="F454" t="s">
        <v>74</v>
      </c>
      <c r="G454">
        <v>0</v>
      </c>
      <c r="H454">
        <v>117.8</v>
      </c>
      <c r="I454">
        <v>100</v>
      </c>
      <c r="J454">
        <v>20.03</v>
      </c>
      <c r="K454">
        <v>199.2</v>
      </c>
      <c r="L454">
        <v>105</v>
      </c>
      <c r="M454">
        <v>16.93</v>
      </c>
      <c r="N454">
        <v>244.1</v>
      </c>
      <c r="O454">
        <v>119</v>
      </c>
      <c r="P454">
        <v>10.98</v>
      </c>
      <c r="Q454">
        <v>11.8</v>
      </c>
      <c r="R454">
        <v>4</v>
      </c>
      <c r="S454">
        <v>3.19</v>
      </c>
      <c r="T454">
        <v>0</v>
      </c>
    </row>
    <row r="455" spans="1:20" x14ac:dyDescent="0.3">
      <c r="A455">
        <v>454</v>
      </c>
      <c r="B455" t="s">
        <v>66</v>
      </c>
      <c r="C455">
        <v>95</v>
      </c>
      <c r="D455" t="s">
        <v>73</v>
      </c>
      <c r="E455" t="s">
        <v>74</v>
      </c>
      <c r="F455" t="s">
        <v>74</v>
      </c>
      <c r="G455">
        <v>0</v>
      </c>
      <c r="H455">
        <v>128.6</v>
      </c>
      <c r="I455">
        <v>115</v>
      </c>
      <c r="J455">
        <v>21.86</v>
      </c>
      <c r="K455">
        <v>216.2</v>
      </c>
      <c r="L455">
        <v>88</v>
      </c>
      <c r="M455">
        <v>18.38</v>
      </c>
      <c r="N455">
        <v>255.3</v>
      </c>
      <c r="O455">
        <v>96</v>
      </c>
      <c r="P455">
        <v>11.49</v>
      </c>
      <c r="Q455">
        <v>6.3</v>
      </c>
      <c r="R455">
        <v>2</v>
      </c>
      <c r="S455">
        <v>1.7</v>
      </c>
      <c r="T455">
        <v>6</v>
      </c>
    </row>
    <row r="456" spans="1:20" x14ac:dyDescent="0.3">
      <c r="A456">
        <v>455</v>
      </c>
      <c r="B456" t="s">
        <v>34</v>
      </c>
      <c r="C456">
        <v>1</v>
      </c>
      <c r="D456" t="s">
        <v>71</v>
      </c>
      <c r="E456" t="s">
        <v>74</v>
      </c>
      <c r="F456" t="s">
        <v>74</v>
      </c>
      <c r="G456">
        <v>0</v>
      </c>
      <c r="H456">
        <v>182.1</v>
      </c>
      <c r="I456">
        <v>106</v>
      </c>
      <c r="J456">
        <v>30.96</v>
      </c>
      <c r="K456">
        <v>134.9</v>
      </c>
      <c r="L456">
        <v>106</v>
      </c>
      <c r="M456">
        <v>11.47</v>
      </c>
      <c r="N456">
        <v>152.30000000000001</v>
      </c>
      <c r="O456">
        <v>75</v>
      </c>
      <c r="P456">
        <v>6.85</v>
      </c>
      <c r="Q456">
        <v>10</v>
      </c>
      <c r="R456">
        <v>3</v>
      </c>
      <c r="S456">
        <v>2.7</v>
      </c>
      <c r="T456">
        <v>5</v>
      </c>
    </row>
    <row r="457" spans="1:20" x14ac:dyDescent="0.3">
      <c r="A457">
        <v>456</v>
      </c>
      <c r="B457" t="s">
        <v>64</v>
      </c>
      <c r="C457">
        <v>90</v>
      </c>
      <c r="D457" t="s">
        <v>71</v>
      </c>
      <c r="E457" t="s">
        <v>74</v>
      </c>
      <c r="F457" t="s">
        <v>75</v>
      </c>
      <c r="G457">
        <v>22</v>
      </c>
      <c r="H457">
        <v>124.5</v>
      </c>
      <c r="I457">
        <v>94</v>
      </c>
      <c r="J457">
        <v>21.17</v>
      </c>
      <c r="K457">
        <v>231.7</v>
      </c>
      <c r="L457">
        <v>90</v>
      </c>
      <c r="M457">
        <v>19.690000000000001</v>
      </c>
      <c r="N457">
        <v>222.2</v>
      </c>
      <c r="O457">
        <v>108</v>
      </c>
      <c r="P457">
        <v>10</v>
      </c>
      <c r="Q457">
        <v>6.4</v>
      </c>
      <c r="R457">
        <v>12</v>
      </c>
      <c r="S457">
        <v>1.73</v>
      </c>
      <c r="T457">
        <v>1</v>
      </c>
    </row>
    <row r="458" spans="1:20" x14ac:dyDescent="0.3">
      <c r="A458">
        <v>457</v>
      </c>
      <c r="B458" t="s">
        <v>38</v>
      </c>
      <c r="C458">
        <v>46</v>
      </c>
      <c r="D458" t="s">
        <v>71</v>
      </c>
      <c r="E458" t="s">
        <v>74</v>
      </c>
      <c r="F458" t="s">
        <v>74</v>
      </c>
      <c r="G458">
        <v>0</v>
      </c>
      <c r="H458">
        <v>122.2</v>
      </c>
      <c r="I458">
        <v>67</v>
      </c>
      <c r="J458">
        <v>20.77</v>
      </c>
      <c r="K458">
        <v>167.2</v>
      </c>
      <c r="L458">
        <v>62</v>
      </c>
      <c r="M458">
        <v>14.21</v>
      </c>
      <c r="N458">
        <v>194.8</v>
      </c>
      <c r="O458">
        <v>98</v>
      </c>
      <c r="P458">
        <v>8.77</v>
      </c>
      <c r="Q458">
        <v>9.6999999999999993</v>
      </c>
      <c r="R458">
        <v>6</v>
      </c>
      <c r="S458">
        <v>2.62</v>
      </c>
      <c r="T458">
        <v>1</v>
      </c>
    </row>
    <row r="459" spans="1:20" x14ac:dyDescent="0.3">
      <c r="A459">
        <v>458</v>
      </c>
      <c r="B459" t="s">
        <v>67</v>
      </c>
      <c r="C459">
        <v>150</v>
      </c>
      <c r="D459" t="s">
        <v>71</v>
      </c>
      <c r="E459" t="s">
        <v>74</v>
      </c>
      <c r="F459" t="s">
        <v>74</v>
      </c>
      <c r="G459">
        <v>0</v>
      </c>
      <c r="H459">
        <v>214</v>
      </c>
      <c r="I459">
        <v>117</v>
      </c>
      <c r="J459">
        <v>36.380000000000003</v>
      </c>
      <c r="K459">
        <v>192.4</v>
      </c>
      <c r="L459">
        <v>89</v>
      </c>
      <c r="M459">
        <v>16.350000000000001</v>
      </c>
      <c r="N459">
        <v>242.6</v>
      </c>
      <c r="O459">
        <v>99</v>
      </c>
      <c r="P459">
        <v>10.92</v>
      </c>
      <c r="Q459">
        <v>7.9</v>
      </c>
      <c r="R459">
        <v>4</v>
      </c>
      <c r="S459">
        <v>2.13</v>
      </c>
      <c r="T459">
        <v>1</v>
      </c>
    </row>
    <row r="460" spans="1:20" x14ac:dyDescent="0.3">
      <c r="A460">
        <v>459</v>
      </c>
      <c r="B460" t="s">
        <v>20</v>
      </c>
      <c r="C460">
        <v>73</v>
      </c>
      <c r="D460" t="s">
        <v>73</v>
      </c>
      <c r="E460" t="s">
        <v>74</v>
      </c>
      <c r="F460" t="s">
        <v>74</v>
      </c>
      <c r="G460">
        <v>0</v>
      </c>
      <c r="H460">
        <v>194.8</v>
      </c>
      <c r="I460">
        <v>112</v>
      </c>
      <c r="J460">
        <v>33.119999999999997</v>
      </c>
      <c r="K460">
        <v>167.2</v>
      </c>
      <c r="L460">
        <v>85</v>
      </c>
      <c r="M460">
        <v>14.21</v>
      </c>
      <c r="N460">
        <v>100.3</v>
      </c>
      <c r="O460">
        <v>61</v>
      </c>
      <c r="P460">
        <v>4.51</v>
      </c>
      <c r="Q460">
        <v>10.8</v>
      </c>
      <c r="R460">
        <v>6</v>
      </c>
      <c r="S460">
        <v>2.92</v>
      </c>
      <c r="T460">
        <v>1</v>
      </c>
    </row>
    <row r="461" spans="1:20" x14ac:dyDescent="0.3">
      <c r="A461">
        <v>460</v>
      </c>
      <c r="B461" t="s">
        <v>58</v>
      </c>
      <c r="C461">
        <v>161</v>
      </c>
      <c r="D461" t="s">
        <v>73</v>
      </c>
      <c r="E461" t="s">
        <v>74</v>
      </c>
      <c r="F461" t="s">
        <v>74</v>
      </c>
      <c r="G461">
        <v>0</v>
      </c>
      <c r="H461">
        <v>196.6</v>
      </c>
      <c r="I461">
        <v>73</v>
      </c>
      <c r="J461">
        <v>33.42</v>
      </c>
      <c r="K461">
        <v>170.2</v>
      </c>
      <c r="L461">
        <v>79</v>
      </c>
      <c r="M461">
        <v>14.47</v>
      </c>
      <c r="N461">
        <v>194.3</v>
      </c>
      <c r="O461">
        <v>79</v>
      </c>
      <c r="P461">
        <v>8.74</v>
      </c>
      <c r="Q461">
        <v>12.5</v>
      </c>
      <c r="R461">
        <v>3</v>
      </c>
      <c r="S461">
        <v>3.38</v>
      </c>
      <c r="T461">
        <v>1</v>
      </c>
    </row>
    <row r="462" spans="1:20" x14ac:dyDescent="0.3">
      <c r="A462">
        <v>461</v>
      </c>
      <c r="B462" t="s">
        <v>70</v>
      </c>
      <c r="C462">
        <v>76</v>
      </c>
      <c r="D462" t="s">
        <v>71</v>
      </c>
      <c r="E462" t="s">
        <v>74</v>
      </c>
      <c r="F462" t="s">
        <v>74</v>
      </c>
      <c r="G462">
        <v>0</v>
      </c>
      <c r="H462">
        <v>204</v>
      </c>
      <c r="I462">
        <v>69</v>
      </c>
      <c r="J462">
        <v>34.68</v>
      </c>
      <c r="K462">
        <v>225.1</v>
      </c>
      <c r="L462">
        <v>110</v>
      </c>
      <c r="M462">
        <v>19.13</v>
      </c>
      <c r="N462">
        <v>240.3</v>
      </c>
      <c r="O462">
        <v>85</v>
      </c>
      <c r="P462">
        <v>10.81</v>
      </c>
      <c r="Q462">
        <v>9.6</v>
      </c>
      <c r="R462">
        <v>5</v>
      </c>
      <c r="S462">
        <v>2.59</v>
      </c>
      <c r="T462">
        <v>1</v>
      </c>
    </row>
    <row r="463" spans="1:20" x14ac:dyDescent="0.3">
      <c r="A463">
        <v>462</v>
      </c>
      <c r="B463" t="s">
        <v>65</v>
      </c>
      <c r="C463">
        <v>95</v>
      </c>
      <c r="D463" t="s">
        <v>71</v>
      </c>
      <c r="E463" t="s">
        <v>74</v>
      </c>
      <c r="F463" t="s">
        <v>74</v>
      </c>
      <c r="G463">
        <v>0</v>
      </c>
      <c r="H463">
        <v>134.4</v>
      </c>
      <c r="I463">
        <v>104</v>
      </c>
      <c r="J463">
        <v>22.85</v>
      </c>
      <c r="K463">
        <v>152.4</v>
      </c>
      <c r="L463">
        <v>95</v>
      </c>
      <c r="M463">
        <v>12.95</v>
      </c>
      <c r="N463">
        <v>236.5</v>
      </c>
      <c r="O463">
        <v>80</v>
      </c>
      <c r="P463">
        <v>10.64</v>
      </c>
      <c r="Q463">
        <v>9.4</v>
      </c>
      <c r="R463">
        <v>3</v>
      </c>
      <c r="S463">
        <v>2.54</v>
      </c>
      <c r="T463">
        <v>1</v>
      </c>
    </row>
    <row r="464" spans="1:20" x14ac:dyDescent="0.3">
      <c r="A464">
        <v>463</v>
      </c>
      <c r="B464" t="s">
        <v>55</v>
      </c>
      <c r="C464">
        <v>76</v>
      </c>
      <c r="D464" t="s">
        <v>71</v>
      </c>
      <c r="E464" t="s">
        <v>74</v>
      </c>
      <c r="F464" t="s">
        <v>74</v>
      </c>
      <c r="G464">
        <v>0</v>
      </c>
      <c r="H464">
        <v>171.1</v>
      </c>
      <c r="I464">
        <v>78</v>
      </c>
      <c r="J464">
        <v>29.09</v>
      </c>
      <c r="K464">
        <v>257.2</v>
      </c>
      <c r="L464">
        <v>83</v>
      </c>
      <c r="M464">
        <v>21.86</v>
      </c>
      <c r="N464">
        <v>91.6</v>
      </c>
      <c r="O464">
        <v>92</v>
      </c>
      <c r="P464">
        <v>4.12</v>
      </c>
      <c r="Q464">
        <v>16.2</v>
      </c>
      <c r="R464">
        <v>3</v>
      </c>
      <c r="S464">
        <v>4.37</v>
      </c>
      <c r="T464">
        <v>1</v>
      </c>
    </row>
    <row r="465" spans="1:20" x14ac:dyDescent="0.3">
      <c r="A465">
        <v>464</v>
      </c>
      <c r="B465" t="s">
        <v>33</v>
      </c>
      <c r="C465">
        <v>103</v>
      </c>
      <c r="D465" t="s">
        <v>71</v>
      </c>
      <c r="E465" t="s">
        <v>74</v>
      </c>
      <c r="F465" t="s">
        <v>75</v>
      </c>
      <c r="G465">
        <v>37</v>
      </c>
      <c r="H465">
        <v>153.5</v>
      </c>
      <c r="I465">
        <v>78</v>
      </c>
      <c r="J465">
        <v>26.1</v>
      </c>
      <c r="K465">
        <v>241.9</v>
      </c>
      <c r="L465">
        <v>108</v>
      </c>
      <c r="M465">
        <v>20.56</v>
      </c>
      <c r="N465">
        <v>244.7</v>
      </c>
      <c r="O465">
        <v>110</v>
      </c>
      <c r="P465">
        <v>11.01</v>
      </c>
      <c r="Q465">
        <v>10.6</v>
      </c>
      <c r="R465">
        <v>3</v>
      </c>
      <c r="S465">
        <v>2.86</v>
      </c>
      <c r="T465">
        <v>1</v>
      </c>
    </row>
    <row r="466" spans="1:20" x14ac:dyDescent="0.3">
      <c r="A466">
        <v>465</v>
      </c>
      <c r="B466" t="s">
        <v>36</v>
      </c>
      <c r="C466">
        <v>132</v>
      </c>
      <c r="D466" t="s">
        <v>71</v>
      </c>
      <c r="E466" t="s">
        <v>74</v>
      </c>
      <c r="F466" t="s">
        <v>75</v>
      </c>
      <c r="G466">
        <v>25</v>
      </c>
      <c r="H466">
        <v>113.2</v>
      </c>
      <c r="I466">
        <v>96</v>
      </c>
      <c r="J466">
        <v>19.239999999999998</v>
      </c>
      <c r="K466">
        <v>269.89999999999998</v>
      </c>
      <c r="L466">
        <v>107</v>
      </c>
      <c r="M466">
        <v>22.94</v>
      </c>
      <c r="N466">
        <v>229.1</v>
      </c>
      <c r="O466">
        <v>87</v>
      </c>
      <c r="P466">
        <v>10.31</v>
      </c>
      <c r="Q466">
        <v>7.1</v>
      </c>
      <c r="R466">
        <v>7</v>
      </c>
      <c r="S466">
        <v>1.92</v>
      </c>
      <c r="T466">
        <v>2</v>
      </c>
    </row>
    <row r="467" spans="1:20" x14ac:dyDescent="0.3">
      <c r="A467">
        <v>466</v>
      </c>
      <c r="B467" t="s">
        <v>42</v>
      </c>
      <c r="C467">
        <v>148</v>
      </c>
      <c r="D467" t="s">
        <v>72</v>
      </c>
      <c r="E467" t="s">
        <v>74</v>
      </c>
      <c r="F467" t="s">
        <v>74</v>
      </c>
      <c r="G467">
        <v>0</v>
      </c>
      <c r="H467">
        <v>203</v>
      </c>
      <c r="I467">
        <v>92</v>
      </c>
      <c r="J467">
        <v>34.51</v>
      </c>
      <c r="K467">
        <v>150.9</v>
      </c>
      <c r="L467">
        <v>125</v>
      </c>
      <c r="M467">
        <v>12.83</v>
      </c>
      <c r="N467">
        <v>245.5</v>
      </c>
      <c r="O467">
        <v>131</v>
      </c>
      <c r="P467">
        <v>11.05</v>
      </c>
      <c r="Q467">
        <v>14.6</v>
      </c>
      <c r="R467">
        <v>9</v>
      </c>
      <c r="S467">
        <v>3.94</v>
      </c>
      <c r="T467">
        <v>1</v>
      </c>
    </row>
    <row r="468" spans="1:20" x14ac:dyDescent="0.3">
      <c r="A468">
        <v>467</v>
      </c>
      <c r="B468" t="s">
        <v>59</v>
      </c>
      <c r="C468">
        <v>105</v>
      </c>
      <c r="D468" t="s">
        <v>71</v>
      </c>
      <c r="E468" t="s">
        <v>74</v>
      </c>
      <c r="F468" t="s">
        <v>74</v>
      </c>
      <c r="G468">
        <v>0</v>
      </c>
      <c r="H468">
        <v>156.5</v>
      </c>
      <c r="I468">
        <v>102</v>
      </c>
      <c r="J468">
        <v>26.61</v>
      </c>
      <c r="K468">
        <v>140.19999999999999</v>
      </c>
      <c r="L468">
        <v>134</v>
      </c>
      <c r="M468">
        <v>11.92</v>
      </c>
      <c r="N468">
        <v>227.4</v>
      </c>
      <c r="O468">
        <v>111</v>
      </c>
      <c r="P468">
        <v>10.23</v>
      </c>
      <c r="Q468">
        <v>12.2</v>
      </c>
      <c r="R468">
        <v>2</v>
      </c>
      <c r="S468">
        <v>3.29</v>
      </c>
      <c r="T468">
        <v>2</v>
      </c>
    </row>
    <row r="469" spans="1:20" x14ac:dyDescent="0.3">
      <c r="A469">
        <v>468</v>
      </c>
      <c r="B469" t="s">
        <v>68</v>
      </c>
      <c r="C469">
        <v>129</v>
      </c>
      <c r="D469" t="s">
        <v>71</v>
      </c>
      <c r="E469" t="s">
        <v>74</v>
      </c>
      <c r="F469" t="s">
        <v>74</v>
      </c>
      <c r="G469">
        <v>0</v>
      </c>
      <c r="H469">
        <v>150</v>
      </c>
      <c r="I469">
        <v>98</v>
      </c>
      <c r="J469">
        <v>25.5</v>
      </c>
      <c r="K469">
        <v>232.4</v>
      </c>
      <c r="L469">
        <v>101</v>
      </c>
      <c r="M469">
        <v>19.75</v>
      </c>
      <c r="N469">
        <v>261.2</v>
      </c>
      <c r="O469">
        <v>123</v>
      </c>
      <c r="P469">
        <v>11.75</v>
      </c>
      <c r="Q469">
        <v>12.5</v>
      </c>
      <c r="R469">
        <v>6</v>
      </c>
      <c r="S469">
        <v>3.38</v>
      </c>
      <c r="T469">
        <v>1</v>
      </c>
    </row>
    <row r="470" spans="1:20" x14ac:dyDescent="0.3">
      <c r="A470">
        <v>469</v>
      </c>
      <c r="B470" t="s">
        <v>40</v>
      </c>
      <c r="C470">
        <v>37</v>
      </c>
      <c r="D470" t="s">
        <v>71</v>
      </c>
      <c r="E470" t="s">
        <v>74</v>
      </c>
      <c r="F470" t="s">
        <v>74</v>
      </c>
      <c r="G470">
        <v>0</v>
      </c>
      <c r="H470">
        <v>191.4</v>
      </c>
      <c r="I470">
        <v>116</v>
      </c>
      <c r="J470">
        <v>32.54</v>
      </c>
      <c r="K470">
        <v>167.4</v>
      </c>
      <c r="L470">
        <v>99</v>
      </c>
      <c r="M470">
        <v>14.23</v>
      </c>
      <c r="N470">
        <v>216.5</v>
      </c>
      <c r="O470">
        <v>112</v>
      </c>
      <c r="P470">
        <v>9.74</v>
      </c>
      <c r="Q470">
        <v>14</v>
      </c>
      <c r="R470">
        <v>5</v>
      </c>
      <c r="S470">
        <v>3.78</v>
      </c>
      <c r="T470">
        <v>3</v>
      </c>
    </row>
    <row r="471" spans="1:20" x14ac:dyDescent="0.3">
      <c r="A471">
        <v>470</v>
      </c>
      <c r="B471" t="s">
        <v>40</v>
      </c>
      <c r="C471">
        <v>110</v>
      </c>
      <c r="D471" t="s">
        <v>72</v>
      </c>
      <c r="E471" t="s">
        <v>74</v>
      </c>
      <c r="F471" t="s">
        <v>74</v>
      </c>
      <c r="G471">
        <v>0</v>
      </c>
      <c r="H471">
        <v>18.899999999999999</v>
      </c>
      <c r="I471">
        <v>92</v>
      </c>
      <c r="J471">
        <v>3.21</v>
      </c>
      <c r="K471">
        <v>258.39999999999998</v>
      </c>
      <c r="L471">
        <v>81</v>
      </c>
      <c r="M471">
        <v>21.96</v>
      </c>
      <c r="N471">
        <v>109.6</v>
      </c>
      <c r="O471">
        <v>74</v>
      </c>
      <c r="P471">
        <v>4.93</v>
      </c>
      <c r="Q471">
        <v>14.8</v>
      </c>
      <c r="R471">
        <v>4</v>
      </c>
      <c r="S471">
        <v>4</v>
      </c>
      <c r="T471">
        <v>1</v>
      </c>
    </row>
    <row r="472" spans="1:20" x14ac:dyDescent="0.3">
      <c r="A472">
        <v>471</v>
      </c>
      <c r="B472" t="s">
        <v>50</v>
      </c>
      <c r="C472">
        <v>90</v>
      </c>
      <c r="D472" t="s">
        <v>73</v>
      </c>
      <c r="E472" t="s">
        <v>74</v>
      </c>
      <c r="F472" t="s">
        <v>74</v>
      </c>
      <c r="G472">
        <v>0</v>
      </c>
      <c r="H472">
        <v>222</v>
      </c>
      <c r="I472">
        <v>93</v>
      </c>
      <c r="J472">
        <v>37.74</v>
      </c>
      <c r="K472">
        <v>187</v>
      </c>
      <c r="L472">
        <v>103</v>
      </c>
      <c r="M472">
        <v>15.9</v>
      </c>
      <c r="N472">
        <v>282.3</v>
      </c>
      <c r="O472">
        <v>124</v>
      </c>
      <c r="P472">
        <v>12.7</v>
      </c>
      <c r="Q472">
        <v>12.4</v>
      </c>
      <c r="R472">
        <v>6</v>
      </c>
      <c r="S472">
        <v>3.35</v>
      </c>
      <c r="T472">
        <v>2</v>
      </c>
    </row>
    <row r="473" spans="1:20" x14ac:dyDescent="0.3">
      <c r="A473">
        <v>472</v>
      </c>
      <c r="B473" t="s">
        <v>41</v>
      </c>
      <c r="C473">
        <v>62</v>
      </c>
      <c r="D473" t="s">
        <v>71</v>
      </c>
      <c r="E473" t="s">
        <v>74</v>
      </c>
      <c r="F473" t="s">
        <v>74</v>
      </c>
      <c r="G473">
        <v>0</v>
      </c>
      <c r="H473">
        <v>100</v>
      </c>
      <c r="I473">
        <v>98</v>
      </c>
      <c r="J473">
        <v>17</v>
      </c>
      <c r="K473">
        <v>173.5</v>
      </c>
      <c r="L473">
        <v>95</v>
      </c>
      <c r="M473">
        <v>14.75</v>
      </c>
      <c r="N473">
        <v>218</v>
      </c>
      <c r="O473">
        <v>122</v>
      </c>
      <c r="P473">
        <v>9.81</v>
      </c>
      <c r="Q473">
        <v>10.1</v>
      </c>
      <c r="R473">
        <v>4</v>
      </c>
      <c r="S473">
        <v>2.73</v>
      </c>
      <c r="T473">
        <v>0</v>
      </c>
    </row>
    <row r="474" spans="1:20" x14ac:dyDescent="0.3">
      <c r="A474">
        <v>473</v>
      </c>
      <c r="B474" t="s">
        <v>64</v>
      </c>
      <c r="C474">
        <v>84</v>
      </c>
      <c r="D474" t="s">
        <v>73</v>
      </c>
      <c r="E474" t="s">
        <v>74</v>
      </c>
      <c r="F474" t="s">
        <v>75</v>
      </c>
      <c r="G474">
        <v>38</v>
      </c>
      <c r="H474">
        <v>193</v>
      </c>
      <c r="I474">
        <v>106</v>
      </c>
      <c r="J474">
        <v>32.81</v>
      </c>
      <c r="K474">
        <v>153.6</v>
      </c>
      <c r="L474">
        <v>106</v>
      </c>
      <c r="M474">
        <v>13.06</v>
      </c>
      <c r="N474">
        <v>260.39999999999998</v>
      </c>
      <c r="O474">
        <v>87</v>
      </c>
      <c r="P474">
        <v>11.72</v>
      </c>
      <c r="Q474">
        <v>7.4</v>
      </c>
      <c r="R474">
        <v>5</v>
      </c>
      <c r="S474">
        <v>2</v>
      </c>
      <c r="T474">
        <v>2</v>
      </c>
    </row>
    <row r="475" spans="1:20" x14ac:dyDescent="0.3">
      <c r="A475">
        <v>474</v>
      </c>
      <c r="B475" t="s">
        <v>43</v>
      </c>
      <c r="C475">
        <v>111</v>
      </c>
      <c r="D475" t="s">
        <v>72</v>
      </c>
      <c r="E475" t="s">
        <v>74</v>
      </c>
      <c r="F475" t="s">
        <v>74</v>
      </c>
      <c r="G475">
        <v>0</v>
      </c>
      <c r="H475">
        <v>78.3</v>
      </c>
      <c r="I475">
        <v>119</v>
      </c>
      <c r="J475">
        <v>13.31</v>
      </c>
      <c r="K475">
        <v>198.2</v>
      </c>
      <c r="L475">
        <v>94</v>
      </c>
      <c r="M475">
        <v>16.850000000000001</v>
      </c>
      <c r="N475">
        <v>248.5</v>
      </c>
      <c r="O475">
        <v>94</v>
      </c>
      <c r="P475">
        <v>11.18</v>
      </c>
      <c r="Q475">
        <v>12.1</v>
      </c>
      <c r="R475">
        <v>4</v>
      </c>
      <c r="S475">
        <v>3.27</v>
      </c>
      <c r="T475">
        <v>1</v>
      </c>
    </row>
    <row r="476" spans="1:20" x14ac:dyDescent="0.3">
      <c r="A476">
        <v>475</v>
      </c>
      <c r="B476" t="s">
        <v>32</v>
      </c>
      <c r="C476">
        <v>91</v>
      </c>
      <c r="D476" t="s">
        <v>71</v>
      </c>
      <c r="E476" t="s">
        <v>74</v>
      </c>
      <c r="F476" t="s">
        <v>74</v>
      </c>
      <c r="G476">
        <v>0</v>
      </c>
      <c r="H476">
        <v>133.80000000000001</v>
      </c>
      <c r="I476">
        <v>61</v>
      </c>
      <c r="J476">
        <v>22.75</v>
      </c>
      <c r="K476">
        <v>158.80000000000001</v>
      </c>
      <c r="L476">
        <v>96</v>
      </c>
      <c r="M476">
        <v>13.5</v>
      </c>
      <c r="N476">
        <v>189.6</v>
      </c>
      <c r="O476">
        <v>92</v>
      </c>
      <c r="P476">
        <v>8.5299999999999994</v>
      </c>
      <c r="Q476">
        <v>10.5</v>
      </c>
      <c r="R476">
        <v>2</v>
      </c>
      <c r="S476">
        <v>2.84</v>
      </c>
      <c r="T476">
        <v>1</v>
      </c>
    </row>
    <row r="477" spans="1:20" x14ac:dyDescent="0.3">
      <c r="A477">
        <v>476</v>
      </c>
      <c r="B477" t="s">
        <v>33</v>
      </c>
      <c r="C477">
        <v>118</v>
      </c>
      <c r="D477" t="s">
        <v>71</v>
      </c>
      <c r="E477" t="s">
        <v>74</v>
      </c>
      <c r="F477" t="s">
        <v>75</v>
      </c>
      <c r="G477">
        <v>36</v>
      </c>
      <c r="H477">
        <v>294.89999999999998</v>
      </c>
      <c r="I477">
        <v>106</v>
      </c>
      <c r="J477">
        <v>50.13</v>
      </c>
      <c r="K477">
        <v>165.7</v>
      </c>
      <c r="L477">
        <v>115</v>
      </c>
      <c r="M477">
        <v>14.08</v>
      </c>
      <c r="N477">
        <v>189.2</v>
      </c>
      <c r="O477">
        <v>63</v>
      </c>
      <c r="P477">
        <v>8.51</v>
      </c>
      <c r="Q477">
        <v>9.8000000000000007</v>
      </c>
      <c r="R477">
        <v>5</v>
      </c>
      <c r="S477">
        <v>2.65</v>
      </c>
      <c r="T477">
        <v>3</v>
      </c>
    </row>
    <row r="478" spans="1:20" x14ac:dyDescent="0.3">
      <c r="A478">
        <v>477</v>
      </c>
      <c r="B478" t="s">
        <v>23</v>
      </c>
      <c r="C478">
        <v>107</v>
      </c>
      <c r="D478" t="s">
        <v>72</v>
      </c>
      <c r="E478" t="s">
        <v>74</v>
      </c>
      <c r="F478" t="s">
        <v>74</v>
      </c>
      <c r="G478">
        <v>0</v>
      </c>
      <c r="H478">
        <v>189.7</v>
      </c>
      <c r="I478">
        <v>76</v>
      </c>
      <c r="J478">
        <v>32.25</v>
      </c>
      <c r="K478">
        <v>156.1</v>
      </c>
      <c r="L478">
        <v>65</v>
      </c>
      <c r="M478">
        <v>13.27</v>
      </c>
      <c r="N478">
        <v>244</v>
      </c>
      <c r="O478">
        <v>91</v>
      </c>
      <c r="P478">
        <v>10.98</v>
      </c>
      <c r="Q478">
        <v>8.3000000000000007</v>
      </c>
      <c r="R478">
        <v>3</v>
      </c>
      <c r="S478">
        <v>2.2400000000000002</v>
      </c>
      <c r="T478">
        <v>5</v>
      </c>
    </row>
    <row r="479" spans="1:20" x14ac:dyDescent="0.3">
      <c r="A479">
        <v>478</v>
      </c>
      <c r="B479" t="s">
        <v>26</v>
      </c>
      <c r="C479">
        <v>62</v>
      </c>
      <c r="D479" t="s">
        <v>71</v>
      </c>
      <c r="E479" t="s">
        <v>74</v>
      </c>
      <c r="F479" t="s">
        <v>74</v>
      </c>
      <c r="G479">
        <v>0</v>
      </c>
      <c r="H479">
        <v>186.8</v>
      </c>
      <c r="I479">
        <v>94</v>
      </c>
      <c r="J479">
        <v>31.76</v>
      </c>
      <c r="K479">
        <v>207.6</v>
      </c>
      <c r="L479">
        <v>92</v>
      </c>
      <c r="M479">
        <v>17.649999999999999</v>
      </c>
      <c r="N479">
        <v>195</v>
      </c>
      <c r="O479">
        <v>98</v>
      </c>
      <c r="P479">
        <v>8.7799999999999994</v>
      </c>
      <c r="Q479">
        <v>8.8000000000000007</v>
      </c>
      <c r="R479">
        <v>4</v>
      </c>
      <c r="S479">
        <v>2.38</v>
      </c>
      <c r="T479">
        <v>3</v>
      </c>
    </row>
    <row r="480" spans="1:20" x14ac:dyDescent="0.3">
      <c r="A480">
        <v>479</v>
      </c>
      <c r="B480" t="s">
        <v>43</v>
      </c>
      <c r="C480">
        <v>41</v>
      </c>
      <c r="D480" t="s">
        <v>72</v>
      </c>
      <c r="E480" t="s">
        <v>74</v>
      </c>
      <c r="F480" t="s">
        <v>74</v>
      </c>
      <c r="G480">
        <v>0</v>
      </c>
      <c r="H480">
        <v>207.2</v>
      </c>
      <c r="I480">
        <v>138</v>
      </c>
      <c r="J480">
        <v>35.22</v>
      </c>
      <c r="K480">
        <v>214.1</v>
      </c>
      <c r="L480">
        <v>83</v>
      </c>
      <c r="M480">
        <v>18.2</v>
      </c>
      <c r="N480">
        <v>193</v>
      </c>
      <c r="O480">
        <v>105</v>
      </c>
      <c r="P480">
        <v>8.69</v>
      </c>
      <c r="Q480">
        <v>11.9</v>
      </c>
      <c r="R480">
        <v>4</v>
      </c>
      <c r="S480">
        <v>3.21</v>
      </c>
      <c r="T480">
        <v>1</v>
      </c>
    </row>
    <row r="481" spans="1:20" x14ac:dyDescent="0.3">
      <c r="A481">
        <v>480</v>
      </c>
      <c r="B481" t="s">
        <v>57</v>
      </c>
      <c r="C481">
        <v>34</v>
      </c>
      <c r="D481" t="s">
        <v>71</v>
      </c>
      <c r="E481" t="s">
        <v>74</v>
      </c>
      <c r="F481" t="s">
        <v>75</v>
      </c>
      <c r="G481">
        <v>14</v>
      </c>
      <c r="H481">
        <v>151.5</v>
      </c>
      <c r="I481">
        <v>100</v>
      </c>
      <c r="J481">
        <v>25.76</v>
      </c>
      <c r="K481">
        <v>248.7</v>
      </c>
      <c r="L481">
        <v>126</v>
      </c>
      <c r="M481">
        <v>21.14</v>
      </c>
      <c r="N481">
        <v>199.8</v>
      </c>
      <c r="O481">
        <v>120</v>
      </c>
      <c r="P481">
        <v>8.99</v>
      </c>
      <c r="Q481">
        <v>10.7</v>
      </c>
      <c r="R481">
        <v>5</v>
      </c>
      <c r="S481">
        <v>2.89</v>
      </c>
      <c r="T481">
        <v>2</v>
      </c>
    </row>
    <row r="482" spans="1:20" x14ac:dyDescent="0.3">
      <c r="A482">
        <v>481</v>
      </c>
      <c r="B482" t="s">
        <v>64</v>
      </c>
      <c r="C482">
        <v>27</v>
      </c>
      <c r="D482" t="s">
        <v>71</v>
      </c>
      <c r="E482" t="s">
        <v>74</v>
      </c>
      <c r="F482" t="s">
        <v>74</v>
      </c>
      <c r="G482">
        <v>0</v>
      </c>
      <c r="H482">
        <v>227.4</v>
      </c>
      <c r="I482">
        <v>67</v>
      </c>
      <c r="J482">
        <v>38.659999999999997</v>
      </c>
      <c r="K482">
        <v>248</v>
      </c>
      <c r="L482">
        <v>115</v>
      </c>
      <c r="M482">
        <v>21.08</v>
      </c>
      <c r="N482">
        <v>61.4</v>
      </c>
      <c r="O482">
        <v>109</v>
      </c>
      <c r="P482">
        <v>2.76</v>
      </c>
      <c r="Q482">
        <v>7.8</v>
      </c>
      <c r="R482">
        <v>6</v>
      </c>
      <c r="S482">
        <v>2.11</v>
      </c>
      <c r="T482">
        <v>1</v>
      </c>
    </row>
    <row r="483" spans="1:20" x14ac:dyDescent="0.3">
      <c r="A483">
        <v>482</v>
      </c>
      <c r="B483" t="s">
        <v>66</v>
      </c>
      <c r="C483">
        <v>122</v>
      </c>
      <c r="D483" t="s">
        <v>72</v>
      </c>
      <c r="E483" t="s">
        <v>74</v>
      </c>
      <c r="F483" t="s">
        <v>75</v>
      </c>
      <c r="G483">
        <v>30</v>
      </c>
      <c r="H483">
        <v>230.1</v>
      </c>
      <c r="I483">
        <v>108</v>
      </c>
      <c r="J483">
        <v>39.119999999999997</v>
      </c>
      <c r="K483">
        <v>287.60000000000002</v>
      </c>
      <c r="L483">
        <v>76</v>
      </c>
      <c r="M483">
        <v>24.45</v>
      </c>
      <c r="N483">
        <v>177.1</v>
      </c>
      <c r="O483">
        <v>85</v>
      </c>
      <c r="P483">
        <v>7.97</v>
      </c>
      <c r="Q483">
        <v>6.9</v>
      </c>
      <c r="R483">
        <v>3</v>
      </c>
      <c r="S483">
        <v>1.86</v>
      </c>
      <c r="T483">
        <v>2</v>
      </c>
    </row>
    <row r="484" spans="1:20" x14ac:dyDescent="0.3">
      <c r="A484">
        <v>483</v>
      </c>
      <c r="B484" t="s">
        <v>62</v>
      </c>
      <c r="C484">
        <v>54</v>
      </c>
      <c r="D484" t="s">
        <v>71</v>
      </c>
      <c r="E484" t="s">
        <v>74</v>
      </c>
      <c r="F484" t="s">
        <v>74</v>
      </c>
      <c r="G484">
        <v>0</v>
      </c>
      <c r="H484">
        <v>247.5</v>
      </c>
      <c r="I484">
        <v>85</v>
      </c>
      <c r="J484">
        <v>42.08</v>
      </c>
      <c r="K484">
        <v>225.4</v>
      </c>
      <c r="L484">
        <v>93</v>
      </c>
      <c r="M484">
        <v>19.16</v>
      </c>
      <c r="N484">
        <v>244.3</v>
      </c>
      <c r="O484">
        <v>132</v>
      </c>
      <c r="P484">
        <v>10.99</v>
      </c>
      <c r="Q484">
        <v>10.199999999999999</v>
      </c>
      <c r="R484">
        <v>2</v>
      </c>
      <c r="S484">
        <v>2.75</v>
      </c>
      <c r="T484">
        <v>2</v>
      </c>
    </row>
    <row r="485" spans="1:20" x14ac:dyDescent="0.3">
      <c r="A485">
        <v>484</v>
      </c>
      <c r="B485" t="s">
        <v>38</v>
      </c>
      <c r="C485">
        <v>122</v>
      </c>
      <c r="D485" t="s">
        <v>71</v>
      </c>
      <c r="E485" t="s">
        <v>74</v>
      </c>
      <c r="F485" t="s">
        <v>74</v>
      </c>
      <c r="G485">
        <v>0</v>
      </c>
      <c r="H485">
        <v>141.4</v>
      </c>
      <c r="I485">
        <v>128</v>
      </c>
      <c r="J485">
        <v>24.04</v>
      </c>
      <c r="K485">
        <v>146.4</v>
      </c>
      <c r="L485">
        <v>70</v>
      </c>
      <c r="M485">
        <v>12.44</v>
      </c>
      <c r="N485">
        <v>123</v>
      </c>
      <c r="O485">
        <v>75</v>
      </c>
      <c r="P485">
        <v>5.54</v>
      </c>
      <c r="Q485">
        <v>8.1</v>
      </c>
      <c r="R485">
        <v>4</v>
      </c>
      <c r="S485">
        <v>2.19</v>
      </c>
      <c r="T485">
        <v>0</v>
      </c>
    </row>
    <row r="486" spans="1:20" x14ac:dyDescent="0.3">
      <c r="A486">
        <v>485</v>
      </c>
      <c r="B486" t="s">
        <v>21</v>
      </c>
      <c r="C486">
        <v>91</v>
      </c>
      <c r="D486" t="s">
        <v>73</v>
      </c>
      <c r="E486" t="s">
        <v>75</v>
      </c>
      <c r="F486" t="s">
        <v>74</v>
      </c>
      <c r="G486">
        <v>0</v>
      </c>
      <c r="H486">
        <v>151.80000000000001</v>
      </c>
      <c r="I486">
        <v>115</v>
      </c>
      <c r="J486">
        <v>25.81</v>
      </c>
      <c r="K486">
        <v>103.6</v>
      </c>
      <c r="L486">
        <v>116</v>
      </c>
      <c r="M486">
        <v>8.81</v>
      </c>
      <c r="N486">
        <v>156.30000000000001</v>
      </c>
      <c r="O486">
        <v>86</v>
      </c>
      <c r="P486">
        <v>7.03</v>
      </c>
      <c r="Q486">
        <v>12.2</v>
      </c>
      <c r="R486">
        <v>4</v>
      </c>
      <c r="S486">
        <v>3.29</v>
      </c>
      <c r="T486">
        <v>1</v>
      </c>
    </row>
    <row r="487" spans="1:20" x14ac:dyDescent="0.3">
      <c r="A487">
        <v>486</v>
      </c>
      <c r="B487" t="s">
        <v>64</v>
      </c>
      <c r="C487">
        <v>148</v>
      </c>
      <c r="D487" t="s">
        <v>71</v>
      </c>
      <c r="E487" t="s">
        <v>75</v>
      </c>
      <c r="F487" t="s">
        <v>74</v>
      </c>
      <c r="G487">
        <v>0</v>
      </c>
      <c r="H487">
        <v>218.7</v>
      </c>
      <c r="I487">
        <v>111</v>
      </c>
      <c r="J487">
        <v>37.18</v>
      </c>
      <c r="K487">
        <v>155.6</v>
      </c>
      <c r="L487">
        <v>133</v>
      </c>
      <c r="M487">
        <v>13.23</v>
      </c>
      <c r="N487">
        <v>277.39999999999998</v>
      </c>
      <c r="O487">
        <v>62</v>
      </c>
      <c r="P487">
        <v>12.48</v>
      </c>
      <c r="Q487">
        <v>8.1999999999999993</v>
      </c>
      <c r="R487">
        <v>5</v>
      </c>
      <c r="S487">
        <v>2.21</v>
      </c>
      <c r="T487">
        <v>1</v>
      </c>
    </row>
    <row r="488" spans="1:20" x14ac:dyDescent="0.3">
      <c r="A488">
        <v>487</v>
      </c>
      <c r="B488" t="s">
        <v>24</v>
      </c>
      <c r="C488">
        <v>67</v>
      </c>
      <c r="D488" t="s">
        <v>71</v>
      </c>
      <c r="E488" t="s">
        <v>74</v>
      </c>
      <c r="F488" t="s">
        <v>75</v>
      </c>
      <c r="G488">
        <v>41</v>
      </c>
      <c r="H488">
        <v>174.7</v>
      </c>
      <c r="I488">
        <v>86</v>
      </c>
      <c r="J488">
        <v>29.7</v>
      </c>
      <c r="K488">
        <v>160.6</v>
      </c>
      <c r="L488">
        <v>93</v>
      </c>
      <c r="M488">
        <v>13.65</v>
      </c>
      <c r="N488">
        <v>155.30000000000001</v>
      </c>
      <c r="O488">
        <v>108</v>
      </c>
      <c r="P488">
        <v>6.99</v>
      </c>
      <c r="Q488">
        <v>13.4</v>
      </c>
      <c r="R488">
        <v>1</v>
      </c>
      <c r="S488">
        <v>3.62</v>
      </c>
      <c r="T488">
        <v>0</v>
      </c>
    </row>
    <row r="489" spans="1:20" x14ac:dyDescent="0.3">
      <c r="A489">
        <v>488</v>
      </c>
      <c r="B489" t="s">
        <v>58</v>
      </c>
      <c r="C489">
        <v>124</v>
      </c>
      <c r="D489" t="s">
        <v>72</v>
      </c>
      <c r="E489" t="s">
        <v>74</v>
      </c>
      <c r="F489" t="s">
        <v>74</v>
      </c>
      <c r="G489">
        <v>0</v>
      </c>
      <c r="H489">
        <v>169.3</v>
      </c>
      <c r="I489">
        <v>108</v>
      </c>
      <c r="J489">
        <v>28.78</v>
      </c>
      <c r="K489">
        <v>178.6</v>
      </c>
      <c r="L489">
        <v>91</v>
      </c>
      <c r="M489">
        <v>15.18</v>
      </c>
      <c r="N489">
        <v>242.3</v>
      </c>
      <c r="O489">
        <v>82</v>
      </c>
      <c r="P489">
        <v>10.9</v>
      </c>
      <c r="Q489">
        <v>12.2</v>
      </c>
      <c r="R489">
        <v>3</v>
      </c>
      <c r="S489">
        <v>3.29</v>
      </c>
      <c r="T489">
        <v>1</v>
      </c>
    </row>
    <row r="490" spans="1:20" x14ac:dyDescent="0.3">
      <c r="A490">
        <v>489</v>
      </c>
      <c r="B490" t="s">
        <v>54</v>
      </c>
      <c r="C490">
        <v>100</v>
      </c>
      <c r="D490" t="s">
        <v>72</v>
      </c>
      <c r="E490" t="s">
        <v>75</v>
      </c>
      <c r="F490" t="s">
        <v>74</v>
      </c>
      <c r="G490">
        <v>0</v>
      </c>
      <c r="H490">
        <v>107.2</v>
      </c>
      <c r="I490">
        <v>98</v>
      </c>
      <c r="J490">
        <v>18.22</v>
      </c>
      <c r="K490">
        <v>86.8</v>
      </c>
      <c r="L490">
        <v>122</v>
      </c>
      <c r="M490">
        <v>7.38</v>
      </c>
      <c r="N490">
        <v>156.19999999999999</v>
      </c>
      <c r="O490">
        <v>117</v>
      </c>
      <c r="P490">
        <v>7.03</v>
      </c>
      <c r="Q490">
        <v>9.6999999999999993</v>
      </c>
      <c r="R490">
        <v>4</v>
      </c>
      <c r="S490">
        <v>2.62</v>
      </c>
      <c r="T490">
        <v>1</v>
      </c>
    </row>
    <row r="491" spans="1:20" x14ac:dyDescent="0.3">
      <c r="A491">
        <v>490</v>
      </c>
      <c r="B491" t="s">
        <v>61</v>
      </c>
      <c r="C491">
        <v>68</v>
      </c>
      <c r="D491" t="s">
        <v>71</v>
      </c>
      <c r="E491" t="s">
        <v>75</v>
      </c>
      <c r="F491" t="s">
        <v>75</v>
      </c>
      <c r="G491">
        <v>24</v>
      </c>
      <c r="H491">
        <v>125.7</v>
      </c>
      <c r="I491">
        <v>92</v>
      </c>
      <c r="J491">
        <v>21.37</v>
      </c>
      <c r="K491">
        <v>275.89999999999998</v>
      </c>
      <c r="L491">
        <v>98</v>
      </c>
      <c r="M491">
        <v>23.45</v>
      </c>
      <c r="N491">
        <v>214.5</v>
      </c>
      <c r="O491">
        <v>108</v>
      </c>
      <c r="P491">
        <v>9.65</v>
      </c>
      <c r="Q491">
        <v>14.2</v>
      </c>
      <c r="R491">
        <v>6</v>
      </c>
      <c r="S491">
        <v>3.83</v>
      </c>
      <c r="T491">
        <v>3</v>
      </c>
    </row>
    <row r="492" spans="1:20" x14ac:dyDescent="0.3">
      <c r="A492">
        <v>491</v>
      </c>
      <c r="B492" t="s">
        <v>65</v>
      </c>
      <c r="C492">
        <v>144</v>
      </c>
      <c r="D492" t="s">
        <v>72</v>
      </c>
      <c r="E492" t="s">
        <v>74</v>
      </c>
      <c r="F492" t="s">
        <v>75</v>
      </c>
      <c r="G492">
        <v>38</v>
      </c>
      <c r="H492">
        <v>105</v>
      </c>
      <c r="I492">
        <v>86</v>
      </c>
      <c r="J492">
        <v>17.850000000000001</v>
      </c>
      <c r="K492">
        <v>121.8</v>
      </c>
      <c r="L492">
        <v>123</v>
      </c>
      <c r="M492">
        <v>10.35</v>
      </c>
      <c r="N492">
        <v>221.5</v>
      </c>
      <c r="O492">
        <v>122</v>
      </c>
      <c r="P492">
        <v>9.9700000000000006</v>
      </c>
      <c r="Q492">
        <v>3.7</v>
      </c>
      <c r="R492">
        <v>4</v>
      </c>
      <c r="S492">
        <v>1</v>
      </c>
      <c r="T492">
        <v>0</v>
      </c>
    </row>
    <row r="493" spans="1:20" x14ac:dyDescent="0.3">
      <c r="A493">
        <v>492</v>
      </c>
      <c r="B493" t="s">
        <v>61</v>
      </c>
      <c r="C493">
        <v>160</v>
      </c>
      <c r="D493" t="s">
        <v>71</v>
      </c>
      <c r="E493" t="s">
        <v>74</v>
      </c>
      <c r="F493" t="s">
        <v>74</v>
      </c>
      <c r="G493">
        <v>0</v>
      </c>
      <c r="H493">
        <v>206.3</v>
      </c>
      <c r="I493">
        <v>66</v>
      </c>
      <c r="J493">
        <v>35.07</v>
      </c>
      <c r="K493">
        <v>241.1</v>
      </c>
      <c r="L493">
        <v>109</v>
      </c>
      <c r="M493">
        <v>20.49</v>
      </c>
      <c r="N493">
        <v>227.8</v>
      </c>
      <c r="O493">
        <v>102</v>
      </c>
      <c r="P493">
        <v>10.25</v>
      </c>
      <c r="Q493">
        <v>11.7</v>
      </c>
      <c r="R493">
        <v>6</v>
      </c>
      <c r="S493">
        <v>3.16</v>
      </c>
      <c r="T493">
        <v>0</v>
      </c>
    </row>
    <row r="494" spans="1:20" x14ac:dyDescent="0.3">
      <c r="A494">
        <v>493</v>
      </c>
      <c r="B494" t="s">
        <v>62</v>
      </c>
      <c r="C494">
        <v>115</v>
      </c>
      <c r="D494" t="s">
        <v>73</v>
      </c>
      <c r="E494" t="s">
        <v>74</v>
      </c>
      <c r="F494" t="s">
        <v>74</v>
      </c>
      <c r="G494">
        <v>0</v>
      </c>
      <c r="H494">
        <v>268</v>
      </c>
      <c r="I494">
        <v>115</v>
      </c>
      <c r="J494">
        <v>45.56</v>
      </c>
      <c r="K494">
        <v>153.6</v>
      </c>
      <c r="L494">
        <v>106</v>
      </c>
      <c r="M494">
        <v>13.06</v>
      </c>
      <c r="N494">
        <v>232.3</v>
      </c>
      <c r="O494">
        <v>65</v>
      </c>
      <c r="P494">
        <v>10.45</v>
      </c>
      <c r="Q494">
        <v>17</v>
      </c>
      <c r="R494">
        <v>1</v>
      </c>
      <c r="S494">
        <v>4.59</v>
      </c>
      <c r="T494">
        <v>3</v>
      </c>
    </row>
    <row r="495" spans="1:20" x14ac:dyDescent="0.3">
      <c r="A495">
        <v>494</v>
      </c>
      <c r="B495" t="s">
        <v>63</v>
      </c>
      <c r="C495">
        <v>130</v>
      </c>
      <c r="D495" t="s">
        <v>72</v>
      </c>
      <c r="E495" t="s">
        <v>74</v>
      </c>
      <c r="F495" t="s">
        <v>74</v>
      </c>
      <c r="G495">
        <v>0</v>
      </c>
      <c r="H495">
        <v>132.4</v>
      </c>
      <c r="I495">
        <v>81</v>
      </c>
      <c r="J495">
        <v>22.51</v>
      </c>
      <c r="K495">
        <v>200.3</v>
      </c>
      <c r="L495">
        <v>110</v>
      </c>
      <c r="M495">
        <v>17.03</v>
      </c>
      <c r="N495">
        <v>202.5</v>
      </c>
      <c r="O495">
        <v>103</v>
      </c>
      <c r="P495">
        <v>9.11</v>
      </c>
      <c r="Q495">
        <v>6</v>
      </c>
      <c r="R495">
        <v>1</v>
      </c>
      <c r="S495">
        <v>1.62</v>
      </c>
      <c r="T495">
        <v>2</v>
      </c>
    </row>
    <row r="496" spans="1:20" x14ac:dyDescent="0.3">
      <c r="A496">
        <v>495</v>
      </c>
      <c r="B496" t="s">
        <v>41</v>
      </c>
      <c r="C496">
        <v>84</v>
      </c>
      <c r="D496" t="s">
        <v>71</v>
      </c>
      <c r="E496" t="s">
        <v>74</v>
      </c>
      <c r="F496" t="s">
        <v>74</v>
      </c>
      <c r="G496">
        <v>0</v>
      </c>
      <c r="H496">
        <v>289.10000000000002</v>
      </c>
      <c r="I496">
        <v>100</v>
      </c>
      <c r="J496">
        <v>49.15</v>
      </c>
      <c r="K496">
        <v>233.8</v>
      </c>
      <c r="L496">
        <v>97</v>
      </c>
      <c r="M496">
        <v>19.87</v>
      </c>
      <c r="N496">
        <v>223.5</v>
      </c>
      <c r="O496">
        <v>148</v>
      </c>
      <c r="P496">
        <v>10.06</v>
      </c>
      <c r="Q496">
        <v>12.7</v>
      </c>
      <c r="R496">
        <v>2</v>
      </c>
      <c r="S496">
        <v>3.43</v>
      </c>
      <c r="T496">
        <v>2</v>
      </c>
    </row>
    <row r="497" spans="1:20" x14ac:dyDescent="0.3">
      <c r="A497">
        <v>496</v>
      </c>
      <c r="B497" t="s">
        <v>35</v>
      </c>
      <c r="C497">
        <v>99</v>
      </c>
      <c r="D497" t="s">
        <v>72</v>
      </c>
      <c r="E497" t="s">
        <v>74</v>
      </c>
      <c r="F497" t="s">
        <v>74</v>
      </c>
      <c r="G497">
        <v>0</v>
      </c>
      <c r="H497">
        <v>238.4</v>
      </c>
      <c r="I497">
        <v>96</v>
      </c>
      <c r="J497">
        <v>40.53</v>
      </c>
      <c r="K497">
        <v>246.5</v>
      </c>
      <c r="L497">
        <v>130</v>
      </c>
      <c r="M497">
        <v>20.95</v>
      </c>
      <c r="N497">
        <v>198.4</v>
      </c>
      <c r="O497">
        <v>117</v>
      </c>
      <c r="P497">
        <v>8.93</v>
      </c>
      <c r="Q497">
        <v>12.4</v>
      </c>
      <c r="R497">
        <v>4</v>
      </c>
      <c r="S497">
        <v>3.35</v>
      </c>
      <c r="T497">
        <v>3</v>
      </c>
    </row>
    <row r="498" spans="1:20" x14ac:dyDescent="0.3">
      <c r="A498">
        <v>497</v>
      </c>
      <c r="B498" t="s">
        <v>61</v>
      </c>
      <c r="C498">
        <v>106</v>
      </c>
      <c r="D498" t="s">
        <v>71</v>
      </c>
      <c r="E498" t="s">
        <v>74</v>
      </c>
      <c r="F498" t="s">
        <v>75</v>
      </c>
      <c r="G498">
        <v>30</v>
      </c>
      <c r="H498">
        <v>220.1</v>
      </c>
      <c r="I498">
        <v>105</v>
      </c>
      <c r="J498">
        <v>37.42</v>
      </c>
      <c r="K498">
        <v>222.2</v>
      </c>
      <c r="L498">
        <v>109</v>
      </c>
      <c r="M498">
        <v>18.89</v>
      </c>
      <c r="N498">
        <v>158.4</v>
      </c>
      <c r="O498">
        <v>96</v>
      </c>
      <c r="P498">
        <v>7.13</v>
      </c>
      <c r="Q498">
        <v>13.1</v>
      </c>
      <c r="R498">
        <v>8</v>
      </c>
      <c r="S498">
        <v>3.54</v>
      </c>
      <c r="T498">
        <v>0</v>
      </c>
    </row>
    <row r="499" spans="1:20" x14ac:dyDescent="0.3">
      <c r="A499">
        <v>498</v>
      </c>
      <c r="B499" t="s">
        <v>69</v>
      </c>
      <c r="C499">
        <v>39</v>
      </c>
      <c r="D499" t="s">
        <v>73</v>
      </c>
      <c r="E499" t="s">
        <v>74</v>
      </c>
      <c r="F499" t="s">
        <v>74</v>
      </c>
      <c r="G499">
        <v>0</v>
      </c>
      <c r="H499">
        <v>187.2</v>
      </c>
      <c r="I499">
        <v>110</v>
      </c>
      <c r="J499">
        <v>31.82</v>
      </c>
      <c r="K499">
        <v>114.7</v>
      </c>
      <c r="L499">
        <v>116</v>
      </c>
      <c r="M499">
        <v>9.75</v>
      </c>
      <c r="N499">
        <v>104.7</v>
      </c>
      <c r="O499">
        <v>83</v>
      </c>
      <c r="P499">
        <v>4.71</v>
      </c>
      <c r="Q499">
        <v>13.2</v>
      </c>
      <c r="R499">
        <v>5</v>
      </c>
      <c r="S499">
        <v>3.56</v>
      </c>
      <c r="T499">
        <v>1</v>
      </c>
    </row>
    <row r="500" spans="1:20" x14ac:dyDescent="0.3">
      <c r="A500">
        <v>499</v>
      </c>
      <c r="B500" t="s">
        <v>51</v>
      </c>
      <c r="C500">
        <v>114</v>
      </c>
      <c r="D500" t="s">
        <v>73</v>
      </c>
      <c r="E500" t="s">
        <v>74</v>
      </c>
      <c r="F500" t="s">
        <v>74</v>
      </c>
      <c r="G500">
        <v>0</v>
      </c>
      <c r="H500">
        <v>203.8</v>
      </c>
      <c r="I500">
        <v>85</v>
      </c>
      <c r="J500">
        <v>34.65</v>
      </c>
      <c r="K500">
        <v>87.8</v>
      </c>
      <c r="L500">
        <v>110</v>
      </c>
      <c r="M500">
        <v>7.46</v>
      </c>
      <c r="N500">
        <v>166.2</v>
      </c>
      <c r="O500">
        <v>122</v>
      </c>
      <c r="P500">
        <v>7.48</v>
      </c>
      <c r="Q500">
        <v>11.7</v>
      </c>
      <c r="R500">
        <v>4</v>
      </c>
      <c r="S500">
        <v>3.16</v>
      </c>
      <c r="T500">
        <v>1</v>
      </c>
    </row>
    <row r="501" spans="1:20" x14ac:dyDescent="0.3">
      <c r="A501">
        <v>500</v>
      </c>
      <c r="B501" t="s">
        <v>37</v>
      </c>
      <c r="C501">
        <v>116</v>
      </c>
      <c r="D501" t="s">
        <v>73</v>
      </c>
      <c r="E501" t="s">
        <v>74</v>
      </c>
      <c r="F501" t="s">
        <v>74</v>
      </c>
      <c r="G501">
        <v>0</v>
      </c>
      <c r="H501">
        <v>51.1</v>
      </c>
      <c r="I501">
        <v>106</v>
      </c>
      <c r="J501">
        <v>8.69</v>
      </c>
      <c r="K501">
        <v>208.6</v>
      </c>
      <c r="L501">
        <v>137</v>
      </c>
      <c r="M501">
        <v>17.73</v>
      </c>
      <c r="N501">
        <v>198</v>
      </c>
      <c r="O501">
        <v>92</v>
      </c>
      <c r="P501">
        <v>8.91</v>
      </c>
      <c r="Q501">
        <v>12.3</v>
      </c>
      <c r="R501">
        <v>3</v>
      </c>
      <c r="S501">
        <v>3.32</v>
      </c>
      <c r="T501">
        <v>1</v>
      </c>
    </row>
    <row r="502" spans="1:20" x14ac:dyDescent="0.3">
      <c r="A502">
        <v>501</v>
      </c>
      <c r="B502" t="s">
        <v>44</v>
      </c>
      <c r="C502">
        <v>52</v>
      </c>
      <c r="D502" t="s">
        <v>71</v>
      </c>
      <c r="E502" t="s">
        <v>74</v>
      </c>
      <c r="F502" t="s">
        <v>74</v>
      </c>
      <c r="G502">
        <v>0</v>
      </c>
      <c r="H502">
        <v>124.9</v>
      </c>
      <c r="I502">
        <v>131</v>
      </c>
      <c r="J502">
        <v>21.23</v>
      </c>
      <c r="K502">
        <v>300.5</v>
      </c>
      <c r="L502">
        <v>118</v>
      </c>
      <c r="M502">
        <v>25.54</v>
      </c>
      <c r="N502">
        <v>192.5</v>
      </c>
      <c r="O502">
        <v>106</v>
      </c>
      <c r="P502">
        <v>8.66</v>
      </c>
      <c r="Q502">
        <v>11.6</v>
      </c>
      <c r="R502">
        <v>4</v>
      </c>
      <c r="S502">
        <v>3.13</v>
      </c>
      <c r="T502">
        <v>2</v>
      </c>
    </row>
    <row r="503" spans="1:20" x14ac:dyDescent="0.3">
      <c r="A503">
        <v>502</v>
      </c>
      <c r="B503" t="s">
        <v>30</v>
      </c>
      <c r="C503">
        <v>89</v>
      </c>
      <c r="D503" t="s">
        <v>71</v>
      </c>
      <c r="E503" t="s">
        <v>74</v>
      </c>
      <c r="F503" t="s">
        <v>74</v>
      </c>
      <c r="G503">
        <v>0</v>
      </c>
      <c r="H503">
        <v>115.4</v>
      </c>
      <c r="I503">
        <v>99</v>
      </c>
      <c r="J503">
        <v>19.62</v>
      </c>
      <c r="K503">
        <v>209.9</v>
      </c>
      <c r="L503">
        <v>115</v>
      </c>
      <c r="M503">
        <v>17.84</v>
      </c>
      <c r="N503">
        <v>280.89999999999998</v>
      </c>
      <c r="O503">
        <v>112</v>
      </c>
      <c r="P503">
        <v>12.64</v>
      </c>
      <c r="Q503">
        <v>15.9</v>
      </c>
      <c r="R503">
        <v>6</v>
      </c>
      <c r="S503">
        <v>4.29</v>
      </c>
      <c r="T503">
        <v>3</v>
      </c>
    </row>
    <row r="504" spans="1:20" x14ac:dyDescent="0.3">
      <c r="A504">
        <v>503</v>
      </c>
      <c r="B504" t="s">
        <v>67</v>
      </c>
      <c r="C504">
        <v>101</v>
      </c>
      <c r="D504" t="s">
        <v>72</v>
      </c>
      <c r="E504" t="s">
        <v>74</v>
      </c>
      <c r="F504" t="s">
        <v>74</v>
      </c>
      <c r="G504">
        <v>0</v>
      </c>
      <c r="H504">
        <v>70.900000000000006</v>
      </c>
      <c r="I504">
        <v>123</v>
      </c>
      <c r="J504">
        <v>12.05</v>
      </c>
      <c r="K504">
        <v>211.9</v>
      </c>
      <c r="L504">
        <v>73</v>
      </c>
      <c r="M504">
        <v>18.010000000000002</v>
      </c>
      <c r="N504">
        <v>236</v>
      </c>
      <c r="O504">
        <v>73</v>
      </c>
      <c r="P504">
        <v>10.62</v>
      </c>
      <c r="Q504">
        <v>10.6</v>
      </c>
      <c r="R504">
        <v>3</v>
      </c>
      <c r="S504">
        <v>2.86</v>
      </c>
      <c r="T504">
        <v>3</v>
      </c>
    </row>
    <row r="505" spans="1:20" x14ac:dyDescent="0.3">
      <c r="A505">
        <v>504</v>
      </c>
      <c r="B505" t="s">
        <v>26</v>
      </c>
      <c r="C505">
        <v>94</v>
      </c>
      <c r="D505" t="s">
        <v>73</v>
      </c>
      <c r="E505" t="s">
        <v>74</v>
      </c>
      <c r="F505" t="s">
        <v>74</v>
      </c>
      <c r="G505">
        <v>0</v>
      </c>
      <c r="H505">
        <v>157.5</v>
      </c>
      <c r="I505">
        <v>97</v>
      </c>
      <c r="J505">
        <v>26.78</v>
      </c>
      <c r="K505">
        <v>224.5</v>
      </c>
      <c r="L505">
        <v>112</v>
      </c>
      <c r="M505">
        <v>19.079999999999998</v>
      </c>
      <c r="N505">
        <v>310.8</v>
      </c>
      <c r="O505">
        <v>106</v>
      </c>
      <c r="P505">
        <v>13.99</v>
      </c>
      <c r="Q505">
        <v>11.1</v>
      </c>
      <c r="R505">
        <v>6</v>
      </c>
      <c r="S505">
        <v>3</v>
      </c>
      <c r="T505">
        <v>0</v>
      </c>
    </row>
    <row r="506" spans="1:20" x14ac:dyDescent="0.3">
      <c r="A506">
        <v>505</v>
      </c>
      <c r="B506" t="s">
        <v>62</v>
      </c>
      <c r="C506">
        <v>113</v>
      </c>
      <c r="D506" t="s">
        <v>72</v>
      </c>
      <c r="E506" t="s">
        <v>74</v>
      </c>
      <c r="F506" t="s">
        <v>75</v>
      </c>
      <c r="G506">
        <v>39</v>
      </c>
      <c r="H506">
        <v>209.8</v>
      </c>
      <c r="I506">
        <v>77</v>
      </c>
      <c r="J506">
        <v>35.67</v>
      </c>
      <c r="K506">
        <v>164.1</v>
      </c>
      <c r="L506">
        <v>90</v>
      </c>
      <c r="M506">
        <v>13.95</v>
      </c>
      <c r="N506">
        <v>159.69999999999999</v>
      </c>
      <c r="O506">
        <v>100</v>
      </c>
      <c r="P506">
        <v>7.19</v>
      </c>
      <c r="Q506">
        <v>9</v>
      </c>
      <c r="R506">
        <v>4</v>
      </c>
      <c r="S506">
        <v>2.4300000000000002</v>
      </c>
      <c r="T506">
        <v>1</v>
      </c>
    </row>
    <row r="507" spans="1:20" x14ac:dyDescent="0.3">
      <c r="A507">
        <v>506</v>
      </c>
      <c r="B507" t="s">
        <v>64</v>
      </c>
      <c r="C507">
        <v>108</v>
      </c>
      <c r="D507" t="s">
        <v>71</v>
      </c>
      <c r="E507" t="s">
        <v>74</v>
      </c>
      <c r="F507" t="s">
        <v>74</v>
      </c>
      <c r="G507">
        <v>0</v>
      </c>
      <c r="H507">
        <v>112.6</v>
      </c>
      <c r="I507">
        <v>86</v>
      </c>
      <c r="J507">
        <v>19.14</v>
      </c>
      <c r="K507">
        <v>114.9</v>
      </c>
      <c r="L507">
        <v>101</v>
      </c>
      <c r="M507">
        <v>9.77</v>
      </c>
      <c r="N507">
        <v>177.8</v>
      </c>
      <c r="O507">
        <v>119</v>
      </c>
      <c r="P507">
        <v>8</v>
      </c>
      <c r="Q507">
        <v>7.2</v>
      </c>
      <c r="R507">
        <v>6</v>
      </c>
      <c r="S507">
        <v>1.94</v>
      </c>
      <c r="T507">
        <v>3</v>
      </c>
    </row>
    <row r="508" spans="1:20" x14ac:dyDescent="0.3">
      <c r="A508">
        <v>507</v>
      </c>
      <c r="B508" t="s">
        <v>45</v>
      </c>
      <c r="C508">
        <v>60</v>
      </c>
      <c r="D508" t="s">
        <v>73</v>
      </c>
      <c r="E508" t="s">
        <v>74</v>
      </c>
      <c r="F508" t="s">
        <v>74</v>
      </c>
      <c r="G508">
        <v>0</v>
      </c>
      <c r="H508">
        <v>207.3</v>
      </c>
      <c r="I508">
        <v>77</v>
      </c>
      <c r="J508">
        <v>35.24</v>
      </c>
      <c r="K508">
        <v>207.9</v>
      </c>
      <c r="L508">
        <v>105</v>
      </c>
      <c r="M508">
        <v>17.670000000000002</v>
      </c>
      <c r="N508">
        <v>108.2</v>
      </c>
      <c r="O508">
        <v>89</v>
      </c>
      <c r="P508">
        <v>4.87</v>
      </c>
      <c r="Q508">
        <v>12.9</v>
      </c>
      <c r="R508">
        <v>5</v>
      </c>
      <c r="S508">
        <v>3.48</v>
      </c>
      <c r="T508">
        <v>1</v>
      </c>
    </row>
    <row r="509" spans="1:20" x14ac:dyDescent="0.3">
      <c r="A509">
        <v>508</v>
      </c>
      <c r="B509" t="s">
        <v>68</v>
      </c>
      <c r="C509">
        <v>111</v>
      </c>
      <c r="D509" t="s">
        <v>71</v>
      </c>
      <c r="E509" t="s">
        <v>74</v>
      </c>
      <c r="F509" t="s">
        <v>75</v>
      </c>
      <c r="G509">
        <v>35</v>
      </c>
      <c r="H509">
        <v>161.19999999999999</v>
      </c>
      <c r="I509">
        <v>142</v>
      </c>
      <c r="J509">
        <v>27.4</v>
      </c>
      <c r="K509">
        <v>159.1</v>
      </c>
      <c r="L509">
        <v>104</v>
      </c>
      <c r="M509">
        <v>13.52</v>
      </c>
      <c r="N509">
        <v>167.9</v>
      </c>
      <c r="O509">
        <v>98</v>
      </c>
      <c r="P509">
        <v>7.56</v>
      </c>
      <c r="Q509">
        <v>14.7</v>
      </c>
      <c r="R509">
        <v>5</v>
      </c>
      <c r="S509">
        <v>3.97</v>
      </c>
      <c r="T509">
        <v>1</v>
      </c>
    </row>
    <row r="510" spans="1:20" x14ac:dyDescent="0.3">
      <c r="A510">
        <v>509</v>
      </c>
      <c r="B510" t="s">
        <v>45</v>
      </c>
      <c r="C510">
        <v>42</v>
      </c>
      <c r="D510" t="s">
        <v>71</v>
      </c>
      <c r="E510" t="s">
        <v>74</v>
      </c>
      <c r="F510" t="s">
        <v>75</v>
      </c>
      <c r="G510">
        <v>31</v>
      </c>
      <c r="H510">
        <v>170.8</v>
      </c>
      <c r="I510">
        <v>101</v>
      </c>
      <c r="J510">
        <v>29.04</v>
      </c>
      <c r="K510">
        <v>233.4</v>
      </c>
      <c r="L510">
        <v>104</v>
      </c>
      <c r="M510">
        <v>19.84</v>
      </c>
      <c r="N510">
        <v>174.2</v>
      </c>
      <c r="O510">
        <v>121</v>
      </c>
      <c r="P510">
        <v>7.84</v>
      </c>
      <c r="Q510">
        <v>11</v>
      </c>
      <c r="R510">
        <v>3</v>
      </c>
      <c r="S510">
        <v>2.97</v>
      </c>
      <c r="T510">
        <v>2</v>
      </c>
    </row>
    <row r="511" spans="1:20" x14ac:dyDescent="0.3">
      <c r="A511">
        <v>510</v>
      </c>
      <c r="B511" t="s">
        <v>30</v>
      </c>
      <c r="C511">
        <v>60</v>
      </c>
      <c r="D511" t="s">
        <v>72</v>
      </c>
      <c r="E511" t="s">
        <v>75</v>
      </c>
      <c r="F511" t="s">
        <v>75</v>
      </c>
      <c r="G511">
        <v>37</v>
      </c>
      <c r="H511">
        <v>189.9</v>
      </c>
      <c r="I511">
        <v>125</v>
      </c>
      <c r="J511">
        <v>32.28</v>
      </c>
      <c r="K511">
        <v>110.4</v>
      </c>
      <c r="L511">
        <v>107</v>
      </c>
      <c r="M511">
        <v>9.3800000000000008</v>
      </c>
      <c r="N511">
        <v>210.7</v>
      </c>
      <c r="O511">
        <v>115</v>
      </c>
      <c r="P511">
        <v>9.48</v>
      </c>
      <c r="Q511">
        <v>9.1</v>
      </c>
      <c r="R511">
        <v>5</v>
      </c>
      <c r="S511">
        <v>2.46</v>
      </c>
      <c r="T511">
        <v>3</v>
      </c>
    </row>
    <row r="512" spans="1:20" x14ac:dyDescent="0.3">
      <c r="A512">
        <v>511</v>
      </c>
      <c r="B512" t="s">
        <v>23</v>
      </c>
      <c r="C512">
        <v>178</v>
      </c>
      <c r="D512" t="s">
        <v>72</v>
      </c>
      <c r="E512" t="s">
        <v>74</v>
      </c>
      <c r="F512" t="s">
        <v>74</v>
      </c>
      <c r="G512">
        <v>0</v>
      </c>
      <c r="H512">
        <v>179.7</v>
      </c>
      <c r="I512">
        <v>112</v>
      </c>
      <c r="J512">
        <v>30.55</v>
      </c>
      <c r="K512">
        <v>276.60000000000002</v>
      </c>
      <c r="L512">
        <v>91</v>
      </c>
      <c r="M512">
        <v>23.51</v>
      </c>
      <c r="N512">
        <v>169.7</v>
      </c>
      <c r="O512">
        <v>101</v>
      </c>
      <c r="P512">
        <v>7.64</v>
      </c>
      <c r="Q512">
        <v>10.1</v>
      </c>
      <c r="R512">
        <v>7</v>
      </c>
      <c r="S512">
        <v>2.73</v>
      </c>
      <c r="T512">
        <v>3</v>
      </c>
    </row>
    <row r="513" spans="1:20" x14ac:dyDescent="0.3">
      <c r="A513">
        <v>512</v>
      </c>
      <c r="B513" t="s">
        <v>23</v>
      </c>
      <c r="C513">
        <v>77</v>
      </c>
      <c r="D513" t="s">
        <v>73</v>
      </c>
      <c r="E513" t="s">
        <v>74</v>
      </c>
      <c r="F513" t="s">
        <v>75</v>
      </c>
      <c r="G513">
        <v>36</v>
      </c>
      <c r="H513">
        <v>172.2</v>
      </c>
      <c r="I513">
        <v>88</v>
      </c>
      <c r="J513">
        <v>29.27</v>
      </c>
      <c r="K513">
        <v>161.6</v>
      </c>
      <c r="L513">
        <v>112</v>
      </c>
      <c r="M513">
        <v>13.74</v>
      </c>
      <c r="N513">
        <v>259.7</v>
      </c>
      <c r="O513">
        <v>115</v>
      </c>
      <c r="P513">
        <v>11.69</v>
      </c>
      <c r="Q513">
        <v>11.8</v>
      </c>
      <c r="R513">
        <v>4</v>
      </c>
      <c r="S513">
        <v>3.19</v>
      </c>
      <c r="T513">
        <v>2</v>
      </c>
    </row>
    <row r="514" spans="1:20" x14ac:dyDescent="0.3">
      <c r="A514">
        <v>513</v>
      </c>
      <c r="B514" t="s">
        <v>34</v>
      </c>
      <c r="C514">
        <v>73</v>
      </c>
      <c r="D514" t="s">
        <v>73</v>
      </c>
      <c r="E514" t="s">
        <v>74</v>
      </c>
      <c r="F514" t="s">
        <v>74</v>
      </c>
      <c r="G514">
        <v>0</v>
      </c>
      <c r="H514">
        <v>195.3</v>
      </c>
      <c r="I514">
        <v>97</v>
      </c>
      <c r="J514">
        <v>33.200000000000003</v>
      </c>
      <c r="K514">
        <v>96.8</v>
      </c>
      <c r="L514">
        <v>89</v>
      </c>
      <c r="M514">
        <v>8.23</v>
      </c>
      <c r="N514">
        <v>243.1</v>
      </c>
      <c r="O514">
        <v>84</v>
      </c>
      <c r="P514">
        <v>10.94</v>
      </c>
      <c r="Q514">
        <v>16.2</v>
      </c>
      <c r="R514">
        <v>13</v>
      </c>
      <c r="S514">
        <v>4.37</v>
      </c>
      <c r="T514">
        <v>1</v>
      </c>
    </row>
    <row r="515" spans="1:20" x14ac:dyDescent="0.3">
      <c r="A515">
        <v>514</v>
      </c>
      <c r="B515" t="s">
        <v>49</v>
      </c>
      <c r="C515">
        <v>106</v>
      </c>
      <c r="D515" t="s">
        <v>73</v>
      </c>
      <c r="E515" t="s">
        <v>74</v>
      </c>
      <c r="F515" t="s">
        <v>75</v>
      </c>
      <c r="G515">
        <v>22</v>
      </c>
      <c r="H515">
        <v>218.6</v>
      </c>
      <c r="I515">
        <v>83</v>
      </c>
      <c r="J515">
        <v>37.159999999999997</v>
      </c>
      <c r="K515">
        <v>244.4</v>
      </c>
      <c r="L515">
        <v>70</v>
      </c>
      <c r="M515">
        <v>20.77</v>
      </c>
      <c r="N515">
        <v>132.4</v>
      </c>
      <c r="O515">
        <v>99</v>
      </c>
      <c r="P515">
        <v>5.96</v>
      </c>
      <c r="Q515">
        <v>9.1</v>
      </c>
      <c r="R515">
        <v>6</v>
      </c>
      <c r="S515">
        <v>2.46</v>
      </c>
      <c r="T515">
        <v>1</v>
      </c>
    </row>
    <row r="516" spans="1:20" x14ac:dyDescent="0.3">
      <c r="A516">
        <v>515</v>
      </c>
      <c r="B516" t="s">
        <v>59</v>
      </c>
      <c r="C516">
        <v>57</v>
      </c>
      <c r="D516" t="s">
        <v>72</v>
      </c>
      <c r="E516" t="s">
        <v>74</v>
      </c>
      <c r="F516" t="s">
        <v>74</v>
      </c>
      <c r="G516">
        <v>0</v>
      </c>
      <c r="H516">
        <v>155.19999999999999</v>
      </c>
      <c r="I516">
        <v>99</v>
      </c>
      <c r="J516">
        <v>26.38</v>
      </c>
      <c r="K516">
        <v>214.1</v>
      </c>
      <c r="L516">
        <v>98</v>
      </c>
      <c r="M516">
        <v>18.2</v>
      </c>
      <c r="N516">
        <v>241</v>
      </c>
      <c r="O516">
        <v>64</v>
      </c>
      <c r="P516">
        <v>10.85</v>
      </c>
      <c r="Q516">
        <v>7.5</v>
      </c>
      <c r="R516">
        <v>7</v>
      </c>
      <c r="S516">
        <v>2.0299999999999998</v>
      </c>
      <c r="T516">
        <v>1</v>
      </c>
    </row>
    <row r="517" spans="1:20" x14ac:dyDescent="0.3">
      <c r="A517">
        <v>516</v>
      </c>
      <c r="B517" t="s">
        <v>21</v>
      </c>
      <c r="C517">
        <v>117</v>
      </c>
      <c r="D517" t="s">
        <v>71</v>
      </c>
      <c r="E517" t="s">
        <v>74</v>
      </c>
      <c r="F517" t="s">
        <v>74</v>
      </c>
      <c r="G517">
        <v>0</v>
      </c>
      <c r="H517">
        <v>198.5</v>
      </c>
      <c r="I517">
        <v>75</v>
      </c>
      <c r="J517">
        <v>33.75</v>
      </c>
      <c r="K517">
        <v>179.8</v>
      </c>
      <c r="L517">
        <v>92</v>
      </c>
      <c r="M517">
        <v>15.28</v>
      </c>
      <c r="N517">
        <v>234.1</v>
      </c>
      <c r="O517">
        <v>119</v>
      </c>
      <c r="P517">
        <v>10.53</v>
      </c>
      <c r="Q517">
        <v>10.6</v>
      </c>
      <c r="R517">
        <v>6</v>
      </c>
      <c r="S517">
        <v>2.86</v>
      </c>
      <c r="T517">
        <v>0</v>
      </c>
    </row>
    <row r="518" spans="1:20" x14ac:dyDescent="0.3">
      <c r="A518">
        <v>517</v>
      </c>
      <c r="B518" t="s">
        <v>21</v>
      </c>
      <c r="C518">
        <v>132</v>
      </c>
      <c r="D518" t="s">
        <v>71</v>
      </c>
      <c r="E518" t="s">
        <v>74</v>
      </c>
      <c r="F518" t="s">
        <v>74</v>
      </c>
      <c r="G518">
        <v>0</v>
      </c>
      <c r="H518">
        <v>200</v>
      </c>
      <c r="I518">
        <v>104</v>
      </c>
      <c r="J518">
        <v>34</v>
      </c>
      <c r="K518">
        <v>149.6</v>
      </c>
      <c r="L518">
        <v>101</v>
      </c>
      <c r="M518">
        <v>12.72</v>
      </c>
      <c r="N518">
        <v>137.1</v>
      </c>
      <c r="O518">
        <v>110</v>
      </c>
      <c r="P518">
        <v>6.17</v>
      </c>
      <c r="Q518">
        <v>18.899999999999999</v>
      </c>
      <c r="R518">
        <v>2</v>
      </c>
      <c r="S518">
        <v>5.0999999999999996</v>
      </c>
      <c r="T518">
        <v>1</v>
      </c>
    </row>
    <row r="519" spans="1:20" x14ac:dyDescent="0.3">
      <c r="A519">
        <v>518</v>
      </c>
      <c r="B519" t="s">
        <v>28</v>
      </c>
      <c r="C519">
        <v>113</v>
      </c>
      <c r="D519" t="s">
        <v>73</v>
      </c>
      <c r="E519" t="s">
        <v>75</v>
      </c>
      <c r="F519" t="s">
        <v>74</v>
      </c>
      <c r="G519">
        <v>0</v>
      </c>
      <c r="H519">
        <v>122.4</v>
      </c>
      <c r="I519">
        <v>98</v>
      </c>
      <c r="J519">
        <v>20.81</v>
      </c>
      <c r="K519">
        <v>223.8</v>
      </c>
      <c r="L519">
        <v>116</v>
      </c>
      <c r="M519">
        <v>19.02</v>
      </c>
      <c r="N519">
        <v>267.5</v>
      </c>
      <c r="O519">
        <v>148</v>
      </c>
      <c r="P519">
        <v>12.04</v>
      </c>
      <c r="Q519">
        <v>11.6</v>
      </c>
      <c r="R519">
        <v>5</v>
      </c>
      <c r="S519">
        <v>3.13</v>
      </c>
      <c r="T519">
        <v>3</v>
      </c>
    </row>
    <row r="520" spans="1:20" x14ac:dyDescent="0.3">
      <c r="A520">
        <v>519</v>
      </c>
      <c r="B520" t="s">
        <v>64</v>
      </c>
      <c r="C520">
        <v>128</v>
      </c>
      <c r="D520" t="s">
        <v>73</v>
      </c>
      <c r="E520" t="s">
        <v>74</v>
      </c>
      <c r="F520" t="s">
        <v>74</v>
      </c>
      <c r="G520">
        <v>0</v>
      </c>
      <c r="H520">
        <v>102.5</v>
      </c>
      <c r="I520">
        <v>87</v>
      </c>
      <c r="J520">
        <v>17.43</v>
      </c>
      <c r="K520">
        <v>177.2</v>
      </c>
      <c r="L520">
        <v>97</v>
      </c>
      <c r="M520">
        <v>15.06</v>
      </c>
      <c r="N520">
        <v>226</v>
      </c>
      <c r="O520">
        <v>119</v>
      </c>
      <c r="P520">
        <v>10.17</v>
      </c>
      <c r="Q520">
        <v>8.6999999999999993</v>
      </c>
      <c r="R520">
        <v>5</v>
      </c>
      <c r="S520">
        <v>2.35</v>
      </c>
      <c r="T520">
        <v>1</v>
      </c>
    </row>
    <row r="521" spans="1:20" x14ac:dyDescent="0.3">
      <c r="A521">
        <v>520</v>
      </c>
      <c r="B521" t="s">
        <v>43</v>
      </c>
      <c r="C521">
        <v>84</v>
      </c>
      <c r="D521" t="s">
        <v>71</v>
      </c>
      <c r="E521" t="s">
        <v>74</v>
      </c>
      <c r="F521" t="s">
        <v>74</v>
      </c>
      <c r="G521">
        <v>0</v>
      </c>
      <c r="H521">
        <v>274.10000000000002</v>
      </c>
      <c r="I521">
        <v>119</v>
      </c>
      <c r="J521">
        <v>46.6</v>
      </c>
      <c r="K521">
        <v>144.1</v>
      </c>
      <c r="L521">
        <v>123</v>
      </c>
      <c r="M521">
        <v>12.25</v>
      </c>
      <c r="N521">
        <v>268.2</v>
      </c>
      <c r="O521">
        <v>100</v>
      </c>
      <c r="P521">
        <v>12.07</v>
      </c>
      <c r="Q521">
        <v>9.9</v>
      </c>
      <c r="R521">
        <v>5</v>
      </c>
      <c r="S521">
        <v>2.67</v>
      </c>
      <c r="T521">
        <v>2</v>
      </c>
    </row>
    <row r="522" spans="1:20" x14ac:dyDescent="0.3">
      <c r="A522">
        <v>521</v>
      </c>
      <c r="B522" t="s">
        <v>26</v>
      </c>
      <c r="C522">
        <v>92</v>
      </c>
      <c r="D522" t="s">
        <v>72</v>
      </c>
      <c r="E522" t="s">
        <v>74</v>
      </c>
      <c r="F522" t="s">
        <v>74</v>
      </c>
      <c r="G522">
        <v>0</v>
      </c>
      <c r="H522">
        <v>87.6</v>
      </c>
      <c r="I522">
        <v>89</v>
      </c>
      <c r="J522">
        <v>14.89</v>
      </c>
      <c r="K522">
        <v>172.3</v>
      </c>
      <c r="L522">
        <v>133</v>
      </c>
      <c r="M522">
        <v>14.65</v>
      </c>
      <c r="N522">
        <v>153.4</v>
      </c>
      <c r="O522">
        <v>88</v>
      </c>
      <c r="P522">
        <v>6.9</v>
      </c>
      <c r="Q522">
        <v>8</v>
      </c>
      <c r="R522">
        <v>4</v>
      </c>
      <c r="S522">
        <v>2.16</v>
      </c>
      <c r="T522">
        <v>1</v>
      </c>
    </row>
    <row r="523" spans="1:20" x14ac:dyDescent="0.3">
      <c r="A523">
        <v>522</v>
      </c>
      <c r="B523" t="s">
        <v>39</v>
      </c>
      <c r="C523">
        <v>119</v>
      </c>
      <c r="D523" t="s">
        <v>71</v>
      </c>
      <c r="E523" t="s">
        <v>74</v>
      </c>
      <c r="F523" t="s">
        <v>75</v>
      </c>
      <c r="G523">
        <v>37</v>
      </c>
      <c r="H523">
        <v>168.2</v>
      </c>
      <c r="I523">
        <v>81</v>
      </c>
      <c r="J523">
        <v>28.59</v>
      </c>
      <c r="K523">
        <v>283.3</v>
      </c>
      <c r="L523">
        <v>105</v>
      </c>
      <c r="M523">
        <v>24.08</v>
      </c>
      <c r="N523">
        <v>243.8</v>
      </c>
      <c r="O523">
        <v>136</v>
      </c>
      <c r="P523">
        <v>10.97</v>
      </c>
      <c r="Q523">
        <v>10.7</v>
      </c>
      <c r="R523">
        <v>3</v>
      </c>
      <c r="S523">
        <v>2.89</v>
      </c>
      <c r="T523">
        <v>1</v>
      </c>
    </row>
    <row r="524" spans="1:20" x14ac:dyDescent="0.3">
      <c r="A524">
        <v>523</v>
      </c>
      <c r="B524" t="s">
        <v>66</v>
      </c>
      <c r="C524">
        <v>118</v>
      </c>
      <c r="D524" t="s">
        <v>71</v>
      </c>
      <c r="E524" t="s">
        <v>74</v>
      </c>
      <c r="F524" t="s">
        <v>74</v>
      </c>
      <c r="G524">
        <v>0</v>
      </c>
      <c r="H524">
        <v>256.5</v>
      </c>
      <c r="I524">
        <v>115</v>
      </c>
      <c r="J524">
        <v>43.61</v>
      </c>
      <c r="K524">
        <v>135.30000000000001</v>
      </c>
      <c r="L524">
        <v>79</v>
      </c>
      <c r="M524">
        <v>11.5</v>
      </c>
      <c r="N524">
        <v>208.3</v>
      </c>
      <c r="O524">
        <v>131</v>
      </c>
      <c r="P524">
        <v>9.3699999999999992</v>
      </c>
      <c r="Q524">
        <v>7.5</v>
      </c>
      <c r="R524">
        <v>5</v>
      </c>
      <c r="S524">
        <v>2.0299999999999998</v>
      </c>
      <c r="T524">
        <v>0</v>
      </c>
    </row>
    <row r="525" spans="1:20" x14ac:dyDescent="0.3">
      <c r="A525">
        <v>524</v>
      </c>
      <c r="B525" t="s">
        <v>36</v>
      </c>
      <c r="C525">
        <v>117</v>
      </c>
      <c r="D525" t="s">
        <v>73</v>
      </c>
      <c r="E525" t="s">
        <v>74</v>
      </c>
      <c r="F525" t="s">
        <v>74</v>
      </c>
      <c r="G525">
        <v>0</v>
      </c>
      <c r="H525">
        <v>240.2</v>
      </c>
      <c r="I525">
        <v>110</v>
      </c>
      <c r="J525">
        <v>40.83</v>
      </c>
      <c r="K525">
        <v>187.9</v>
      </c>
      <c r="L525">
        <v>65</v>
      </c>
      <c r="M525">
        <v>15.97</v>
      </c>
      <c r="N525">
        <v>152.69999999999999</v>
      </c>
      <c r="O525">
        <v>102</v>
      </c>
      <c r="P525">
        <v>6.87</v>
      </c>
      <c r="Q525">
        <v>7</v>
      </c>
      <c r="R525">
        <v>19</v>
      </c>
      <c r="S525">
        <v>1.89</v>
      </c>
      <c r="T525">
        <v>3</v>
      </c>
    </row>
    <row r="526" spans="1:20" x14ac:dyDescent="0.3">
      <c r="A526">
        <v>525</v>
      </c>
      <c r="B526" t="s">
        <v>57</v>
      </c>
      <c r="C526">
        <v>57</v>
      </c>
      <c r="D526" t="s">
        <v>71</v>
      </c>
      <c r="E526" t="s">
        <v>74</v>
      </c>
      <c r="F526" t="s">
        <v>74</v>
      </c>
      <c r="G526">
        <v>0</v>
      </c>
      <c r="H526">
        <v>234.4</v>
      </c>
      <c r="I526">
        <v>120</v>
      </c>
      <c r="J526">
        <v>39.85</v>
      </c>
      <c r="K526">
        <v>155.30000000000001</v>
      </c>
      <c r="L526">
        <v>120</v>
      </c>
      <c r="M526">
        <v>13.2</v>
      </c>
      <c r="N526">
        <v>130.5</v>
      </c>
      <c r="O526">
        <v>103</v>
      </c>
      <c r="P526">
        <v>5.87</v>
      </c>
      <c r="Q526">
        <v>9.4</v>
      </c>
      <c r="R526">
        <v>4</v>
      </c>
      <c r="S526">
        <v>2.54</v>
      </c>
      <c r="T526">
        <v>1</v>
      </c>
    </row>
    <row r="527" spans="1:20" x14ac:dyDescent="0.3">
      <c r="A527">
        <v>526</v>
      </c>
      <c r="B527" t="s">
        <v>23</v>
      </c>
      <c r="C527">
        <v>33</v>
      </c>
      <c r="D527" t="s">
        <v>73</v>
      </c>
      <c r="E527" t="s">
        <v>74</v>
      </c>
      <c r="F527" t="s">
        <v>75</v>
      </c>
      <c r="G527">
        <v>33</v>
      </c>
      <c r="H527">
        <v>221.4</v>
      </c>
      <c r="I527">
        <v>110</v>
      </c>
      <c r="J527">
        <v>37.64</v>
      </c>
      <c r="K527">
        <v>276.10000000000002</v>
      </c>
      <c r="L527">
        <v>86</v>
      </c>
      <c r="M527">
        <v>23.47</v>
      </c>
      <c r="N527">
        <v>222.9</v>
      </c>
      <c r="O527">
        <v>102</v>
      </c>
      <c r="P527">
        <v>10.029999999999999</v>
      </c>
      <c r="Q527">
        <v>10.1</v>
      </c>
      <c r="R527">
        <v>4</v>
      </c>
      <c r="S527">
        <v>2.73</v>
      </c>
      <c r="T527">
        <v>1</v>
      </c>
    </row>
    <row r="528" spans="1:20" x14ac:dyDescent="0.3">
      <c r="A528">
        <v>527</v>
      </c>
      <c r="B528" t="s">
        <v>66</v>
      </c>
      <c r="C528">
        <v>110</v>
      </c>
      <c r="D528" t="s">
        <v>71</v>
      </c>
      <c r="E528" t="s">
        <v>75</v>
      </c>
      <c r="F528" t="s">
        <v>74</v>
      </c>
      <c r="G528">
        <v>0</v>
      </c>
      <c r="H528">
        <v>135.1</v>
      </c>
      <c r="I528">
        <v>99</v>
      </c>
      <c r="J528">
        <v>22.97</v>
      </c>
      <c r="K528">
        <v>227.3</v>
      </c>
      <c r="L528">
        <v>123</v>
      </c>
      <c r="M528">
        <v>19.32</v>
      </c>
      <c r="N528">
        <v>176</v>
      </c>
      <c r="O528">
        <v>110</v>
      </c>
      <c r="P528">
        <v>7.92</v>
      </c>
      <c r="Q528">
        <v>13.2</v>
      </c>
      <c r="R528">
        <v>4</v>
      </c>
      <c r="S528">
        <v>3.56</v>
      </c>
      <c r="T528">
        <v>1</v>
      </c>
    </row>
    <row r="529" spans="1:20" x14ac:dyDescent="0.3">
      <c r="A529">
        <v>528</v>
      </c>
      <c r="B529" t="s">
        <v>46</v>
      </c>
      <c r="C529">
        <v>145</v>
      </c>
      <c r="D529" t="s">
        <v>71</v>
      </c>
      <c r="E529" t="s">
        <v>74</v>
      </c>
      <c r="F529" t="s">
        <v>74</v>
      </c>
      <c r="G529">
        <v>0</v>
      </c>
      <c r="H529">
        <v>170.5</v>
      </c>
      <c r="I529">
        <v>101</v>
      </c>
      <c r="J529">
        <v>28.99</v>
      </c>
      <c r="K529">
        <v>206.5</v>
      </c>
      <c r="L529">
        <v>112</v>
      </c>
      <c r="M529">
        <v>17.55</v>
      </c>
      <c r="N529">
        <v>194.3</v>
      </c>
      <c r="O529">
        <v>106</v>
      </c>
      <c r="P529">
        <v>8.74</v>
      </c>
      <c r="Q529">
        <v>9.8000000000000007</v>
      </c>
      <c r="R529">
        <v>1</v>
      </c>
      <c r="S529">
        <v>2.65</v>
      </c>
      <c r="T529">
        <v>3</v>
      </c>
    </row>
    <row r="530" spans="1:20" x14ac:dyDescent="0.3">
      <c r="A530">
        <v>529</v>
      </c>
      <c r="B530" t="s">
        <v>65</v>
      </c>
      <c r="C530">
        <v>113</v>
      </c>
      <c r="D530" t="s">
        <v>72</v>
      </c>
      <c r="E530" t="s">
        <v>74</v>
      </c>
      <c r="F530" t="s">
        <v>75</v>
      </c>
      <c r="G530">
        <v>28</v>
      </c>
      <c r="H530">
        <v>264.39999999999998</v>
      </c>
      <c r="I530">
        <v>93</v>
      </c>
      <c r="J530">
        <v>44.95</v>
      </c>
      <c r="K530">
        <v>222.8</v>
      </c>
      <c r="L530">
        <v>79</v>
      </c>
      <c r="M530">
        <v>18.940000000000001</v>
      </c>
      <c r="N530">
        <v>213.7</v>
      </c>
      <c r="O530">
        <v>88</v>
      </c>
      <c r="P530">
        <v>9.6199999999999992</v>
      </c>
      <c r="Q530">
        <v>10</v>
      </c>
      <c r="R530">
        <v>4</v>
      </c>
      <c r="S530">
        <v>2.7</v>
      </c>
      <c r="T530">
        <v>1</v>
      </c>
    </row>
    <row r="531" spans="1:20" x14ac:dyDescent="0.3">
      <c r="A531">
        <v>530</v>
      </c>
      <c r="B531" t="s">
        <v>63</v>
      </c>
      <c r="C531">
        <v>170</v>
      </c>
      <c r="D531" t="s">
        <v>73</v>
      </c>
      <c r="E531" t="s">
        <v>74</v>
      </c>
      <c r="F531" t="s">
        <v>75</v>
      </c>
      <c r="G531">
        <v>34</v>
      </c>
      <c r="H531">
        <v>125.3</v>
      </c>
      <c r="I531">
        <v>128</v>
      </c>
      <c r="J531">
        <v>21.3</v>
      </c>
      <c r="K531">
        <v>240.6</v>
      </c>
      <c r="L531">
        <v>104</v>
      </c>
      <c r="M531">
        <v>20.45</v>
      </c>
      <c r="N531">
        <v>243.4</v>
      </c>
      <c r="O531">
        <v>109</v>
      </c>
      <c r="P531">
        <v>10.95</v>
      </c>
      <c r="Q531">
        <v>7</v>
      </c>
      <c r="R531">
        <v>3</v>
      </c>
      <c r="S531">
        <v>1.89</v>
      </c>
      <c r="T531">
        <v>3</v>
      </c>
    </row>
    <row r="532" spans="1:20" x14ac:dyDescent="0.3">
      <c r="A532">
        <v>531</v>
      </c>
      <c r="B532" t="s">
        <v>54</v>
      </c>
      <c r="C532">
        <v>101</v>
      </c>
      <c r="D532" t="s">
        <v>71</v>
      </c>
      <c r="E532" t="s">
        <v>74</v>
      </c>
      <c r="F532" t="s">
        <v>74</v>
      </c>
      <c r="G532">
        <v>0</v>
      </c>
      <c r="H532">
        <v>164.6</v>
      </c>
      <c r="I532">
        <v>85</v>
      </c>
      <c r="J532">
        <v>27.98</v>
      </c>
      <c r="K532">
        <v>204.9</v>
      </c>
      <c r="L532">
        <v>72</v>
      </c>
      <c r="M532">
        <v>17.420000000000002</v>
      </c>
      <c r="N532">
        <v>136.4</v>
      </c>
      <c r="O532">
        <v>104</v>
      </c>
      <c r="P532">
        <v>6.14</v>
      </c>
      <c r="Q532">
        <v>11.5</v>
      </c>
      <c r="R532">
        <v>5</v>
      </c>
      <c r="S532">
        <v>3.11</v>
      </c>
      <c r="T532">
        <v>0</v>
      </c>
    </row>
    <row r="533" spans="1:20" x14ac:dyDescent="0.3">
      <c r="A533">
        <v>532</v>
      </c>
      <c r="B533" t="s">
        <v>27</v>
      </c>
      <c r="C533">
        <v>96</v>
      </c>
      <c r="D533" t="s">
        <v>73</v>
      </c>
      <c r="E533" t="s">
        <v>74</v>
      </c>
      <c r="F533" t="s">
        <v>75</v>
      </c>
      <c r="G533">
        <v>26</v>
      </c>
      <c r="H533">
        <v>126.5</v>
      </c>
      <c r="I533">
        <v>108</v>
      </c>
      <c r="J533">
        <v>21.51</v>
      </c>
      <c r="K533">
        <v>123.8</v>
      </c>
      <c r="L533">
        <v>114</v>
      </c>
      <c r="M533">
        <v>10.52</v>
      </c>
      <c r="N533">
        <v>308.5</v>
      </c>
      <c r="O533">
        <v>98</v>
      </c>
      <c r="P533">
        <v>13.88</v>
      </c>
      <c r="Q533">
        <v>13.1</v>
      </c>
      <c r="R533">
        <v>6</v>
      </c>
      <c r="S533">
        <v>3.54</v>
      </c>
      <c r="T533">
        <v>2</v>
      </c>
    </row>
    <row r="534" spans="1:20" x14ac:dyDescent="0.3">
      <c r="A534">
        <v>533</v>
      </c>
      <c r="B534" t="s">
        <v>20</v>
      </c>
      <c r="C534">
        <v>131</v>
      </c>
      <c r="D534" t="s">
        <v>72</v>
      </c>
      <c r="E534" t="s">
        <v>74</v>
      </c>
      <c r="F534" t="s">
        <v>74</v>
      </c>
      <c r="G534">
        <v>0</v>
      </c>
      <c r="H534">
        <v>195.6</v>
      </c>
      <c r="I534">
        <v>93</v>
      </c>
      <c r="J534">
        <v>33.25</v>
      </c>
      <c r="K534">
        <v>245</v>
      </c>
      <c r="L534">
        <v>100</v>
      </c>
      <c r="M534">
        <v>20.83</v>
      </c>
      <c r="N534">
        <v>104.7</v>
      </c>
      <c r="O534">
        <v>97</v>
      </c>
      <c r="P534">
        <v>4.71</v>
      </c>
      <c r="Q534">
        <v>13.2</v>
      </c>
      <c r="R534">
        <v>6</v>
      </c>
      <c r="S534">
        <v>3.56</v>
      </c>
      <c r="T534">
        <v>2</v>
      </c>
    </row>
    <row r="535" spans="1:20" x14ac:dyDescent="0.3">
      <c r="A535">
        <v>534</v>
      </c>
      <c r="B535" t="s">
        <v>48</v>
      </c>
      <c r="C535">
        <v>130</v>
      </c>
      <c r="D535" t="s">
        <v>72</v>
      </c>
      <c r="E535" t="s">
        <v>74</v>
      </c>
      <c r="F535" t="s">
        <v>75</v>
      </c>
      <c r="G535">
        <v>22</v>
      </c>
      <c r="H535">
        <v>173.9</v>
      </c>
      <c r="I535">
        <v>90</v>
      </c>
      <c r="J535">
        <v>29.56</v>
      </c>
      <c r="K535">
        <v>234.8</v>
      </c>
      <c r="L535">
        <v>86</v>
      </c>
      <c r="M535">
        <v>19.96</v>
      </c>
      <c r="N535">
        <v>121.8</v>
      </c>
      <c r="O535">
        <v>79</v>
      </c>
      <c r="P535">
        <v>5.48</v>
      </c>
      <c r="Q535">
        <v>8.4</v>
      </c>
      <c r="R535">
        <v>5</v>
      </c>
      <c r="S535">
        <v>2.27</v>
      </c>
      <c r="T535">
        <v>1</v>
      </c>
    </row>
    <row r="536" spans="1:20" x14ac:dyDescent="0.3">
      <c r="A536">
        <v>535</v>
      </c>
      <c r="B536" t="s">
        <v>28</v>
      </c>
      <c r="C536">
        <v>143</v>
      </c>
      <c r="D536" t="s">
        <v>73</v>
      </c>
      <c r="E536" t="s">
        <v>75</v>
      </c>
      <c r="F536" t="s">
        <v>74</v>
      </c>
      <c r="G536">
        <v>0</v>
      </c>
      <c r="H536">
        <v>186.9</v>
      </c>
      <c r="I536">
        <v>98</v>
      </c>
      <c r="J536">
        <v>31.77</v>
      </c>
      <c r="K536">
        <v>196.5</v>
      </c>
      <c r="L536">
        <v>110</v>
      </c>
      <c r="M536">
        <v>16.7</v>
      </c>
      <c r="N536">
        <v>215.3</v>
      </c>
      <c r="O536">
        <v>104</v>
      </c>
      <c r="P536">
        <v>9.69</v>
      </c>
      <c r="Q536">
        <v>12.3</v>
      </c>
      <c r="R536">
        <v>3</v>
      </c>
      <c r="S536">
        <v>3.32</v>
      </c>
      <c r="T536">
        <v>4</v>
      </c>
    </row>
    <row r="537" spans="1:20" x14ac:dyDescent="0.3">
      <c r="A537">
        <v>536</v>
      </c>
      <c r="B537" t="s">
        <v>41</v>
      </c>
      <c r="C537">
        <v>114</v>
      </c>
      <c r="D537" t="s">
        <v>72</v>
      </c>
      <c r="E537" t="s">
        <v>75</v>
      </c>
      <c r="F537" t="s">
        <v>74</v>
      </c>
      <c r="G537">
        <v>0</v>
      </c>
      <c r="H537">
        <v>115.6</v>
      </c>
      <c r="I537">
        <v>93</v>
      </c>
      <c r="J537">
        <v>19.649999999999999</v>
      </c>
      <c r="K537">
        <v>163.19999999999999</v>
      </c>
      <c r="L537">
        <v>78</v>
      </c>
      <c r="M537">
        <v>13.87</v>
      </c>
      <c r="N537">
        <v>251.3</v>
      </c>
      <c r="O537">
        <v>104</v>
      </c>
      <c r="P537">
        <v>11.31</v>
      </c>
      <c r="Q537">
        <v>9.6999999999999993</v>
      </c>
      <c r="R537">
        <v>1</v>
      </c>
      <c r="S537">
        <v>2.62</v>
      </c>
      <c r="T537">
        <v>2</v>
      </c>
    </row>
    <row r="538" spans="1:20" x14ac:dyDescent="0.3">
      <c r="A538">
        <v>537</v>
      </c>
      <c r="B538" t="s">
        <v>53</v>
      </c>
      <c r="C538">
        <v>57</v>
      </c>
      <c r="D538" t="s">
        <v>71</v>
      </c>
      <c r="E538" t="s">
        <v>74</v>
      </c>
      <c r="F538" t="s">
        <v>75</v>
      </c>
      <c r="G538">
        <v>36</v>
      </c>
      <c r="H538">
        <v>244.5</v>
      </c>
      <c r="I538">
        <v>94</v>
      </c>
      <c r="J538">
        <v>41.57</v>
      </c>
      <c r="K538">
        <v>161.19999999999999</v>
      </c>
      <c r="L538">
        <v>113</v>
      </c>
      <c r="M538">
        <v>13.7</v>
      </c>
      <c r="N538">
        <v>184.3</v>
      </c>
      <c r="O538">
        <v>105</v>
      </c>
      <c r="P538">
        <v>8.2899999999999991</v>
      </c>
      <c r="Q538">
        <v>9.6999999999999993</v>
      </c>
      <c r="R538">
        <v>3</v>
      </c>
      <c r="S538">
        <v>2.62</v>
      </c>
      <c r="T538">
        <v>1</v>
      </c>
    </row>
    <row r="539" spans="1:20" x14ac:dyDescent="0.3">
      <c r="A539">
        <v>538</v>
      </c>
      <c r="B539" t="s">
        <v>21</v>
      </c>
      <c r="C539">
        <v>97</v>
      </c>
      <c r="D539" t="s">
        <v>71</v>
      </c>
      <c r="E539" t="s">
        <v>74</v>
      </c>
      <c r="F539" t="s">
        <v>74</v>
      </c>
      <c r="G539">
        <v>0</v>
      </c>
      <c r="H539">
        <v>164.3</v>
      </c>
      <c r="I539">
        <v>106</v>
      </c>
      <c r="J539">
        <v>27.93</v>
      </c>
      <c r="K539">
        <v>182.3</v>
      </c>
      <c r="L539">
        <v>97</v>
      </c>
      <c r="M539">
        <v>15.5</v>
      </c>
      <c r="N539">
        <v>183.9</v>
      </c>
      <c r="O539">
        <v>93</v>
      </c>
      <c r="P539">
        <v>8.2799999999999994</v>
      </c>
      <c r="Q539">
        <v>12.1</v>
      </c>
      <c r="R539">
        <v>2</v>
      </c>
      <c r="S539">
        <v>3.27</v>
      </c>
      <c r="T539">
        <v>1</v>
      </c>
    </row>
    <row r="540" spans="1:20" x14ac:dyDescent="0.3">
      <c r="A540">
        <v>539</v>
      </c>
      <c r="B540" t="s">
        <v>35</v>
      </c>
      <c r="C540">
        <v>144</v>
      </c>
      <c r="D540" t="s">
        <v>71</v>
      </c>
      <c r="E540" t="s">
        <v>74</v>
      </c>
      <c r="F540" t="s">
        <v>75</v>
      </c>
      <c r="G540">
        <v>38</v>
      </c>
      <c r="H540">
        <v>276.3</v>
      </c>
      <c r="I540">
        <v>149</v>
      </c>
      <c r="J540">
        <v>46.97</v>
      </c>
      <c r="K540">
        <v>252</v>
      </c>
      <c r="L540">
        <v>112</v>
      </c>
      <c r="M540">
        <v>21.42</v>
      </c>
      <c r="N540">
        <v>132.5</v>
      </c>
      <c r="O540">
        <v>85</v>
      </c>
      <c r="P540">
        <v>5.96</v>
      </c>
      <c r="Q540">
        <v>8.6999999999999993</v>
      </c>
      <c r="R540">
        <v>3</v>
      </c>
      <c r="S540">
        <v>2.35</v>
      </c>
      <c r="T540">
        <v>1</v>
      </c>
    </row>
    <row r="541" spans="1:20" x14ac:dyDescent="0.3">
      <c r="A541">
        <v>540</v>
      </c>
      <c r="B541" t="s">
        <v>62</v>
      </c>
      <c r="C541">
        <v>97</v>
      </c>
      <c r="D541" t="s">
        <v>72</v>
      </c>
      <c r="E541" t="s">
        <v>74</v>
      </c>
      <c r="F541" t="s">
        <v>75</v>
      </c>
      <c r="G541">
        <v>32</v>
      </c>
      <c r="H541">
        <v>172.7</v>
      </c>
      <c r="I541">
        <v>79</v>
      </c>
      <c r="J541">
        <v>29.36</v>
      </c>
      <c r="K541">
        <v>217.4</v>
      </c>
      <c r="L541">
        <v>101</v>
      </c>
      <c r="M541">
        <v>18.48</v>
      </c>
      <c r="N541">
        <v>260.7</v>
      </c>
      <c r="O541">
        <v>88</v>
      </c>
      <c r="P541">
        <v>11.73</v>
      </c>
      <c r="Q541">
        <v>11.7</v>
      </c>
      <c r="R541">
        <v>5</v>
      </c>
      <c r="S541">
        <v>3.16</v>
      </c>
      <c r="T541">
        <v>1</v>
      </c>
    </row>
    <row r="542" spans="1:20" x14ac:dyDescent="0.3">
      <c r="A542">
        <v>541</v>
      </c>
      <c r="B542" t="s">
        <v>50</v>
      </c>
      <c r="C542">
        <v>150</v>
      </c>
      <c r="D542" t="s">
        <v>71</v>
      </c>
      <c r="E542" t="s">
        <v>74</v>
      </c>
      <c r="F542" t="s">
        <v>75</v>
      </c>
      <c r="G542">
        <v>29</v>
      </c>
      <c r="H542">
        <v>235.8</v>
      </c>
      <c r="I542">
        <v>91</v>
      </c>
      <c r="J542">
        <v>40.090000000000003</v>
      </c>
      <c r="K542">
        <v>202.8</v>
      </c>
      <c r="L542">
        <v>84</v>
      </c>
      <c r="M542">
        <v>17.239999999999998</v>
      </c>
      <c r="N542">
        <v>246.3</v>
      </c>
      <c r="O542">
        <v>81</v>
      </c>
      <c r="P542">
        <v>11.08</v>
      </c>
      <c r="Q542">
        <v>11.9</v>
      </c>
      <c r="R542">
        <v>4</v>
      </c>
      <c r="S542">
        <v>3.21</v>
      </c>
      <c r="T542">
        <v>1</v>
      </c>
    </row>
    <row r="543" spans="1:20" x14ac:dyDescent="0.3">
      <c r="A543">
        <v>542</v>
      </c>
      <c r="B543" t="s">
        <v>63</v>
      </c>
      <c r="C543">
        <v>17</v>
      </c>
      <c r="D543" t="s">
        <v>72</v>
      </c>
      <c r="E543" t="s">
        <v>74</v>
      </c>
      <c r="F543" t="s">
        <v>75</v>
      </c>
      <c r="G543">
        <v>30</v>
      </c>
      <c r="H543">
        <v>280</v>
      </c>
      <c r="I543">
        <v>101</v>
      </c>
      <c r="J543">
        <v>47.6</v>
      </c>
      <c r="K543">
        <v>258.89999999999998</v>
      </c>
      <c r="L543">
        <v>85</v>
      </c>
      <c r="M543">
        <v>22.01</v>
      </c>
      <c r="N543">
        <v>230</v>
      </c>
      <c r="O543">
        <v>130</v>
      </c>
      <c r="P543">
        <v>10.35</v>
      </c>
      <c r="Q543">
        <v>10.3</v>
      </c>
      <c r="R543">
        <v>2</v>
      </c>
      <c r="S543">
        <v>2.78</v>
      </c>
      <c r="T543">
        <v>3</v>
      </c>
    </row>
    <row r="544" spans="1:20" x14ac:dyDescent="0.3">
      <c r="A544">
        <v>543</v>
      </c>
      <c r="B544" t="s">
        <v>38</v>
      </c>
      <c r="C544">
        <v>101</v>
      </c>
      <c r="D544" t="s">
        <v>71</v>
      </c>
      <c r="E544" t="s">
        <v>74</v>
      </c>
      <c r="F544" t="s">
        <v>74</v>
      </c>
      <c r="G544">
        <v>0</v>
      </c>
      <c r="H544">
        <v>229.8</v>
      </c>
      <c r="I544">
        <v>97</v>
      </c>
      <c r="J544">
        <v>39.07</v>
      </c>
      <c r="K544">
        <v>217.8</v>
      </c>
      <c r="L544">
        <v>133</v>
      </c>
      <c r="M544">
        <v>18.510000000000002</v>
      </c>
      <c r="N544">
        <v>243.5</v>
      </c>
      <c r="O544">
        <v>53</v>
      </c>
      <c r="P544">
        <v>10.96</v>
      </c>
      <c r="Q544">
        <v>8.9</v>
      </c>
      <c r="R544">
        <v>2</v>
      </c>
      <c r="S544">
        <v>2.4</v>
      </c>
      <c r="T544">
        <v>1</v>
      </c>
    </row>
    <row r="545" spans="1:20" x14ac:dyDescent="0.3">
      <c r="A545">
        <v>544</v>
      </c>
      <c r="B545" t="s">
        <v>61</v>
      </c>
      <c r="C545">
        <v>163</v>
      </c>
      <c r="D545" t="s">
        <v>71</v>
      </c>
      <c r="E545" t="s">
        <v>74</v>
      </c>
      <c r="F545" t="s">
        <v>74</v>
      </c>
      <c r="G545">
        <v>0</v>
      </c>
      <c r="H545">
        <v>241.6</v>
      </c>
      <c r="I545">
        <v>102</v>
      </c>
      <c r="J545">
        <v>41.07</v>
      </c>
      <c r="K545">
        <v>138.9</v>
      </c>
      <c r="L545">
        <v>100</v>
      </c>
      <c r="M545">
        <v>11.81</v>
      </c>
      <c r="N545">
        <v>148.80000000000001</v>
      </c>
      <c r="O545">
        <v>129</v>
      </c>
      <c r="P545">
        <v>6.7</v>
      </c>
      <c r="Q545">
        <v>9.8000000000000007</v>
      </c>
      <c r="R545">
        <v>6</v>
      </c>
      <c r="S545">
        <v>2.65</v>
      </c>
      <c r="T545">
        <v>1</v>
      </c>
    </row>
    <row r="546" spans="1:20" x14ac:dyDescent="0.3">
      <c r="A546">
        <v>545</v>
      </c>
      <c r="B546" t="s">
        <v>61</v>
      </c>
      <c r="C546">
        <v>176</v>
      </c>
      <c r="D546" t="s">
        <v>71</v>
      </c>
      <c r="E546" t="s">
        <v>74</v>
      </c>
      <c r="F546" t="s">
        <v>75</v>
      </c>
      <c r="G546">
        <v>31</v>
      </c>
      <c r="H546">
        <v>167</v>
      </c>
      <c r="I546">
        <v>93</v>
      </c>
      <c r="J546">
        <v>28.39</v>
      </c>
      <c r="K546">
        <v>174.1</v>
      </c>
      <c r="L546">
        <v>128</v>
      </c>
      <c r="M546">
        <v>14.8</v>
      </c>
      <c r="N546">
        <v>155</v>
      </c>
      <c r="O546">
        <v>124</v>
      </c>
      <c r="P546">
        <v>6.98</v>
      </c>
      <c r="Q546">
        <v>10.4</v>
      </c>
      <c r="R546">
        <v>4</v>
      </c>
      <c r="S546">
        <v>2.81</v>
      </c>
      <c r="T546">
        <v>3</v>
      </c>
    </row>
    <row r="547" spans="1:20" x14ac:dyDescent="0.3">
      <c r="A547">
        <v>546</v>
      </c>
      <c r="B547" t="s">
        <v>51</v>
      </c>
      <c r="C547">
        <v>66</v>
      </c>
      <c r="D547" t="s">
        <v>73</v>
      </c>
      <c r="E547" t="s">
        <v>74</v>
      </c>
      <c r="F547" t="s">
        <v>74</v>
      </c>
      <c r="G547">
        <v>0</v>
      </c>
      <c r="H547">
        <v>241.7</v>
      </c>
      <c r="I547">
        <v>112</v>
      </c>
      <c r="J547">
        <v>41.09</v>
      </c>
      <c r="K547">
        <v>251.6</v>
      </c>
      <c r="L547">
        <v>78</v>
      </c>
      <c r="M547">
        <v>21.39</v>
      </c>
      <c r="N547">
        <v>105</v>
      </c>
      <c r="O547">
        <v>82</v>
      </c>
      <c r="P547">
        <v>4.72</v>
      </c>
      <c r="Q547">
        <v>11.3</v>
      </c>
      <c r="R547">
        <v>2</v>
      </c>
      <c r="S547">
        <v>3.05</v>
      </c>
      <c r="T547">
        <v>2</v>
      </c>
    </row>
    <row r="548" spans="1:20" x14ac:dyDescent="0.3">
      <c r="A548">
        <v>547</v>
      </c>
      <c r="B548" t="s">
        <v>43</v>
      </c>
      <c r="C548">
        <v>136</v>
      </c>
      <c r="D548" t="s">
        <v>71</v>
      </c>
      <c r="E548" t="s">
        <v>74</v>
      </c>
      <c r="F548" t="s">
        <v>74</v>
      </c>
      <c r="G548">
        <v>0</v>
      </c>
      <c r="H548">
        <v>88.5</v>
      </c>
      <c r="I548">
        <v>112</v>
      </c>
      <c r="J548">
        <v>15.05</v>
      </c>
      <c r="K548">
        <v>279.5</v>
      </c>
      <c r="L548">
        <v>98</v>
      </c>
      <c r="M548">
        <v>23.76</v>
      </c>
      <c r="N548">
        <v>278</v>
      </c>
      <c r="O548">
        <v>69</v>
      </c>
      <c r="P548">
        <v>12.51</v>
      </c>
      <c r="Q548">
        <v>7.5</v>
      </c>
      <c r="R548">
        <v>12</v>
      </c>
      <c r="S548">
        <v>2.0299999999999998</v>
      </c>
      <c r="T548">
        <v>1</v>
      </c>
    </row>
    <row r="549" spans="1:20" x14ac:dyDescent="0.3">
      <c r="A549">
        <v>548</v>
      </c>
      <c r="B549" t="s">
        <v>41</v>
      </c>
      <c r="C549">
        <v>93</v>
      </c>
      <c r="D549" t="s">
        <v>71</v>
      </c>
      <c r="E549" t="s">
        <v>74</v>
      </c>
      <c r="F549" t="s">
        <v>74</v>
      </c>
      <c r="G549">
        <v>0</v>
      </c>
      <c r="H549">
        <v>214.4</v>
      </c>
      <c r="I549">
        <v>112</v>
      </c>
      <c r="J549">
        <v>36.450000000000003</v>
      </c>
      <c r="K549">
        <v>261.5</v>
      </c>
      <c r="L549">
        <v>97</v>
      </c>
      <c r="M549">
        <v>22.23</v>
      </c>
      <c r="N549">
        <v>280.8</v>
      </c>
      <c r="O549">
        <v>112</v>
      </c>
      <c r="P549">
        <v>12.64</v>
      </c>
      <c r="Q549">
        <v>14.8</v>
      </c>
      <c r="R549">
        <v>3</v>
      </c>
      <c r="S549">
        <v>4</v>
      </c>
      <c r="T549">
        <v>0</v>
      </c>
    </row>
    <row r="550" spans="1:20" x14ac:dyDescent="0.3">
      <c r="A550">
        <v>549</v>
      </c>
      <c r="B550" t="s">
        <v>32</v>
      </c>
      <c r="C550">
        <v>126</v>
      </c>
      <c r="D550" t="s">
        <v>71</v>
      </c>
      <c r="E550" t="s">
        <v>74</v>
      </c>
      <c r="F550" t="s">
        <v>74</v>
      </c>
      <c r="G550">
        <v>0</v>
      </c>
      <c r="H550">
        <v>152.4</v>
      </c>
      <c r="I550">
        <v>94</v>
      </c>
      <c r="J550">
        <v>25.91</v>
      </c>
      <c r="K550">
        <v>166.2</v>
      </c>
      <c r="L550">
        <v>91</v>
      </c>
      <c r="M550">
        <v>14.13</v>
      </c>
      <c r="N550">
        <v>199.2</v>
      </c>
      <c r="O550">
        <v>84</v>
      </c>
      <c r="P550">
        <v>8.9600000000000009</v>
      </c>
      <c r="Q550">
        <v>10.199999999999999</v>
      </c>
      <c r="R550">
        <v>1</v>
      </c>
      <c r="S550">
        <v>2.75</v>
      </c>
      <c r="T550">
        <v>1</v>
      </c>
    </row>
    <row r="551" spans="1:20" x14ac:dyDescent="0.3">
      <c r="A551">
        <v>550</v>
      </c>
      <c r="B551" t="s">
        <v>23</v>
      </c>
      <c r="C551">
        <v>149</v>
      </c>
      <c r="D551" t="s">
        <v>71</v>
      </c>
      <c r="E551" t="s">
        <v>74</v>
      </c>
      <c r="F551" t="s">
        <v>74</v>
      </c>
      <c r="G551">
        <v>0</v>
      </c>
      <c r="H551">
        <v>194.9</v>
      </c>
      <c r="I551">
        <v>108</v>
      </c>
      <c r="J551">
        <v>33.130000000000003</v>
      </c>
      <c r="K551">
        <v>187.1</v>
      </c>
      <c r="L551">
        <v>102</v>
      </c>
      <c r="M551">
        <v>15.9</v>
      </c>
      <c r="N551">
        <v>174.9</v>
      </c>
      <c r="O551">
        <v>168</v>
      </c>
      <c r="P551">
        <v>7.87</v>
      </c>
      <c r="Q551">
        <v>8.1999999999999993</v>
      </c>
      <c r="R551">
        <v>4</v>
      </c>
      <c r="S551">
        <v>2.21</v>
      </c>
      <c r="T551">
        <v>4</v>
      </c>
    </row>
    <row r="552" spans="1:20" x14ac:dyDescent="0.3">
      <c r="A552">
        <v>551</v>
      </c>
      <c r="B552" t="s">
        <v>41</v>
      </c>
      <c r="C552">
        <v>62</v>
      </c>
      <c r="D552" t="s">
        <v>71</v>
      </c>
      <c r="E552" t="s">
        <v>74</v>
      </c>
      <c r="F552" t="s">
        <v>74</v>
      </c>
      <c r="G552">
        <v>0</v>
      </c>
      <c r="H552">
        <v>166.9</v>
      </c>
      <c r="I552">
        <v>76</v>
      </c>
      <c r="J552">
        <v>28.37</v>
      </c>
      <c r="K552">
        <v>223.6</v>
      </c>
      <c r="L552">
        <v>113</v>
      </c>
      <c r="M552">
        <v>19.010000000000002</v>
      </c>
      <c r="N552">
        <v>188.9</v>
      </c>
      <c r="O552">
        <v>87</v>
      </c>
      <c r="P552">
        <v>8.5</v>
      </c>
      <c r="Q552">
        <v>14.2</v>
      </c>
      <c r="R552">
        <v>5</v>
      </c>
      <c r="S552">
        <v>3.83</v>
      </c>
      <c r="T552">
        <v>1</v>
      </c>
    </row>
    <row r="553" spans="1:20" x14ac:dyDescent="0.3">
      <c r="A553">
        <v>552</v>
      </c>
      <c r="B553" t="s">
        <v>20</v>
      </c>
      <c r="C553">
        <v>48</v>
      </c>
      <c r="D553" t="s">
        <v>73</v>
      </c>
      <c r="E553" t="s">
        <v>74</v>
      </c>
      <c r="F553" t="s">
        <v>75</v>
      </c>
      <c r="G553">
        <v>26</v>
      </c>
      <c r="H553">
        <v>192.9</v>
      </c>
      <c r="I553">
        <v>60</v>
      </c>
      <c r="J553">
        <v>32.79</v>
      </c>
      <c r="K553">
        <v>179.2</v>
      </c>
      <c r="L553">
        <v>87</v>
      </c>
      <c r="M553">
        <v>15.23</v>
      </c>
      <c r="N553">
        <v>185.5</v>
      </c>
      <c r="O553">
        <v>137</v>
      </c>
      <c r="P553">
        <v>8.35</v>
      </c>
      <c r="Q553">
        <v>18.7</v>
      </c>
      <c r="R553">
        <v>7</v>
      </c>
      <c r="S553">
        <v>5.05</v>
      </c>
      <c r="T553">
        <v>0</v>
      </c>
    </row>
    <row r="554" spans="1:20" x14ac:dyDescent="0.3">
      <c r="A554">
        <v>553</v>
      </c>
      <c r="B554" t="s">
        <v>60</v>
      </c>
      <c r="C554">
        <v>90</v>
      </c>
      <c r="D554" t="s">
        <v>72</v>
      </c>
      <c r="E554" t="s">
        <v>74</v>
      </c>
      <c r="F554" t="s">
        <v>75</v>
      </c>
      <c r="G554">
        <v>22</v>
      </c>
      <c r="H554">
        <v>187.9</v>
      </c>
      <c r="I554">
        <v>121</v>
      </c>
      <c r="J554">
        <v>31.94</v>
      </c>
      <c r="K554">
        <v>209.9</v>
      </c>
      <c r="L554">
        <v>101</v>
      </c>
      <c r="M554">
        <v>17.84</v>
      </c>
      <c r="N554">
        <v>256.7</v>
      </c>
      <c r="O554">
        <v>102</v>
      </c>
      <c r="P554">
        <v>11.55</v>
      </c>
      <c r="Q554">
        <v>10.4</v>
      </c>
      <c r="R554">
        <v>5</v>
      </c>
      <c r="S554">
        <v>2.81</v>
      </c>
      <c r="T554">
        <v>2</v>
      </c>
    </row>
    <row r="555" spans="1:20" x14ac:dyDescent="0.3">
      <c r="A555">
        <v>554</v>
      </c>
      <c r="B555" t="s">
        <v>44</v>
      </c>
      <c r="C555">
        <v>177</v>
      </c>
      <c r="D555" t="s">
        <v>71</v>
      </c>
      <c r="E555" t="s">
        <v>74</v>
      </c>
      <c r="F555" t="s">
        <v>75</v>
      </c>
      <c r="G555">
        <v>21</v>
      </c>
      <c r="H555">
        <v>234</v>
      </c>
      <c r="I555">
        <v>108</v>
      </c>
      <c r="J555">
        <v>39.78</v>
      </c>
      <c r="K555">
        <v>238</v>
      </c>
      <c r="L555">
        <v>61</v>
      </c>
      <c r="M555">
        <v>20.23</v>
      </c>
      <c r="N555">
        <v>201.9</v>
      </c>
      <c r="O555">
        <v>125</v>
      </c>
      <c r="P555">
        <v>9.09</v>
      </c>
      <c r="Q555">
        <v>8.8000000000000007</v>
      </c>
      <c r="R555">
        <v>4</v>
      </c>
      <c r="S555">
        <v>2.38</v>
      </c>
      <c r="T555">
        <v>0</v>
      </c>
    </row>
    <row r="556" spans="1:20" x14ac:dyDescent="0.3">
      <c r="A556">
        <v>555</v>
      </c>
      <c r="B556" t="s">
        <v>50</v>
      </c>
      <c r="C556">
        <v>25</v>
      </c>
      <c r="D556" t="s">
        <v>71</v>
      </c>
      <c r="E556" t="s">
        <v>75</v>
      </c>
      <c r="F556" t="s">
        <v>74</v>
      </c>
      <c r="G556">
        <v>0</v>
      </c>
      <c r="H556">
        <v>211.7</v>
      </c>
      <c r="I556">
        <v>51</v>
      </c>
      <c r="J556">
        <v>35.99</v>
      </c>
      <c r="K556">
        <v>225.2</v>
      </c>
      <c r="L556">
        <v>74</v>
      </c>
      <c r="M556">
        <v>19.14</v>
      </c>
      <c r="N556">
        <v>197.4</v>
      </c>
      <c r="O556">
        <v>95</v>
      </c>
      <c r="P556">
        <v>8.8800000000000008</v>
      </c>
      <c r="Q556">
        <v>12</v>
      </c>
      <c r="R556">
        <v>3</v>
      </c>
      <c r="S556">
        <v>3.24</v>
      </c>
      <c r="T556">
        <v>0</v>
      </c>
    </row>
    <row r="557" spans="1:20" x14ac:dyDescent="0.3">
      <c r="A557">
        <v>556</v>
      </c>
      <c r="B557" t="s">
        <v>45</v>
      </c>
      <c r="C557">
        <v>82</v>
      </c>
      <c r="D557" t="s">
        <v>71</v>
      </c>
      <c r="E557" t="s">
        <v>75</v>
      </c>
      <c r="F557" t="s">
        <v>75</v>
      </c>
      <c r="G557">
        <v>41</v>
      </c>
      <c r="H557">
        <v>116.9</v>
      </c>
      <c r="I557">
        <v>74</v>
      </c>
      <c r="J557">
        <v>19.87</v>
      </c>
      <c r="K557">
        <v>228.2</v>
      </c>
      <c r="L557">
        <v>115</v>
      </c>
      <c r="M557">
        <v>19.399999999999999</v>
      </c>
      <c r="N557">
        <v>251.4</v>
      </c>
      <c r="O557">
        <v>89</v>
      </c>
      <c r="P557">
        <v>11.31</v>
      </c>
      <c r="Q557">
        <v>9.9</v>
      </c>
      <c r="R557">
        <v>8</v>
      </c>
      <c r="S557">
        <v>2.67</v>
      </c>
      <c r="T557">
        <v>1</v>
      </c>
    </row>
    <row r="558" spans="1:20" x14ac:dyDescent="0.3">
      <c r="A558">
        <v>557</v>
      </c>
      <c r="B558" t="s">
        <v>39</v>
      </c>
      <c r="C558">
        <v>89</v>
      </c>
      <c r="D558" t="s">
        <v>72</v>
      </c>
      <c r="E558" t="s">
        <v>74</v>
      </c>
      <c r="F558" t="s">
        <v>74</v>
      </c>
      <c r="G558">
        <v>0</v>
      </c>
      <c r="H558">
        <v>215.9</v>
      </c>
      <c r="I558">
        <v>106</v>
      </c>
      <c r="J558">
        <v>36.700000000000003</v>
      </c>
      <c r="K558">
        <v>211.1</v>
      </c>
      <c r="L558">
        <v>89</v>
      </c>
      <c r="M558">
        <v>17.940000000000001</v>
      </c>
      <c r="N558">
        <v>252.9</v>
      </c>
      <c r="O558">
        <v>106</v>
      </c>
      <c r="P558">
        <v>11.38</v>
      </c>
      <c r="Q558">
        <v>8.8000000000000007</v>
      </c>
      <c r="R558">
        <v>4</v>
      </c>
      <c r="S558">
        <v>2.38</v>
      </c>
      <c r="T558">
        <v>0</v>
      </c>
    </row>
    <row r="559" spans="1:20" x14ac:dyDescent="0.3">
      <c r="A559">
        <v>558</v>
      </c>
      <c r="B559" t="s">
        <v>63</v>
      </c>
      <c r="C559">
        <v>41</v>
      </c>
      <c r="D559" t="s">
        <v>72</v>
      </c>
      <c r="E559" t="s">
        <v>74</v>
      </c>
      <c r="F559" t="s">
        <v>74</v>
      </c>
      <c r="G559">
        <v>0</v>
      </c>
      <c r="H559">
        <v>208</v>
      </c>
      <c r="I559">
        <v>83</v>
      </c>
      <c r="J559">
        <v>35.36</v>
      </c>
      <c r="K559">
        <v>199.4</v>
      </c>
      <c r="L559">
        <v>110</v>
      </c>
      <c r="M559">
        <v>16.95</v>
      </c>
      <c r="N559">
        <v>173.5</v>
      </c>
      <c r="O559">
        <v>91</v>
      </c>
      <c r="P559">
        <v>7.81</v>
      </c>
      <c r="Q559">
        <v>14.9</v>
      </c>
      <c r="R559">
        <v>3</v>
      </c>
      <c r="S559">
        <v>4.0199999999999996</v>
      </c>
      <c r="T559">
        <v>1</v>
      </c>
    </row>
    <row r="560" spans="1:20" x14ac:dyDescent="0.3">
      <c r="A560">
        <v>559</v>
      </c>
      <c r="B560" t="s">
        <v>41</v>
      </c>
      <c r="C560">
        <v>166</v>
      </c>
      <c r="D560" t="s">
        <v>72</v>
      </c>
      <c r="E560" t="s">
        <v>74</v>
      </c>
      <c r="F560" t="s">
        <v>74</v>
      </c>
      <c r="G560">
        <v>0</v>
      </c>
      <c r="H560">
        <v>156.80000000000001</v>
      </c>
      <c r="I560">
        <v>100</v>
      </c>
      <c r="J560">
        <v>26.66</v>
      </c>
      <c r="K560">
        <v>171.5</v>
      </c>
      <c r="L560">
        <v>93</v>
      </c>
      <c r="M560">
        <v>14.58</v>
      </c>
      <c r="N560">
        <v>149.1</v>
      </c>
      <c r="O560">
        <v>97</v>
      </c>
      <c r="P560">
        <v>6.71</v>
      </c>
      <c r="Q560">
        <v>11.2</v>
      </c>
      <c r="R560">
        <v>10</v>
      </c>
      <c r="S560">
        <v>3.02</v>
      </c>
      <c r="T560">
        <v>1</v>
      </c>
    </row>
    <row r="561" spans="1:20" x14ac:dyDescent="0.3">
      <c r="A561">
        <v>560</v>
      </c>
      <c r="B561" t="s">
        <v>35</v>
      </c>
      <c r="C561">
        <v>68</v>
      </c>
      <c r="D561" t="s">
        <v>71</v>
      </c>
      <c r="E561" t="s">
        <v>74</v>
      </c>
      <c r="F561" t="s">
        <v>74</v>
      </c>
      <c r="G561">
        <v>0</v>
      </c>
      <c r="H561">
        <v>172.3</v>
      </c>
      <c r="I561">
        <v>135</v>
      </c>
      <c r="J561">
        <v>29.29</v>
      </c>
      <c r="K561">
        <v>190.2</v>
      </c>
      <c r="L561">
        <v>93</v>
      </c>
      <c r="M561">
        <v>16.170000000000002</v>
      </c>
      <c r="N561">
        <v>297.60000000000002</v>
      </c>
      <c r="O561">
        <v>84</v>
      </c>
      <c r="P561">
        <v>13.39</v>
      </c>
      <c r="Q561">
        <v>10.4</v>
      </c>
      <c r="R561">
        <v>2</v>
      </c>
      <c r="S561">
        <v>2.81</v>
      </c>
      <c r="T561">
        <v>1</v>
      </c>
    </row>
    <row r="562" spans="1:20" x14ac:dyDescent="0.3">
      <c r="A562">
        <v>561</v>
      </c>
      <c r="B562" t="s">
        <v>61</v>
      </c>
      <c r="C562">
        <v>184</v>
      </c>
      <c r="D562" t="s">
        <v>71</v>
      </c>
      <c r="E562" t="s">
        <v>74</v>
      </c>
      <c r="F562" t="s">
        <v>74</v>
      </c>
      <c r="G562">
        <v>0</v>
      </c>
      <c r="H562">
        <v>167.2</v>
      </c>
      <c r="I562">
        <v>133</v>
      </c>
      <c r="J562">
        <v>28.42</v>
      </c>
      <c r="K562">
        <v>162.1</v>
      </c>
      <c r="L562">
        <v>123</v>
      </c>
      <c r="M562">
        <v>13.78</v>
      </c>
      <c r="N562">
        <v>156.9</v>
      </c>
      <c r="O562">
        <v>81</v>
      </c>
      <c r="P562">
        <v>7.06</v>
      </c>
      <c r="Q562">
        <v>9.5</v>
      </c>
      <c r="R562">
        <v>4</v>
      </c>
      <c r="S562">
        <v>2.57</v>
      </c>
      <c r="T562">
        <v>1</v>
      </c>
    </row>
    <row r="563" spans="1:20" x14ac:dyDescent="0.3">
      <c r="A563">
        <v>562</v>
      </c>
      <c r="B563" t="s">
        <v>48</v>
      </c>
      <c r="C563">
        <v>68</v>
      </c>
      <c r="D563" t="s">
        <v>73</v>
      </c>
      <c r="E563" t="s">
        <v>74</v>
      </c>
      <c r="F563" t="s">
        <v>74</v>
      </c>
      <c r="G563">
        <v>0</v>
      </c>
      <c r="H563">
        <v>172.5</v>
      </c>
      <c r="I563">
        <v>115</v>
      </c>
      <c r="J563">
        <v>29.33</v>
      </c>
      <c r="K563">
        <v>221.9</v>
      </c>
      <c r="L563">
        <v>126</v>
      </c>
      <c r="M563">
        <v>18.86</v>
      </c>
      <c r="N563">
        <v>170.9</v>
      </c>
      <c r="O563">
        <v>98</v>
      </c>
      <c r="P563">
        <v>7.69</v>
      </c>
      <c r="Q563">
        <v>6.8</v>
      </c>
      <c r="R563">
        <v>8</v>
      </c>
      <c r="S563">
        <v>1.84</v>
      </c>
      <c r="T563">
        <v>4</v>
      </c>
    </row>
    <row r="564" spans="1:20" x14ac:dyDescent="0.3">
      <c r="A564">
        <v>563</v>
      </c>
      <c r="B564" t="s">
        <v>21</v>
      </c>
      <c r="C564">
        <v>130</v>
      </c>
      <c r="D564" t="s">
        <v>73</v>
      </c>
      <c r="E564" t="s">
        <v>74</v>
      </c>
      <c r="F564" t="s">
        <v>74</v>
      </c>
      <c r="G564">
        <v>0</v>
      </c>
      <c r="H564">
        <v>289.10000000000002</v>
      </c>
      <c r="I564">
        <v>79</v>
      </c>
      <c r="J564">
        <v>49.15</v>
      </c>
      <c r="K564">
        <v>150.1</v>
      </c>
      <c r="L564">
        <v>106</v>
      </c>
      <c r="M564">
        <v>12.76</v>
      </c>
      <c r="N564">
        <v>163.4</v>
      </c>
      <c r="O564">
        <v>98</v>
      </c>
      <c r="P564">
        <v>7.35</v>
      </c>
      <c r="Q564">
        <v>13.5</v>
      </c>
      <c r="R564">
        <v>4</v>
      </c>
      <c r="S564">
        <v>3.65</v>
      </c>
      <c r="T564">
        <v>1</v>
      </c>
    </row>
    <row r="565" spans="1:20" x14ac:dyDescent="0.3">
      <c r="A565">
        <v>564</v>
      </c>
      <c r="B565" t="s">
        <v>32</v>
      </c>
      <c r="C565">
        <v>151</v>
      </c>
      <c r="D565" t="s">
        <v>71</v>
      </c>
      <c r="E565" t="s">
        <v>74</v>
      </c>
      <c r="F565" t="s">
        <v>75</v>
      </c>
      <c r="G565">
        <v>31</v>
      </c>
      <c r="H565">
        <v>240.7</v>
      </c>
      <c r="I565">
        <v>102</v>
      </c>
      <c r="J565">
        <v>40.92</v>
      </c>
      <c r="K565">
        <v>106.5</v>
      </c>
      <c r="L565">
        <v>96</v>
      </c>
      <c r="M565">
        <v>9.0500000000000007</v>
      </c>
      <c r="N565">
        <v>195.7</v>
      </c>
      <c r="O565">
        <v>128</v>
      </c>
      <c r="P565">
        <v>8.81</v>
      </c>
      <c r="Q565">
        <v>10.6</v>
      </c>
      <c r="R565">
        <v>2</v>
      </c>
      <c r="S565">
        <v>2.86</v>
      </c>
      <c r="T565">
        <v>2</v>
      </c>
    </row>
    <row r="566" spans="1:20" x14ac:dyDescent="0.3">
      <c r="A566">
        <v>565</v>
      </c>
      <c r="B566" t="s">
        <v>69</v>
      </c>
      <c r="C566">
        <v>127</v>
      </c>
      <c r="D566" t="s">
        <v>71</v>
      </c>
      <c r="E566" t="s">
        <v>75</v>
      </c>
      <c r="F566" t="s">
        <v>74</v>
      </c>
      <c r="G566">
        <v>0</v>
      </c>
      <c r="H566">
        <v>220.7</v>
      </c>
      <c r="I566">
        <v>100</v>
      </c>
      <c r="J566">
        <v>37.520000000000003</v>
      </c>
      <c r="K566">
        <v>170.2</v>
      </c>
      <c r="L566">
        <v>89</v>
      </c>
      <c r="M566">
        <v>14.47</v>
      </c>
      <c r="N566">
        <v>278.39999999999998</v>
      </c>
      <c r="O566">
        <v>73</v>
      </c>
      <c r="P566">
        <v>12.53</v>
      </c>
      <c r="Q566">
        <v>15</v>
      </c>
      <c r="R566">
        <v>4</v>
      </c>
      <c r="S566">
        <v>4.05</v>
      </c>
      <c r="T566">
        <v>3</v>
      </c>
    </row>
    <row r="567" spans="1:20" x14ac:dyDescent="0.3">
      <c r="A567">
        <v>566</v>
      </c>
      <c r="B567" t="s">
        <v>61</v>
      </c>
      <c r="C567">
        <v>160</v>
      </c>
      <c r="D567" t="s">
        <v>71</v>
      </c>
      <c r="E567" t="s">
        <v>74</v>
      </c>
      <c r="F567" t="s">
        <v>74</v>
      </c>
      <c r="G567">
        <v>0</v>
      </c>
      <c r="H567">
        <v>237.1</v>
      </c>
      <c r="I567">
        <v>126</v>
      </c>
      <c r="J567">
        <v>40.31</v>
      </c>
      <c r="K567">
        <v>238.4</v>
      </c>
      <c r="L567">
        <v>127</v>
      </c>
      <c r="M567">
        <v>20.260000000000002</v>
      </c>
      <c r="N567">
        <v>181.3</v>
      </c>
      <c r="O567">
        <v>100</v>
      </c>
      <c r="P567">
        <v>8.16</v>
      </c>
      <c r="Q567">
        <v>10.7</v>
      </c>
      <c r="R567">
        <v>8</v>
      </c>
      <c r="S567">
        <v>2.89</v>
      </c>
      <c r="T567">
        <v>2</v>
      </c>
    </row>
    <row r="568" spans="1:20" x14ac:dyDescent="0.3">
      <c r="A568">
        <v>567</v>
      </c>
      <c r="B568" t="s">
        <v>50</v>
      </c>
      <c r="C568">
        <v>144</v>
      </c>
      <c r="D568" t="s">
        <v>71</v>
      </c>
      <c r="E568" t="s">
        <v>74</v>
      </c>
      <c r="F568" t="s">
        <v>74</v>
      </c>
      <c r="G568">
        <v>0</v>
      </c>
      <c r="H568">
        <v>97.9</v>
      </c>
      <c r="I568">
        <v>119</v>
      </c>
      <c r="J568">
        <v>16.64</v>
      </c>
      <c r="K568">
        <v>171.3</v>
      </c>
      <c r="L568">
        <v>88</v>
      </c>
      <c r="M568">
        <v>14.56</v>
      </c>
      <c r="N568">
        <v>169.9</v>
      </c>
      <c r="O568">
        <v>83</v>
      </c>
      <c r="P568">
        <v>7.65</v>
      </c>
      <c r="Q568">
        <v>7.4</v>
      </c>
      <c r="R568">
        <v>4</v>
      </c>
      <c r="S568">
        <v>2</v>
      </c>
      <c r="T568">
        <v>0</v>
      </c>
    </row>
    <row r="569" spans="1:20" x14ac:dyDescent="0.3">
      <c r="A569">
        <v>568</v>
      </c>
      <c r="B569" t="s">
        <v>29</v>
      </c>
      <c r="C569">
        <v>45</v>
      </c>
      <c r="D569" t="s">
        <v>72</v>
      </c>
      <c r="E569" t="s">
        <v>75</v>
      </c>
      <c r="F569" t="s">
        <v>75</v>
      </c>
      <c r="G569">
        <v>40</v>
      </c>
      <c r="H569">
        <v>179</v>
      </c>
      <c r="I569">
        <v>114</v>
      </c>
      <c r="J569">
        <v>30.43</v>
      </c>
      <c r="K569">
        <v>272.60000000000002</v>
      </c>
      <c r="L569">
        <v>99</v>
      </c>
      <c r="M569">
        <v>23.17</v>
      </c>
      <c r="N569">
        <v>67.099999999999994</v>
      </c>
      <c r="O569">
        <v>80</v>
      </c>
      <c r="P569">
        <v>3.02</v>
      </c>
      <c r="Q569">
        <v>10.8</v>
      </c>
      <c r="R569">
        <v>3</v>
      </c>
      <c r="S569">
        <v>2.92</v>
      </c>
      <c r="T569">
        <v>3</v>
      </c>
    </row>
    <row r="570" spans="1:20" x14ac:dyDescent="0.3">
      <c r="A570">
        <v>569</v>
      </c>
      <c r="B570" t="s">
        <v>30</v>
      </c>
      <c r="C570">
        <v>111</v>
      </c>
      <c r="D570" t="s">
        <v>73</v>
      </c>
      <c r="E570" t="s">
        <v>74</v>
      </c>
      <c r="F570" t="s">
        <v>74</v>
      </c>
      <c r="G570">
        <v>0</v>
      </c>
      <c r="H570">
        <v>165.5</v>
      </c>
      <c r="I570">
        <v>72</v>
      </c>
      <c r="J570">
        <v>28.14</v>
      </c>
      <c r="K570">
        <v>228.9</v>
      </c>
      <c r="L570">
        <v>73</v>
      </c>
      <c r="M570">
        <v>19.46</v>
      </c>
      <c r="N570">
        <v>169.7</v>
      </c>
      <c r="O570">
        <v>103</v>
      </c>
      <c r="P570">
        <v>7.64</v>
      </c>
      <c r="Q570">
        <v>9.6999999999999993</v>
      </c>
      <c r="R570">
        <v>6</v>
      </c>
      <c r="S570">
        <v>2.62</v>
      </c>
      <c r="T570">
        <v>2</v>
      </c>
    </row>
    <row r="571" spans="1:20" x14ac:dyDescent="0.3">
      <c r="A571">
        <v>570</v>
      </c>
      <c r="B571" t="s">
        <v>32</v>
      </c>
      <c r="C571">
        <v>167</v>
      </c>
      <c r="D571" t="s">
        <v>71</v>
      </c>
      <c r="E571" t="s">
        <v>75</v>
      </c>
      <c r="F571" t="s">
        <v>74</v>
      </c>
      <c r="G571">
        <v>0</v>
      </c>
      <c r="H571">
        <v>143.69999999999999</v>
      </c>
      <c r="I571">
        <v>108</v>
      </c>
      <c r="J571">
        <v>24.43</v>
      </c>
      <c r="K571">
        <v>75.599999999999994</v>
      </c>
      <c r="L571">
        <v>111</v>
      </c>
      <c r="M571">
        <v>6.43</v>
      </c>
      <c r="N571">
        <v>217.9</v>
      </c>
      <c r="O571">
        <v>99</v>
      </c>
      <c r="P571">
        <v>9.81</v>
      </c>
      <c r="Q571">
        <v>9.9</v>
      </c>
      <c r="R571">
        <v>4</v>
      </c>
      <c r="S571">
        <v>2.67</v>
      </c>
      <c r="T571">
        <v>0</v>
      </c>
    </row>
    <row r="572" spans="1:20" x14ac:dyDescent="0.3">
      <c r="A572">
        <v>571</v>
      </c>
      <c r="B572" t="s">
        <v>30</v>
      </c>
      <c r="C572">
        <v>88</v>
      </c>
      <c r="D572" t="s">
        <v>73</v>
      </c>
      <c r="E572" t="s">
        <v>74</v>
      </c>
      <c r="F572" t="s">
        <v>74</v>
      </c>
      <c r="G572">
        <v>0</v>
      </c>
      <c r="H572">
        <v>166.4</v>
      </c>
      <c r="I572">
        <v>97</v>
      </c>
      <c r="J572">
        <v>28.29</v>
      </c>
      <c r="K572">
        <v>186.7</v>
      </c>
      <c r="L572">
        <v>118</v>
      </c>
      <c r="M572">
        <v>15.87</v>
      </c>
      <c r="N572">
        <v>251.6</v>
      </c>
      <c r="O572">
        <v>89</v>
      </c>
      <c r="P572">
        <v>11.32</v>
      </c>
      <c r="Q572">
        <v>14.5</v>
      </c>
      <c r="R572">
        <v>4</v>
      </c>
      <c r="S572">
        <v>3.92</v>
      </c>
      <c r="T572">
        <v>0</v>
      </c>
    </row>
    <row r="573" spans="1:20" x14ac:dyDescent="0.3">
      <c r="A573">
        <v>572</v>
      </c>
      <c r="B573" t="s">
        <v>24</v>
      </c>
      <c r="C573">
        <v>23</v>
      </c>
      <c r="D573" t="s">
        <v>71</v>
      </c>
      <c r="E573" t="s">
        <v>74</v>
      </c>
      <c r="F573" t="s">
        <v>74</v>
      </c>
      <c r="G573">
        <v>0</v>
      </c>
      <c r="H573">
        <v>155.6</v>
      </c>
      <c r="I573">
        <v>122</v>
      </c>
      <c r="J573">
        <v>26.45</v>
      </c>
      <c r="K573">
        <v>223.8</v>
      </c>
      <c r="L573">
        <v>82</v>
      </c>
      <c r="M573">
        <v>19.02</v>
      </c>
      <c r="N573">
        <v>50.9</v>
      </c>
      <c r="O573">
        <v>130</v>
      </c>
      <c r="P573">
        <v>2.29</v>
      </c>
      <c r="Q573">
        <v>10.6</v>
      </c>
      <c r="R573">
        <v>3</v>
      </c>
      <c r="S573">
        <v>2.86</v>
      </c>
      <c r="T573">
        <v>4</v>
      </c>
    </row>
    <row r="574" spans="1:20" x14ac:dyDescent="0.3">
      <c r="A574">
        <v>573</v>
      </c>
      <c r="B574" t="s">
        <v>39</v>
      </c>
      <c r="C574">
        <v>151</v>
      </c>
      <c r="D574" t="s">
        <v>71</v>
      </c>
      <c r="E574" t="s">
        <v>74</v>
      </c>
      <c r="F574" t="s">
        <v>74</v>
      </c>
      <c r="G574">
        <v>0</v>
      </c>
      <c r="H574">
        <v>175.7</v>
      </c>
      <c r="I574">
        <v>91</v>
      </c>
      <c r="J574">
        <v>29.87</v>
      </c>
      <c r="K574">
        <v>152.30000000000001</v>
      </c>
      <c r="L574">
        <v>127</v>
      </c>
      <c r="M574">
        <v>12.95</v>
      </c>
      <c r="N574">
        <v>140</v>
      </c>
      <c r="O574">
        <v>88</v>
      </c>
      <c r="P574">
        <v>6.3</v>
      </c>
      <c r="Q574">
        <v>10.7</v>
      </c>
      <c r="R574">
        <v>10</v>
      </c>
      <c r="S574">
        <v>2.89</v>
      </c>
      <c r="T574">
        <v>1</v>
      </c>
    </row>
    <row r="575" spans="1:20" x14ac:dyDescent="0.3">
      <c r="A575">
        <v>574</v>
      </c>
      <c r="B575" t="s">
        <v>57</v>
      </c>
      <c r="C575">
        <v>138</v>
      </c>
      <c r="D575" t="s">
        <v>71</v>
      </c>
      <c r="E575" t="s">
        <v>74</v>
      </c>
      <c r="F575" t="s">
        <v>74</v>
      </c>
      <c r="G575">
        <v>0</v>
      </c>
      <c r="H575">
        <v>216</v>
      </c>
      <c r="I575">
        <v>106</v>
      </c>
      <c r="J575">
        <v>36.72</v>
      </c>
      <c r="K575">
        <v>207.6</v>
      </c>
      <c r="L575">
        <v>110</v>
      </c>
      <c r="M575">
        <v>17.649999999999999</v>
      </c>
      <c r="N575">
        <v>180</v>
      </c>
      <c r="O575">
        <v>102</v>
      </c>
      <c r="P575">
        <v>8.1</v>
      </c>
      <c r="Q575">
        <v>11.2</v>
      </c>
      <c r="R575">
        <v>4</v>
      </c>
      <c r="S575">
        <v>3.02</v>
      </c>
      <c r="T575">
        <v>0</v>
      </c>
    </row>
    <row r="576" spans="1:20" x14ac:dyDescent="0.3">
      <c r="A576">
        <v>575</v>
      </c>
      <c r="B576" t="s">
        <v>48</v>
      </c>
      <c r="C576">
        <v>114</v>
      </c>
      <c r="D576" t="s">
        <v>72</v>
      </c>
      <c r="E576" t="s">
        <v>74</v>
      </c>
      <c r="F576" t="s">
        <v>74</v>
      </c>
      <c r="G576">
        <v>0</v>
      </c>
      <c r="H576">
        <v>326.10000000000002</v>
      </c>
      <c r="I576">
        <v>119</v>
      </c>
      <c r="J576">
        <v>55.44</v>
      </c>
      <c r="K576">
        <v>161</v>
      </c>
      <c r="L576">
        <v>105</v>
      </c>
      <c r="M576">
        <v>13.69</v>
      </c>
      <c r="N576">
        <v>220.1</v>
      </c>
      <c r="O576">
        <v>129</v>
      </c>
      <c r="P576">
        <v>9.9</v>
      </c>
      <c r="Q576">
        <v>11</v>
      </c>
      <c r="R576">
        <v>3</v>
      </c>
      <c r="S576">
        <v>2.97</v>
      </c>
      <c r="T576">
        <v>1</v>
      </c>
    </row>
    <row r="577" spans="1:20" x14ac:dyDescent="0.3">
      <c r="A577">
        <v>576</v>
      </c>
      <c r="B577" t="s">
        <v>62</v>
      </c>
      <c r="C577">
        <v>154</v>
      </c>
      <c r="D577" t="s">
        <v>73</v>
      </c>
      <c r="E577" t="s">
        <v>74</v>
      </c>
      <c r="F577" t="s">
        <v>74</v>
      </c>
      <c r="G577">
        <v>0</v>
      </c>
      <c r="H577">
        <v>283.60000000000002</v>
      </c>
      <c r="I577">
        <v>115</v>
      </c>
      <c r="J577">
        <v>48.21</v>
      </c>
      <c r="K577">
        <v>181.3</v>
      </c>
      <c r="L577">
        <v>103</v>
      </c>
      <c r="M577">
        <v>15.41</v>
      </c>
      <c r="N577">
        <v>306.10000000000002</v>
      </c>
      <c r="O577">
        <v>60</v>
      </c>
      <c r="P577">
        <v>13.77</v>
      </c>
      <c r="Q577">
        <v>8.8000000000000007</v>
      </c>
      <c r="R577">
        <v>5</v>
      </c>
      <c r="S577">
        <v>2.38</v>
      </c>
      <c r="T577">
        <v>0</v>
      </c>
    </row>
    <row r="578" spans="1:20" x14ac:dyDescent="0.3">
      <c r="A578">
        <v>577</v>
      </c>
      <c r="B578" t="s">
        <v>63</v>
      </c>
      <c r="C578">
        <v>91</v>
      </c>
      <c r="D578" t="s">
        <v>73</v>
      </c>
      <c r="E578" t="s">
        <v>74</v>
      </c>
      <c r="F578" t="s">
        <v>74</v>
      </c>
      <c r="G578">
        <v>0</v>
      </c>
      <c r="H578">
        <v>167.5</v>
      </c>
      <c r="I578">
        <v>77</v>
      </c>
      <c r="J578">
        <v>28.48</v>
      </c>
      <c r="K578">
        <v>175.2</v>
      </c>
      <c r="L578">
        <v>113</v>
      </c>
      <c r="M578">
        <v>14.89</v>
      </c>
      <c r="N578">
        <v>233.5</v>
      </c>
      <c r="O578">
        <v>85</v>
      </c>
      <c r="P578">
        <v>10.51</v>
      </c>
      <c r="Q578">
        <v>16.100000000000001</v>
      </c>
      <c r="R578">
        <v>5</v>
      </c>
      <c r="S578">
        <v>4.3499999999999996</v>
      </c>
      <c r="T578">
        <v>2</v>
      </c>
    </row>
    <row r="579" spans="1:20" x14ac:dyDescent="0.3">
      <c r="A579">
        <v>578</v>
      </c>
      <c r="B579" t="s">
        <v>28</v>
      </c>
      <c r="C579">
        <v>88</v>
      </c>
      <c r="D579" t="s">
        <v>72</v>
      </c>
      <c r="E579" t="s">
        <v>74</v>
      </c>
      <c r="F579" t="s">
        <v>74</v>
      </c>
      <c r="G579">
        <v>0</v>
      </c>
      <c r="H579">
        <v>143.30000000000001</v>
      </c>
      <c r="I579">
        <v>97</v>
      </c>
      <c r="J579">
        <v>24.36</v>
      </c>
      <c r="K579">
        <v>170.7</v>
      </c>
      <c r="L579">
        <v>81</v>
      </c>
      <c r="M579">
        <v>14.51</v>
      </c>
      <c r="N579">
        <v>195.3</v>
      </c>
      <c r="O579">
        <v>89</v>
      </c>
      <c r="P579">
        <v>8.7899999999999991</v>
      </c>
      <c r="Q579">
        <v>11.4</v>
      </c>
      <c r="R579">
        <v>5</v>
      </c>
      <c r="S579">
        <v>3.08</v>
      </c>
      <c r="T579">
        <v>2</v>
      </c>
    </row>
    <row r="580" spans="1:20" x14ac:dyDescent="0.3">
      <c r="A580">
        <v>579</v>
      </c>
      <c r="B580" t="s">
        <v>46</v>
      </c>
      <c r="C580">
        <v>15</v>
      </c>
      <c r="D580" t="s">
        <v>71</v>
      </c>
      <c r="E580" t="s">
        <v>75</v>
      </c>
      <c r="F580" t="s">
        <v>74</v>
      </c>
      <c r="G580">
        <v>0</v>
      </c>
      <c r="H580">
        <v>224.3</v>
      </c>
      <c r="I580">
        <v>85</v>
      </c>
      <c r="J580">
        <v>38.130000000000003</v>
      </c>
      <c r="K580">
        <v>166.3</v>
      </c>
      <c r="L580">
        <v>79</v>
      </c>
      <c r="M580">
        <v>14.14</v>
      </c>
      <c r="N580">
        <v>187</v>
      </c>
      <c r="O580">
        <v>117</v>
      </c>
      <c r="P580">
        <v>8.41</v>
      </c>
      <c r="Q580">
        <v>11.7</v>
      </c>
      <c r="R580">
        <v>3</v>
      </c>
      <c r="S580">
        <v>3.16</v>
      </c>
      <c r="T580">
        <v>1</v>
      </c>
    </row>
    <row r="581" spans="1:20" x14ac:dyDescent="0.3">
      <c r="A581">
        <v>580</v>
      </c>
      <c r="B581" t="s">
        <v>33</v>
      </c>
      <c r="C581">
        <v>43</v>
      </c>
      <c r="D581" t="s">
        <v>71</v>
      </c>
      <c r="E581" t="s">
        <v>74</v>
      </c>
      <c r="F581" t="s">
        <v>74</v>
      </c>
      <c r="G581">
        <v>0</v>
      </c>
      <c r="H581">
        <v>184.8</v>
      </c>
      <c r="I581">
        <v>114</v>
      </c>
      <c r="J581">
        <v>31.42</v>
      </c>
      <c r="K581">
        <v>130.6</v>
      </c>
      <c r="L581">
        <v>131</v>
      </c>
      <c r="M581">
        <v>11.1</v>
      </c>
      <c r="N581">
        <v>175</v>
      </c>
      <c r="O581">
        <v>69</v>
      </c>
      <c r="P581">
        <v>7.88</v>
      </c>
      <c r="Q581">
        <v>8</v>
      </c>
      <c r="R581">
        <v>9</v>
      </c>
      <c r="S581">
        <v>2.16</v>
      </c>
      <c r="T581">
        <v>0</v>
      </c>
    </row>
    <row r="582" spans="1:20" x14ac:dyDescent="0.3">
      <c r="A582">
        <v>581</v>
      </c>
      <c r="B582" t="s">
        <v>69</v>
      </c>
      <c r="C582">
        <v>53</v>
      </c>
      <c r="D582" t="s">
        <v>72</v>
      </c>
      <c r="E582" t="s">
        <v>74</v>
      </c>
      <c r="F582" t="s">
        <v>74</v>
      </c>
      <c r="G582">
        <v>0</v>
      </c>
      <c r="H582">
        <v>100.2</v>
      </c>
      <c r="I582">
        <v>85</v>
      </c>
      <c r="J582">
        <v>17.03</v>
      </c>
      <c r="K582">
        <v>213.8</v>
      </c>
      <c r="L582">
        <v>90</v>
      </c>
      <c r="M582">
        <v>18.170000000000002</v>
      </c>
      <c r="N582">
        <v>299.8</v>
      </c>
      <c r="O582">
        <v>67</v>
      </c>
      <c r="P582">
        <v>13.49</v>
      </c>
      <c r="Q582">
        <v>7.7</v>
      </c>
      <c r="R582">
        <v>4</v>
      </c>
      <c r="S582">
        <v>2.08</v>
      </c>
      <c r="T582">
        <v>3</v>
      </c>
    </row>
    <row r="583" spans="1:20" x14ac:dyDescent="0.3">
      <c r="A583">
        <v>582</v>
      </c>
      <c r="B583" t="s">
        <v>46</v>
      </c>
      <c r="C583">
        <v>116</v>
      </c>
      <c r="D583" t="s">
        <v>71</v>
      </c>
      <c r="E583" t="s">
        <v>74</v>
      </c>
      <c r="F583" t="s">
        <v>74</v>
      </c>
      <c r="G583">
        <v>0</v>
      </c>
      <c r="H583">
        <v>215.6</v>
      </c>
      <c r="I583">
        <v>127</v>
      </c>
      <c r="J583">
        <v>36.65</v>
      </c>
      <c r="K583">
        <v>105.5</v>
      </c>
      <c r="L583">
        <v>110</v>
      </c>
      <c r="M583">
        <v>8.9700000000000006</v>
      </c>
      <c r="N583">
        <v>291.7</v>
      </c>
      <c r="O583">
        <v>80</v>
      </c>
      <c r="P583">
        <v>13.13</v>
      </c>
      <c r="Q583">
        <v>11.2</v>
      </c>
      <c r="R583">
        <v>7</v>
      </c>
      <c r="S583">
        <v>3.02</v>
      </c>
      <c r="T583">
        <v>3</v>
      </c>
    </row>
    <row r="584" spans="1:20" x14ac:dyDescent="0.3">
      <c r="A584">
        <v>583</v>
      </c>
      <c r="B584" t="s">
        <v>37</v>
      </c>
      <c r="C584">
        <v>162</v>
      </c>
      <c r="D584" t="s">
        <v>71</v>
      </c>
      <c r="E584" t="s">
        <v>75</v>
      </c>
      <c r="F584" t="s">
        <v>74</v>
      </c>
      <c r="G584">
        <v>0</v>
      </c>
      <c r="H584">
        <v>147.6</v>
      </c>
      <c r="I584">
        <v>126</v>
      </c>
      <c r="J584">
        <v>25.09</v>
      </c>
      <c r="K584">
        <v>284.10000000000002</v>
      </c>
      <c r="L584">
        <v>84</v>
      </c>
      <c r="M584">
        <v>24.15</v>
      </c>
      <c r="N584">
        <v>170.2</v>
      </c>
      <c r="O584">
        <v>87</v>
      </c>
      <c r="P584">
        <v>7.66</v>
      </c>
      <c r="Q584">
        <v>8.1</v>
      </c>
      <c r="R584">
        <v>7</v>
      </c>
      <c r="S584">
        <v>2.19</v>
      </c>
      <c r="T584">
        <v>0</v>
      </c>
    </row>
    <row r="585" spans="1:20" x14ac:dyDescent="0.3">
      <c r="A585">
        <v>584</v>
      </c>
      <c r="B585" t="s">
        <v>40</v>
      </c>
      <c r="C585">
        <v>142</v>
      </c>
      <c r="D585" t="s">
        <v>73</v>
      </c>
      <c r="E585" t="s">
        <v>74</v>
      </c>
      <c r="F585" t="s">
        <v>74</v>
      </c>
      <c r="G585">
        <v>0</v>
      </c>
      <c r="H585">
        <v>245.1</v>
      </c>
      <c r="I585">
        <v>66</v>
      </c>
      <c r="J585">
        <v>41.67</v>
      </c>
      <c r="K585">
        <v>144.6</v>
      </c>
      <c r="L585">
        <v>109</v>
      </c>
      <c r="M585">
        <v>12.29</v>
      </c>
      <c r="N585">
        <v>227.3</v>
      </c>
      <c r="O585">
        <v>112</v>
      </c>
      <c r="P585">
        <v>10.23</v>
      </c>
      <c r="Q585">
        <v>3.1</v>
      </c>
      <c r="R585">
        <v>4</v>
      </c>
      <c r="S585">
        <v>0.84</v>
      </c>
      <c r="T585">
        <v>1</v>
      </c>
    </row>
    <row r="586" spans="1:20" x14ac:dyDescent="0.3">
      <c r="A586">
        <v>585</v>
      </c>
      <c r="B586" t="s">
        <v>24</v>
      </c>
      <c r="C586">
        <v>169</v>
      </c>
      <c r="D586" t="s">
        <v>73</v>
      </c>
      <c r="E586" t="s">
        <v>74</v>
      </c>
      <c r="F586" t="s">
        <v>74</v>
      </c>
      <c r="G586">
        <v>0</v>
      </c>
      <c r="H586">
        <v>135.69999999999999</v>
      </c>
      <c r="I586">
        <v>111</v>
      </c>
      <c r="J586">
        <v>23.07</v>
      </c>
      <c r="K586">
        <v>223</v>
      </c>
      <c r="L586">
        <v>124</v>
      </c>
      <c r="M586">
        <v>18.96</v>
      </c>
      <c r="N586">
        <v>167.5</v>
      </c>
      <c r="O586">
        <v>101</v>
      </c>
      <c r="P586">
        <v>7.54</v>
      </c>
      <c r="Q586">
        <v>9.5</v>
      </c>
      <c r="R586">
        <v>4</v>
      </c>
      <c r="S586">
        <v>2.57</v>
      </c>
      <c r="T586">
        <v>1</v>
      </c>
    </row>
    <row r="587" spans="1:20" x14ac:dyDescent="0.3">
      <c r="A587">
        <v>586</v>
      </c>
      <c r="B587" t="s">
        <v>70</v>
      </c>
      <c r="C587">
        <v>158</v>
      </c>
      <c r="D587" t="s">
        <v>72</v>
      </c>
      <c r="E587" t="s">
        <v>74</v>
      </c>
      <c r="F587" t="s">
        <v>75</v>
      </c>
      <c r="G587">
        <v>22</v>
      </c>
      <c r="H587">
        <v>192.9</v>
      </c>
      <c r="I587">
        <v>86</v>
      </c>
      <c r="J587">
        <v>32.79</v>
      </c>
      <c r="K587">
        <v>219.7</v>
      </c>
      <c r="L587">
        <v>104</v>
      </c>
      <c r="M587">
        <v>18.670000000000002</v>
      </c>
      <c r="N587">
        <v>169.3</v>
      </c>
      <c r="O587">
        <v>92</v>
      </c>
      <c r="P587">
        <v>7.62</v>
      </c>
      <c r="Q587">
        <v>10.9</v>
      </c>
      <c r="R587">
        <v>3</v>
      </c>
      <c r="S587">
        <v>2.94</v>
      </c>
      <c r="T587">
        <v>2</v>
      </c>
    </row>
    <row r="588" spans="1:20" x14ac:dyDescent="0.3">
      <c r="A588">
        <v>587</v>
      </c>
      <c r="B588" t="s">
        <v>40</v>
      </c>
      <c r="C588">
        <v>103</v>
      </c>
      <c r="D588" t="s">
        <v>72</v>
      </c>
      <c r="E588" t="s">
        <v>74</v>
      </c>
      <c r="F588" t="s">
        <v>75</v>
      </c>
      <c r="G588">
        <v>29</v>
      </c>
      <c r="H588">
        <v>211.6</v>
      </c>
      <c r="I588">
        <v>111</v>
      </c>
      <c r="J588">
        <v>35.97</v>
      </c>
      <c r="K588">
        <v>237.9</v>
      </c>
      <c r="L588">
        <v>84</v>
      </c>
      <c r="M588">
        <v>20.22</v>
      </c>
      <c r="N588">
        <v>209.4</v>
      </c>
      <c r="O588">
        <v>93</v>
      </c>
      <c r="P588">
        <v>9.42</v>
      </c>
      <c r="Q588">
        <v>14</v>
      </c>
      <c r="R588">
        <v>7</v>
      </c>
      <c r="S588">
        <v>3.78</v>
      </c>
      <c r="T588">
        <v>2</v>
      </c>
    </row>
    <row r="589" spans="1:20" x14ac:dyDescent="0.3">
      <c r="A589">
        <v>588</v>
      </c>
      <c r="B589" t="s">
        <v>24</v>
      </c>
      <c r="C589">
        <v>63</v>
      </c>
      <c r="D589" t="s">
        <v>72</v>
      </c>
      <c r="E589" t="s">
        <v>74</v>
      </c>
      <c r="F589" t="s">
        <v>74</v>
      </c>
      <c r="G589">
        <v>0</v>
      </c>
      <c r="H589">
        <v>81.7</v>
      </c>
      <c r="I589">
        <v>105</v>
      </c>
      <c r="J589">
        <v>13.89</v>
      </c>
      <c r="K589">
        <v>203</v>
      </c>
      <c r="L589">
        <v>66</v>
      </c>
      <c r="M589">
        <v>17.260000000000002</v>
      </c>
      <c r="N589">
        <v>181.2</v>
      </c>
      <c r="O589">
        <v>109</v>
      </c>
      <c r="P589">
        <v>8.15</v>
      </c>
      <c r="Q589">
        <v>12.9</v>
      </c>
      <c r="R589">
        <v>3</v>
      </c>
      <c r="S589">
        <v>3.48</v>
      </c>
      <c r="T589">
        <v>2</v>
      </c>
    </row>
    <row r="590" spans="1:20" x14ac:dyDescent="0.3">
      <c r="A590">
        <v>589</v>
      </c>
      <c r="B590" t="s">
        <v>29</v>
      </c>
      <c r="C590">
        <v>40</v>
      </c>
      <c r="D590" t="s">
        <v>72</v>
      </c>
      <c r="E590" t="s">
        <v>74</v>
      </c>
      <c r="F590" t="s">
        <v>74</v>
      </c>
      <c r="G590">
        <v>0</v>
      </c>
      <c r="H590">
        <v>146.4</v>
      </c>
      <c r="I590">
        <v>105</v>
      </c>
      <c r="J590">
        <v>24.89</v>
      </c>
      <c r="K590">
        <v>196.4</v>
      </c>
      <c r="L590">
        <v>143</v>
      </c>
      <c r="M590">
        <v>16.690000000000001</v>
      </c>
      <c r="N590">
        <v>235.6</v>
      </c>
      <c r="O590">
        <v>123</v>
      </c>
      <c r="P590">
        <v>10.6</v>
      </c>
      <c r="Q590">
        <v>9.4</v>
      </c>
      <c r="R590">
        <v>3</v>
      </c>
      <c r="S590">
        <v>2.54</v>
      </c>
      <c r="T590">
        <v>3</v>
      </c>
    </row>
    <row r="591" spans="1:20" x14ac:dyDescent="0.3">
      <c r="A591">
        <v>590</v>
      </c>
      <c r="B591" t="s">
        <v>30</v>
      </c>
      <c r="C591">
        <v>117</v>
      </c>
      <c r="D591" t="s">
        <v>71</v>
      </c>
      <c r="E591" t="s">
        <v>74</v>
      </c>
      <c r="F591" t="s">
        <v>74</v>
      </c>
      <c r="G591">
        <v>0</v>
      </c>
      <c r="H591">
        <v>234.8</v>
      </c>
      <c r="I591">
        <v>118</v>
      </c>
      <c r="J591">
        <v>39.92</v>
      </c>
      <c r="K591">
        <v>211.7</v>
      </c>
      <c r="L591">
        <v>112</v>
      </c>
      <c r="M591">
        <v>17.989999999999998</v>
      </c>
      <c r="N591">
        <v>147</v>
      </c>
      <c r="O591">
        <v>97</v>
      </c>
      <c r="P591">
        <v>6.61</v>
      </c>
      <c r="Q591">
        <v>7.5</v>
      </c>
      <c r="R591">
        <v>3</v>
      </c>
      <c r="S591">
        <v>2.0299999999999998</v>
      </c>
      <c r="T591">
        <v>2</v>
      </c>
    </row>
    <row r="592" spans="1:20" x14ac:dyDescent="0.3">
      <c r="A592">
        <v>591</v>
      </c>
      <c r="B592" t="s">
        <v>65</v>
      </c>
      <c r="C592">
        <v>128</v>
      </c>
      <c r="D592" t="s">
        <v>71</v>
      </c>
      <c r="E592" t="s">
        <v>74</v>
      </c>
      <c r="F592" t="s">
        <v>74</v>
      </c>
      <c r="G592">
        <v>0</v>
      </c>
      <c r="H592">
        <v>140.30000000000001</v>
      </c>
      <c r="I592">
        <v>108</v>
      </c>
      <c r="J592">
        <v>23.85</v>
      </c>
      <c r="K592">
        <v>235.3</v>
      </c>
      <c r="L592">
        <v>111</v>
      </c>
      <c r="M592">
        <v>20</v>
      </c>
      <c r="N592">
        <v>200.8</v>
      </c>
      <c r="O592">
        <v>57</v>
      </c>
      <c r="P592">
        <v>9.0399999999999991</v>
      </c>
      <c r="Q592">
        <v>11.8</v>
      </c>
      <c r="R592">
        <v>6</v>
      </c>
      <c r="S592">
        <v>3.19</v>
      </c>
      <c r="T592">
        <v>1</v>
      </c>
    </row>
    <row r="593" spans="1:20" x14ac:dyDescent="0.3">
      <c r="A593">
        <v>592</v>
      </c>
      <c r="B593" t="s">
        <v>22</v>
      </c>
      <c r="C593">
        <v>111</v>
      </c>
      <c r="D593" t="s">
        <v>72</v>
      </c>
      <c r="E593" t="s">
        <v>74</v>
      </c>
      <c r="F593" t="s">
        <v>75</v>
      </c>
      <c r="G593">
        <v>33</v>
      </c>
      <c r="H593">
        <v>168.1</v>
      </c>
      <c r="I593">
        <v>97</v>
      </c>
      <c r="J593">
        <v>28.58</v>
      </c>
      <c r="K593">
        <v>204</v>
      </c>
      <c r="L593">
        <v>88</v>
      </c>
      <c r="M593">
        <v>17.34</v>
      </c>
      <c r="N593">
        <v>260.89999999999998</v>
      </c>
      <c r="O593">
        <v>97</v>
      </c>
      <c r="P593">
        <v>11.74</v>
      </c>
      <c r="Q593">
        <v>15.1</v>
      </c>
      <c r="R593">
        <v>3</v>
      </c>
      <c r="S593">
        <v>4.08</v>
      </c>
      <c r="T593">
        <v>1</v>
      </c>
    </row>
    <row r="594" spans="1:20" x14ac:dyDescent="0.3">
      <c r="A594">
        <v>593</v>
      </c>
      <c r="B594" t="s">
        <v>59</v>
      </c>
      <c r="C594">
        <v>167</v>
      </c>
      <c r="D594" t="s">
        <v>72</v>
      </c>
      <c r="E594" t="s">
        <v>74</v>
      </c>
      <c r="F594" t="s">
        <v>75</v>
      </c>
      <c r="G594">
        <v>30</v>
      </c>
      <c r="H594">
        <v>195.8</v>
      </c>
      <c r="I594">
        <v>118</v>
      </c>
      <c r="J594">
        <v>33.29</v>
      </c>
      <c r="K594">
        <v>166.4</v>
      </c>
      <c r="L594">
        <v>109</v>
      </c>
      <c r="M594">
        <v>14.14</v>
      </c>
      <c r="N594">
        <v>297.39999999999998</v>
      </c>
      <c r="O594">
        <v>84</v>
      </c>
      <c r="P594">
        <v>13.38</v>
      </c>
      <c r="Q594">
        <v>11.7</v>
      </c>
      <c r="R594">
        <v>2</v>
      </c>
      <c r="S594">
        <v>3.16</v>
      </c>
      <c r="T594">
        <v>0</v>
      </c>
    </row>
    <row r="595" spans="1:20" x14ac:dyDescent="0.3">
      <c r="A595">
        <v>594</v>
      </c>
      <c r="B595" t="s">
        <v>47</v>
      </c>
      <c r="C595">
        <v>54</v>
      </c>
      <c r="D595" t="s">
        <v>71</v>
      </c>
      <c r="E595" t="s">
        <v>74</v>
      </c>
      <c r="F595" t="s">
        <v>74</v>
      </c>
      <c r="G595">
        <v>0</v>
      </c>
      <c r="H595">
        <v>230.2</v>
      </c>
      <c r="I595">
        <v>89</v>
      </c>
      <c r="J595">
        <v>39.130000000000003</v>
      </c>
      <c r="K595">
        <v>148.69999999999999</v>
      </c>
      <c r="L595">
        <v>110</v>
      </c>
      <c r="M595">
        <v>12.64</v>
      </c>
      <c r="N595">
        <v>255.6</v>
      </c>
      <c r="O595">
        <v>139</v>
      </c>
      <c r="P595">
        <v>11.5</v>
      </c>
      <c r="Q595">
        <v>8.1</v>
      </c>
      <c r="R595">
        <v>3</v>
      </c>
      <c r="S595">
        <v>2.19</v>
      </c>
      <c r="T595">
        <v>4</v>
      </c>
    </row>
    <row r="596" spans="1:20" x14ac:dyDescent="0.3">
      <c r="A596">
        <v>595</v>
      </c>
      <c r="B596" t="s">
        <v>38</v>
      </c>
      <c r="C596">
        <v>115</v>
      </c>
      <c r="D596" t="s">
        <v>73</v>
      </c>
      <c r="E596" t="s">
        <v>74</v>
      </c>
      <c r="F596" t="s">
        <v>75</v>
      </c>
      <c r="G596">
        <v>30</v>
      </c>
      <c r="H596">
        <v>181.2</v>
      </c>
      <c r="I596">
        <v>65</v>
      </c>
      <c r="J596">
        <v>30.8</v>
      </c>
      <c r="K596">
        <v>193.2</v>
      </c>
      <c r="L596">
        <v>62</v>
      </c>
      <c r="M596">
        <v>16.420000000000002</v>
      </c>
      <c r="N596">
        <v>153.19999999999999</v>
      </c>
      <c r="O596">
        <v>92</v>
      </c>
      <c r="P596">
        <v>6.89</v>
      </c>
      <c r="Q596">
        <v>9.9</v>
      </c>
      <c r="R596">
        <v>6</v>
      </c>
      <c r="S596">
        <v>2.67</v>
      </c>
      <c r="T596">
        <v>2</v>
      </c>
    </row>
    <row r="597" spans="1:20" x14ac:dyDescent="0.3">
      <c r="A597">
        <v>596</v>
      </c>
      <c r="B597" t="s">
        <v>60</v>
      </c>
      <c r="C597">
        <v>112</v>
      </c>
      <c r="D597" t="s">
        <v>71</v>
      </c>
      <c r="E597" t="s">
        <v>74</v>
      </c>
      <c r="F597" t="s">
        <v>74</v>
      </c>
      <c r="G597">
        <v>0</v>
      </c>
      <c r="H597">
        <v>105.3</v>
      </c>
      <c r="I597">
        <v>101</v>
      </c>
      <c r="J597">
        <v>17.899999999999999</v>
      </c>
      <c r="K597">
        <v>187.2</v>
      </c>
      <c r="L597">
        <v>92</v>
      </c>
      <c r="M597">
        <v>15.91</v>
      </c>
      <c r="N597">
        <v>206.4</v>
      </c>
      <c r="O597">
        <v>101</v>
      </c>
      <c r="P597">
        <v>9.2899999999999991</v>
      </c>
      <c r="Q597">
        <v>11.1</v>
      </c>
      <c r="R597">
        <v>2</v>
      </c>
      <c r="S597">
        <v>3</v>
      </c>
      <c r="T597">
        <v>4</v>
      </c>
    </row>
    <row r="598" spans="1:20" x14ac:dyDescent="0.3">
      <c r="A598">
        <v>597</v>
      </c>
      <c r="B598" t="s">
        <v>50</v>
      </c>
      <c r="C598">
        <v>94</v>
      </c>
      <c r="D598" t="s">
        <v>71</v>
      </c>
      <c r="E598" t="s">
        <v>74</v>
      </c>
      <c r="F598" t="s">
        <v>74</v>
      </c>
      <c r="G598">
        <v>0</v>
      </c>
      <c r="H598">
        <v>208.1</v>
      </c>
      <c r="I598">
        <v>72</v>
      </c>
      <c r="J598">
        <v>35.380000000000003</v>
      </c>
      <c r="K598">
        <v>188</v>
      </c>
      <c r="L598">
        <v>79</v>
      </c>
      <c r="M598">
        <v>15.98</v>
      </c>
      <c r="N598">
        <v>162</v>
      </c>
      <c r="O598">
        <v>96</v>
      </c>
      <c r="P598">
        <v>7.29</v>
      </c>
      <c r="Q598">
        <v>4.5999999999999996</v>
      </c>
      <c r="R598">
        <v>5</v>
      </c>
      <c r="S598">
        <v>1.24</v>
      </c>
      <c r="T598">
        <v>2</v>
      </c>
    </row>
    <row r="599" spans="1:20" x14ac:dyDescent="0.3">
      <c r="A599">
        <v>598</v>
      </c>
      <c r="B599" t="s">
        <v>37</v>
      </c>
      <c r="C599">
        <v>87</v>
      </c>
      <c r="D599" t="s">
        <v>73</v>
      </c>
      <c r="E599" t="s">
        <v>74</v>
      </c>
      <c r="F599" t="s">
        <v>74</v>
      </c>
      <c r="G599">
        <v>0</v>
      </c>
      <c r="H599">
        <v>156</v>
      </c>
      <c r="I599">
        <v>70</v>
      </c>
      <c r="J599">
        <v>26.52</v>
      </c>
      <c r="K599">
        <v>160.5</v>
      </c>
      <c r="L599">
        <v>89</v>
      </c>
      <c r="M599">
        <v>13.64</v>
      </c>
      <c r="N599">
        <v>206.6</v>
      </c>
      <c r="O599">
        <v>112</v>
      </c>
      <c r="P599">
        <v>9.3000000000000007</v>
      </c>
      <c r="Q599">
        <v>7.1</v>
      </c>
      <c r="R599">
        <v>3</v>
      </c>
      <c r="S599">
        <v>1.92</v>
      </c>
      <c r="T599">
        <v>4</v>
      </c>
    </row>
    <row r="600" spans="1:20" x14ac:dyDescent="0.3">
      <c r="A600">
        <v>599</v>
      </c>
      <c r="B600" t="s">
        <v>24</v>
      </c>
      <c r="C600">
        <v>11</v>
      </c>
      <c r="D600" t="s">
        <v>71</v>
      </c>
      <c r="E600" t="s">
        <v>74</v>
      </c>
      <c r="F600" t="s">
        <v>74</v>
      </c>
      <c r="G600">
        <v>0</v>
      </c>
      <c r="H600">
        <v>136.6</v>
      </c>
      <c r="I600">
        <v>111</v>
      </c>
      <c r="J600">
        <v>23.22</v>
      </c>
      <c r="K600">
        <v>80.599999999999994</v>
      </c>
      <c r="L600">
        <v>78</v>
      </c>
      <c r="M600">
        <v>6.85</v>
      </c>
      <c r="N600">
        <v>201.7</v>
      </c>
      <c r="O600">
        <v>77</v>
      </c>
      <c r="P600">
        <v>9.08</v>
      </c>
      <c r="Q600">
        <v>9.9</v>
      </c>
      <c r="R600">
        <v>4</v>
      </c>
      <c r="S600">
        <v>2.67</v>
      </c>
      <c r="T600">
        <v>0</v>
      </c>
    </row>
    <row r="601" spans="1:20" x14ac:dyDescent="0.3">
      <c r="A601">
        <v>600</v>
      </c>
      <c r="B601" t="s">
        <v>36</v>
      </c>
      <c r="C601">
        <v>192</v>
      </c>
      <c r="D601" t="s">
        <v>72</v>
      </c>
      <c r="E601" t="s">
        <v>74</v>
      </c>
      <c r="F601" t="s">
        <v>74</v>
      </c>
      <c r="G601">
        <v>0</v>
      </c>
      <c r="H601">
        <v>174.5</v>
      </c>
      <c r="I601">
        <v>83</v>
      </c>
      <c r="J601">
        <v>29.67</v>
      </c>
      <c r="K601">
        <v>232.7</v>
      </c>
      <c r="L601">
        <v>102</v>
      </c>
      <c r="M601">
        <v>19.78</v>
      </c>
      <c r="N601">
        <v>101.5</v>
      </c>
      <c r="O601">
        <v>68</v>
      </c>
      <c r="P601">
        <v>4.57</v>
      </c>
      <c r="Q601">
        <v>12.4</v>
      </c>
      <c r="R601">
        <v>4</v>
      </c>
      <c r="S601">
        <v>3.35</v>
      </c>
      <c r="T601">
        <v>1</v>
      </c>
    </row>
    <row r="602" spans="1:20" x14ac:dyDescent="0.3">
      <c r="A602">
        <v>601</v>
      </c>
      <c r="B602" t="s">
        <v>62</v>
      </c>
      <c r="C602">
        <v>124</v>
      </c>
      <c r="D602" t="s">
        <v>73</v>
      </c>
      <c r="E602" t="s">
        <v>74</v>
      </c>
      <c r="F602" t="s">
        <v>74</v>
      </c>
      <c r="G602">
        <v>0</v>
      </c>
      <c r="H602">
        <v>192.6</v>
      </c>
      <c r="I602">
        <v>108</v>
      </c>
      <c r="J602">
        <v>32.74</v>
      </c>
      <c r="K602">
        <v>223.3</v>
      </c>
      <c r="L602">
        <v>106</v>
      </c>
      <c r="M602">
        <v>18.98</v>
      </c>
      <c r="N602">
        <v>187</v>
      </c>
      <c r="O602">
        <v>84</v>
      </c>
      <c r="P602">
        <v>8.41</v>
      </c>
      <c r="Q602">
        <v>4.2</v>
      </c>
      <c r="R602">
        <v>2</v>
      </c>
      <c r="S602">
        <v>1.1299999999999999</v>
      </c>
      <c r="T602">
        <v>1</v>
      </c>
    </row>
    <row r="603" spans="1:20" x14ac:dyDescent="0.3">
      <c r="A603">
        <v>602</v>
      </c>
      <c r="B603" t="s">
        <v>43</v>
      </c>
      <c r="C603">
        <v>97</v>
      </c>
      <c r="D603" t="s">
        <v>72</v>
      </c>
      <c r="E603" t="s">
        <v>74</v>
      </c>
      <c r="F603" t="s">
        <v>74</v>
      </c>
      <c r="G603">
        <v>0</v>
      </c>
      <c r="H603">
        <v>164.2</v>
      </c>
      <c r="I603">
        <v>97</v>
      </c>
      <c r="J603">
        <v>27.91</v>
      </c>
      <c r="K603">
        <v>232.2</v>
      </c>
      <c r="L603">
        <v>85</v>
      </c>
      <c r="M603">
        <v>19.739999999999998</v>
      </c>
      <c r="N603">
        <v>198.8</v>
      </c>
      <c r="O603">
        <v>118</v>
      </c>
      <c r="P603">
        <v>8.9499999999999993</v>
      </c>
      <c r="Q603">
        <v>6.5</v>
      </c>
      <c r="R603">
        <v>3</v>
      </c>
      <c r="S603">
        <v>1.76</v>
      </c>
      <c r="T603">
        <v>1</v>
      </c>
    </row>
    <row r="604" spans="1:20" x14ac:dyDescent="0.3">
      <c r="A604">
        <v>603</v>
      </c>
      <c r="B604" t="s">
        <v>50</v>
      </c>
      <c r="C604">
        <v>93</v>
      </c>
      <c r="D604" t="s">
        <v>72</v>
      </c>
      <c r="E604" t="s">
        <v>75</v>
      </c>
      <c r="F604" t="s">
        <v>74</v>
      </c>
      <c r="G604">
        <v>0</v>
      </c>
      <c r="H604">
        <v>172.4</v>
      </c>
      <c r="I604">
        <v>133</v>
      </c>
      <c r="J604">
        <v>29.31</v>
      </c>
      <c r="K604">
        <v>205.6</v>
      </c>
      <c r="L604">
        <v>77</v>
      </c>
      <c r="M604">
        <v>17.48</v>
      </c>
      <c r="N604">
        <v>245.8</v>
      </c>
      <c r="O604">
        <v>126</v>
      </c>
      <c r="P604">
        <v>11.06</v>
      </c>
      <c r="Q604">
        <v>9.1</v>
      </c>
      <c r="R604">
        <v>9</v>
      </c>
      <c r="S604">
        <v>2.46</v>
      </c>
      <c r="T604">
        <v>1</v>
      </c>
    </row>
    <row r="605" spans="1:20" x14ac:dyDescent="0.3">
      <c r="A605">
        <v>604</v>
      </c>
      <c r="B605" t="s">
        <v>25</v>
      </c>
      <c r="C605">
        <v>103</v>
      </c>
      <c r="D605" t="s">
        <v>73</v>
      </c>
      <c r="E605" t="s">
        <v>74</v>
      </c>
      <c r="F605" t="s">
        <v>74</v>
      </c>
      <c r="G605">
        <v>0</v>
      </c>
      <c r="H605">
        <v>205.2</v>
      </c>
      <c r="I605">
        <v>74</v>
      </c>
      <c r="J605">
        <v>34.880000000000003</v>
      </c>
      <c r="K605">
        <v>200.8</v>
      </c>
      <c r="L605">
        <v>97</v>
      </c>
      <c r="M605">
        <v>17.07</v>
      </c>
      <c r="N605">
        <v>251.1</v>
      </c>
      <c r="O605">
        <v>94</v>
      </c>
      <c r="P605">
        <v>11.3</v>
      </c>
      <c r="Q605">
        <v>11.2</v>
      </c>
      <c r="R605">
        <v>1</v>
      </c>
      <c r="S605">
        <v>3.02</v>
      </c>
      <c r="T605">
        <v>1</v>
      </c>
    </row>
    <row r="606" spans="1:20" x14ac:dyDescent="0.3">
      <c r="A606">
        <v>605</v>
      </c>
      <c r="B606" t="s">
        <v>46</v>
      </c>
      <c r="C606">
        <v>75</v>
      </c>
      <c r="D606" t="s">
        <v>72</v>
      </c>
      <c r="E606" t="s">
        <v>74</v>
      </c>
      <c r="F606" t="s">
        <v>74</v>
      </c>
      <c r="G606">
        <v>0</v>
      </c>
      <c r="H606">
        <v>192</v>
      </c>
      <c r="I606">
        <v>106</v>
      </c>
      <c r="J606">
        <v>32.64</v>
      </c>
      <c r="K606">
        <v>140.4</v>
      </c>
      <c r="L606">
        <v>97</v>
      </c>
      <c r="M606">
        <v>11.93</v>
      </c>
      <c r="N606">
        <v>190.1</v>
      </c>
      <c r="O606">
        <v>94</v>
      </c>
      <c r="P606">
        <v>8.5500000000000007</v>
      </c>
      <c r="Q606">
        <v>7.6</v>
      </c>
      <c r="R606">
        <v>5</v>
      </c>
      <c r="S606">
        <v>2.0499999999999998</v>
      </c>
      <c r="T606">
        <v>2</v>
      </c>
    </row>
    <row r="607" spans="1:20" x14ac:dyDescent="0.3">
      <c r="A607">
        <v>606</v>
      </c>
      <c r="B607" t="s">
        <v>70</v>
      </c>
      <c r="C607">
        <v>70</v>
      </c>
      <c r="D607" t="s">
        <v>73</v>
      </c>
      <c r="E607" t="s">
        <v>74</v>
      </c>
      <c r="F607" t="s">
        <v>74</v>
      </c>
      <c r="G607">
        <v>0</v>
      </c>
      <c r="H607">
        <v>156.6</v>
      </c>
      <c r="I607">
        <v>82</v>
      </c>
      <c r="J607">
        <v>26.62</v>
      </c>
      <c r="K607">
        <v>193.1</v>
      </c>
      <c r="L607">
        <v>112</v>
      </c>
      <c r="M607">
        <v>16.41</v>
      </c>
      <c r="N607">
        <v>179.8</v>
      </c>
      <c r="O607">
        <v>108</v>
      </c>
      <c r="P607">
        <v>8.09</v>
      </c>
      <c r="Q607">
        <v>12.6</v>
      </c>
      <c r="R607">
        <v>1</v>
      </c>
      <c r="S607">
        <v>3.4</v>
      </c>
      <c r="T607">
        <v>1</v>
      </c>
    </row>
    <row r="608" spans="1:20" x14ac:dyDescent="0.3">
      <c r="A608">
        <v>607</v>
      </c>
      <c r="B608" t="s">
        <v>27</v>
      </c>
      <c r="C608">
        <v>84</v>
      </c>
      <c r="D608" t="s">
        <v>73</v>
      </c>
      <c r="E608" t="s">
        <v>75</v>
      </c>
      <c r="F608" t="s">
        <v>75</v>
      </c>
      <c r="G608">
        <v>18</v>
      </c>
      <c r="H608">
        <v>136.80000000000001</v>
      </c>
      <c r="I608">
        <v>114</v>
      </c>
      <c r="J608">
        <v>23.26</v>
      </c>
      <c r="K608">
        <v>200.3</v>
      </c>
      <c r="L608">
        <v>110</v>
      </c>
      <c r="M608">
        <v>17.03</v>
      </c>
      <c r="N608">
        <v>199</v>
      </c>
      <c r="O608">
        <v>86</v>
      </c>
      <c r="P608">
        <v>8.9600000000000009</v>
      </c>
      <c r="Q608">
        <v>8</v>
      </c>
      <c r="R608">
        <v>4</v>
      </c>
      <c r="S608">
        <v>2.16</v>
      </c>
      <c r="T608">
        <v>3</v>
      </c>
    </row>
    <row r="609" spans="1:20" x14ac:dyDescent="0.3">
      <c r="A609">
        <v>608</v>
      </c>
      <c r="B609" t="s">
        <v>56</v>
      </c>
      <c r="C609">
        <v>129</v>
      </c>
      <c r="D609" t="s">
        <v>73</v>
      </c>
      <c r="E609" t="s">
        <v>74</v>
      </c>
      <c r="F609" t="s">
        <v>74</v>
      </c>
      <c r="G609">
        <v>0</v>
      </c>
      <c r="H609">
        <v>52.2</v>
      </c>
      <c r="I609">
        <v>93</v>
      </c>
      <c r="J609">
        <v>8.8699999999999992</v>
      </c>
      <c r="K609">
        <v>128.80000000000001</v>
      </c>
      <c r="L609">
        <v>117</v>
      </c>
      <c r="M609">
        <v>10.95</v>
      </c>
      <c r="N609">
        <v>141.69999999999999</v>
      </c>
      <c r="O609">
        <v>63</v>
      </c>
      <c r="P609">
        <v>6.38</v>
      </c>
      <c r="Q609">
        <v>9.4</v>
      </c>
      <c r="R609">
        <v>12</v>
      </c>
      <c r="S609">
        <v>2.54</v>
      </c>
      <c r="T609">
        <v>1</v>
      </c>
    </row>
    <row r="610" spans="1:20" x14ac:dyDescent="0.3">
      <c r="A610">
        <v>609</v>
      </c>
      <c r="B610" t="s">
        <v>28</v>
      </c>
      <c r="C610">
        <v>38</v>
      </c>
      <c r="D610" t="s">
        <v>71</v>
      </c>
      <c r="E610" t="s">
        <v>74</v>
      </c>
      <c r="F610" t="s">
        <v>74</v>
      </c>
      <c r="G610">
        <v>0</v>
      </c>
      <c r="H610">
        <v>228.3</v>
      </c>
      <c r="I610">
        <v>129</v>
      </c>
      <c r="J610">
        <v>38.81</v>
      </c>
      <c r="K610">
        <v>141.9</v>
      </c>
      <c r="L610">
        <v>83</v>
      </c>
      <c r="M610">
        <v>12.06</v>
      </c>
      <c r="N610">
        <v>268.60000000000002</v>
      </c>
      <c r="O610">
        <v>116</v>
      </c>
      <c r="P610">
        <v>12.09</v>
      </c>
      <c r="Q610">
        <v>9.6999999999999993</v>
      </c>
      <c r="R610">
        <v>3</v>
      </c>
      <c r="S610">
        <v>2.62</v>
      </c>
      <c r="T610">
        <v>2</v>
      </c>
    </row>
    <row r="611" spans="1:20" x14ac:dyDescent="0.3">
      <c r="A611">
        <v>610</v>
      </c>
      <c r="B611" t="s">
        <v>52</v>
      </c>
      <c r="C611">
        <v>170</v>
      </c>
      <c r="D611" t="s">
        <v>73</v>
      </c>
      <c r="E611" t="s">
        <v>74</v>
      </c>
      <c r="F611" t="s">
        <v>74</v>
      </c>
      <c r="G611">
        <v>0</v>
      </c>
      <c r="H611">
        <v>215.4</v>
      </c>
      <c r="I611">
        <v>94</v>
      </c>
      <c r="J611">
        <v>36.619999999999997</v>
      </c>
      <c r="K611">
        <v>138.19999999999999</v>
      </c>
      <c r="L611">
        <v>97</v>
      </c>
      <c r="M611">
        <v>11.75</v>
      </c>
      <c r="N611">
        <v>237.1</v>
      </c>
      <c r="O611">
        <v>117</v>
      </c>
      <c r="P611">
        <v>10.67</v>
      </c>
      <c r="Q611">
        <v>12.5</v>
      </c>
      <c r="R611">
        <v>5</v>
      </c>
      <c r="S611">
        <v>3.38</v>
      </c>
      <c r="T611">
        <v>1</v>
      </c>
    </row>
    <row r="612" spans="1:20" x14ac:dyDescent="0.3">
      <c r="A612">
        <v>611</v>
      </c>
      <c r="B612" t="s">
        <v>67</v>
      </c>
      <c r="C612">
        <v>72</v>
      </c>
      <c r="D612" t="s">
        <v>73</v>
      </c>
      <c r="E612" t="s">
        <v>74</v>
      </c>
      <c r="F612" t="s">
        <v>74</v>
      </c>
      <c r="G612">
        <v>0</v>
      </c>
      <c r="H612">
        <v>153.80000000000001</v>
      </c>
      <c r="I612">
        <v>64</v>
      </c>
      <c r="J612">
        <v>26.15</v>
      </c>
      <c r="K612">
        <v>304.39999999999998</v>
      </c>
      <c r="L612">
        <v>106</v>
      </c>
      <c r="M612">
        <v>25.87</v>
      </c>
      <c r="N612">
        <v>185</v>
      </c>
      <c r="O612">
        <v>125</v>
      </c>
      <c r="P612">
        <v>8.32</v>
      </c>
      <c r="Q612">
        <v>8.4</v>
      </c>
      <c r="R612">
        <v>5</v>
      </c>
      <c r="S612">
        <v>2.27</v>
      </c>
      <c r="T612">
        <v>1</v>
      </c>
    </row>
    <row r="613" spans="1:20" x14ac:dyDescent="0.3">
      <c r="A613">
        <v>612</v>
      </c>
      <c r="B613" t="s">
        <v>27</v>
      </c>
      <c r="C613">
        <v>111</v>
      </c>
      <c r="D613" t="s">
        <v>73</v>
      </c>
      <c r="E613" t="s">
        <v>75</v>
      </c>
      <c r="F613" t="s">
        <v>74</v>
      </c>
      <c r="G613">
        <v>0</v>
      </c>
      <c r="H613">
        <v>159.4</v>
      </c>
      <c r="I613">
        <v>47</v>
      </c>
      <c r="J613">
        <v>27.1</v>
      </c>
      <c r="K613">
        <v>269.3</v>
      </c>
      <c r="L613">
        <v>53</v>
      </c>
      <c r="M613">
        <v>22.89</v>
      </c>
      <c r="N613">
        <v>179.8</v>
      </c>
      <c r="O613">
        <v>103</v>
      </c>
      <c r="P613">
        <v>8.09</v>
      </c>
      <c r="Q613">
        <v>13.7</v>
      </c>
      <c r="R613">
        <v>2</v>
      </c>
      <c r="S613">
        <v>3.7</v>
      </c>
      <c r="T613">
        <v>2</v>
      </c>
    </row>
    <row r="614" spans="1:20" x14ac:dyDescent="0.3">
      <c r="A614">
        <v>613</v>
      </c>
      <c r="B614" t="s">
        <v>34</v>
      </c>
      <c r="C614">
        <v>98</v>
      </c>
      <c r="D614" t="s">
        <v>71</v>
      </c>
      <c r="E614" t="s">
        <v>75</v>
      </c>
      <c r="F614" t="s">
        <v>74</v>
      </c>
      <c r="G614">
        <v>0</v>
      </c>
      <c r="H614">
        <v>172.5</v>
      </c>
      <c r="I614">
        <v>118</v>
      </c>
      <c r="J614">
        <v>29.33</v>
      </c>
      <c r="K614">
        <v>198.5</v>
      </c>
      <c r="L614">
        <v>107</v>
      </c>
      <c r="M614">
        <v>16.87</v>
      </c>
      <c r="N614">
        <v>230.2</v>
      </c>
      <c r="O614">
        <v>105</v>
      </c>
      <c r="P614">
        <v>10.36</v>
      </c>
      <c r="Q614">
        <v>12.6</v>
      </c>
      <c r="R614">
        <v>3</v>
      </c>
      <c r="S614">
        <v>3.4</v>
      </c>
      <c r="T614">
        <v>1</v>
      </c>
    </row>
    <row r="615" spans="1:20" x14ac:dyDescent="0.3">
      <c r="A615">
        <v>614</v>
      </c>
      <c r="B615" t="s">
        <v>43</v>
      </c>
      <c r="C615">
        <v>94</v>
      </c>
      <c r="D615" t="s">
        <v>73</v>
      </c>
      <c r="E615" t="s">
        <v>74</v>
      </c>
      <c r="F615" t="s">
        <v>74</v>
      </c>
      <c r="G615">
        <v>0</v>
      </c>
      <c r="H615">
        <v>229.2</v>
      </c>
      <c r="I615">
        <v>103</v>
      </c>
      <c r="J615">
        <v>38.96</v>
      </c>
      <c r="K615">
        <v>163.9</v>
      </c>
      <c r="L615">
        <v>133</v>
      </c>
      <c r="M615">
        <v>13.93</v>
      </c>
      <c r="N615">
        <v>190.1</v>
      </c>
      <c r="O615">
        <v>67</v>
      </c>
      <c r="P615">
        <v>8.5500000000000007</v>
      </c>
      <c r="Q615">
        <v>7.4</v>
      </c>
      <c r="R615">
        <v>6</v>
      </c>
      <c r="S615">
        <v>2</v>
      </c>
      <c r="T615">
        <v>3</v>
      </c>
    </row>
    <row r="616" spans="1:20" x14ac:dyDescent="0.3">
      <c r="A616">
        <v>615</v>
      </c>
      <c r="B616" t="s">
        <v>28</v>
      </c>
      <c r="C616">
        <v>82</v>
      </c>
      <c r="D616" t="s">
        <v>71</v>
      </c>
      <c r="E616" t="s">
        <v>74</v>
      </c>
      <c r="F616" t="s">
        <v>75</v>
      </c>
      <c r="G616">
        <v>33</v>
      </c>
      <c r="H616">
        <v>247.4</v>
      </c>
      <c r="I616">
        <v>106</v>
      </c>
      <c r="J616">
        <v>42.06</v>
      </c>
      <c r="K616">
        <v>167.1</v>
      </c>
      <c r="L616">
        <v>110</v>
      </c>
      <c r="M616">
        <v>14.2</v>
      </c>
      <c r="N616">
        <v>207.6</v>
      </c>
      <c r="O616">
        <v>113</v>
      </c>
      <c r="P616">
        <v>9.34</v>
      </c>
      <c r="Q616">
        <v>6.8</v>
      </c>
      <c r="R616">
        <v>1</v>
      </c>
      <c r="S616">
        <v>1.84</v>
      </c>
      <c r="T616">
        <v>5</v>
      </c>
    </row>
    <row r="617" spans="1:20" x14ac:dyDescent="0.3">
      <c r="A617">
        <v>616</v>
      </c>
      <c r="B617" t="s">
        <v>48</v>
      </c>
      <c r="C617">
        <v>102</v>
      </c>
      <c r="D617" t="s">
        <v>72</v>
      </c>
      <c r="E617" t="s">
        <v>74</v>
      </c>
      <c r="F617" t="s">
        <v>75</v>
      </c>
      <c r="G617">
        <v>29</v>
      </c>
      <c r="H617">
        <v>158.19999999999999</v>
      </c>
      <c r="I617">
        <v>132</v>
      </c>
      <c r="J617">
        <v>26.89</v>
      </c>
      <c r="K617">
        <v>250.6</v>
      </c>
      <c r="L617">
        <v>47</v>
      </c>
      <c r="M617">
        <v>21.3</v>
      </c>
      <c r="N617">
        <v>219.3</v>
      </c>
      <c r="O617">
        <v>86</v>
      </c>
      <c r="P617">
        <v>9.8699999999999992</v>
      </c>
      <c r="Q617">
        <v>15.1</v>
      </c>
      <c r="R617">
        <v>4</v>
      </c>
      <c r="S617">
        <v>4.08</v>
      </c>
      <c r="T617">
        <v>1</v>
      </c>
    </row>
    <row r="618" spans="1:20" x14ac:dyDescent="0.3">
      <c r="A618">
        <v>617</v>
      </c>
      <c r="B618" t="s">
        <v>62</v>
      </c>
      <c r="C618">
        <v>103</v>
      </c>
      <c r="D618" t="s">
        <v>71</v>
      </c>
      <c r="E618" t="s">
        <v>74</v>
      </c>
      <c r="F618" t="s">
        <v>75</v>
      </c>
      <c r="G618">
        <v>22</v>
      </c>
      <c r="H618">
        <v>219</v>
      </c>
      <c r="I618">
        <v>126</v>
      </c>
      <c r="J618">
        <v>37.229999999999997</v>
      </c>
      <c r="K618">
        <v>311.89999999999998</v>
      </c>
      <c r="L618">
        <v>126</v>
      </c>
      <c r="M618">
        <v>26.51</v>
      </c>
      <c r="N618">
        <v>197</v>
      </c>
      <c r="O618">
        <v>112</v>
      </c>
      <c r="P618">
        <v>8.8699999999999992</v>
      </c>
      <c r="Q618">
        <v>9</v>
      </c>
      <c r="R618">
        <v>8</v>
      </c>
      <c r="S618">
        <v>2.4300000000000002</v>
      </c>
      <c r="T618">
        <v>3</v>
      </c>
    </row>
    <row r="619" spans="1:20" x14ac:dyDescent="0.3">
      <c r="A619">
        <v>618</v>
      </c>
      <c r="B619" t="s">
        <v>49</v>
      </c>
      <c r="C619">
        <v>156</v>
      </c>
      <c r="D619" t="s">
        <v>72</v>
      </c>
      <c r="E619" t="s">
        <v>74</v>
      </c>
      <c r="F619" t="s">
        <v>74</v>
      </c>
      <c r="G619">
        <v>0</v>
      </c>
      <c r="H619">
        <v>81.7</v>
      </c>
      <c r="I619">
        <v>133</v>
      </c>
      <c r="J619">
        <v>13.89</v>
      </c>
      <c r="K619">
        <v>242.5</v>
      </c>
      <c r="L619">
        <v>117</v>
      </c>
      <c r="M619">
        <v>20.61</v>
      </c>
      <c r="N619">
        <v>203.8</v>
      </c>
      <c r="O619">
        <v>112</v>
      </c>
      <c r="P619">
        <v>9.17</v>
      </c>
      <c r="Q619">
        <v>12.3</v>
      </c>
      <c r="R619">
        <v>6</v>
      </c>
      <c r="S619">
        <v>3.32</v>
      </c>
      <c r="T619">
        <v>3</v>
      </c>
    </row>
    <row r="620" spans="1:20" x14ac:dyDescent="0.3">
      <c r="A620">
        <v>619</v>
      </c>
      <c r="B620" t="s">
        <v>53</v>
      </c>
      <c r="C620">
        <v>109</v>
      </c>
      <c r="D620" t="s">
        <v>72</v>
      </c>
      <c r="E620" t="s">
        <v>75</v>
      </c>
      <c r="F620" t="s">
        <v>74</v>
      </c>
      <c r="G620">
        <v>0</v>
      </c>
      <c r="H620">
        <v>186.5</v>
      </c>
      <c r="I620">
        <v>106</v>
      </c>
      <c r="J620">
        <v>31.71</v>
      </c>
      <c r="K620">
        <v>190.3</v>
      </c>
      <c r="L620">
        <v>103</v>
      </c>
      <c r="M620">
        <v>16.18</v>
      </c>
      <c r="N620">
        <v>168.5</v>
      </c>
      <c r="O620">
        <v>128</v>
      </c>
      <c r="P620">
        <v>7.58</v>
      </c>
      <c r="Q620">
        <v>10.5</v>
      </c>
      <c r="R620">
        <v>6</v>
      </c>
      <c r="S620">
        <v>2.84</v>
      </c>
      <c r="T620">
        <v>2</v>
      </c>
    </row>
    <row r="621" spans="1:20" x14ac:dyDescent="0.3">
      <c r="A621">
        <v>620</v>
      </c>
      <c r="B621" t="s">
        <v>28</v>
      </c>
      <c r="C621">
        <v>117</v>
      </c>
      <c r="D621" t="s">
        <v>73</v>
      </c>
      <c r="E621" t="s">
        <v>74</v>
      </c>
      <c r="F621" t="s">
        <v>74</v>
      </c>
      <c r="G621">
        <v>0</v>
      </c>
      <c r="H621">
        <v>185.6</v>
      </c>
      <c r="I621">
        <v>115</v>
      </c>
      <c r="J621">
        <v>31.55</v>
      </c>
      <c r="K621">
        <v>174.8</v>
      </c>
      <c r="L621">
        <v>83</v>
      </c>
      <c r="M621">
        <v>14.86</v>
      </c>
      <c r="N621">
        <v>188.2</v>
      </c>
      <c r="O621">
        <v>122</v>
      </c>
      <c r="P621">
        <v>8.4700000000000006</v>
      </c>
      <c r="Q621">
        <v>6.7</v>
      </c>
      <c r="R621">
        <v>4</v>
      </c>
      <c r="S621">
        <v>1.81</v>
      </c>
      <c r="T621">
        <v>4</v>
      </c>
    </row>
    <row r="622" spans="1:20" x14ac:dyDescent="0.3">
      <c r="A622">
        <v>621</v>
      </c>
      <c r="B622" t="s">
        <v>27</v>
      </c>
      <c r="C622">
        <v>26</v>
      </c>
      <c r="D622" t="s">
        <v>72</v>
      </c>
      <c r="E622" t="s">
        <v>74</v>
      </c>
      <c r="F622" t="s">
        <v>74</v>
      </c>
      <c r="G622">
        <v>0</v>
      </c>
      <c r="H622">
        <v>83.2</v>
      </c>
      <c r="I622">
        <v>93</v>
      </c>
      <c r="J622">
        <v>14.14</v>
      </c>
      <c r="K622">
        <v>199.5</v>
      </c>
      <c r="L622">
        <v>64</v>
      </c>
      <c r="M622">
        <v>16.96</v>
      </c>
      <c r="N622">
        <v>242.6</v>
      </c>
      <c r="O622">
        <v>112</v>
      </c>
      <c r="P622">
        <v>10.92</v>
      </c>
      <c r="Q622">
        <v>10.7</v>
      </c>
      <c r="R622">
        <v>4</v>
      </c>
      <c r="S622">
        <v>2.89</v>
      </c>
      <c r="T622">
        <v>1</v>
      </c>
    </row>
    <row r="623" spans="1:20" x14ac:dyDescent="0.3">
      <c r="A623">
        <v>622</v>
      </c>
      <c r="B623" t="s">
        <v>62</v>
      </c>
      <c r="C623">
        <v>121</v>
      </c>
      <c r="D623" t="s">
        <v>71</v>
      </c>
      <c r="E623" t="s">
        <v>74</v>
      </c>
      <c r="F623" t="s">
        <v>74</v>
      </c>
      <c r="G623">
        <v>0</v>
      </c>
      <c r="H623">
        <v>123.6</v>
      </c>
      <c r="I623">
        <v>113</v>
      </c>
      <c r="J623">
        <v>21.01</v>
      </c>
      <c r="K623">
        <v>229.4</v>
      </c>
      <c r="L623">
        <v>85</v>
      </c>
      <c r="M623">
        <v>19.5</v>
      </c>
      <c r="N623">
        <v>242.9</v>
      </c>
      <c r="O623">
        <v>97</v>
      </c>
      <c r="P623">
        <v>10.93</v>
      </c>
      <c r="Q623">
        <v>10.3</v>
      </c>
      <c r="R623">
        <v>4</v>
      </c>
      <c r="S623">
        <v>2.78</v>
      </c>
      <c r="T623">
        <v>0</v>
      </c>
    </row>
    <row r="624" spans="1:20" x14ac:dyDescent="0.3">
      <c r="A624">
        <v>623</v>
      </c>
      <c r="B624" t="s">
        <v>21</v>
      </c>
      <c r="C624">
        <v>185</v>
      </c>
      <c r="D624" t="s">
        <v>71</v>
      </c>
      <c r="E624" t="s">
        <v>74</v>
      </c>
      <c r="F624" t="s">
        <v>74</v>
      </c>
      <c r="G624">
        <v>0</v>
      </c>
      <c r="H624">
        <v>158.5</v>
      </c>
      <c r="I624">
        <v>93</v>
      </c>
      <c r="J624">
        <v>26.95</v>
      </c>
      <c r="K624">
        <v>294.7</v>
      </c>
      <c r="L624">
        <v>69</v>
      </c>
      <c r="M624">
        <v>25.05</v>
      </c>
      <c r="N624">
        <v>146.19999999999999</v>
      </c>
      <c r="O624">
        <v>116</v>
      </c>
      <c r="P624">
        <v>6.58</v>
      </c>
      <c r="Q624">
        <v>16.600000000000001</v>
      </c>
      <c r="R624">
        <v>3</v>
      </c>
      <c r="S624">
        <v>4.4800000000000004</v>
      </c>
      <c r="T624">
        <v>0</v>
      </c>
    </row>
    <row r="625" spans="1:20" x14ac:dyDescent="0.3">
      <c r="A625">
        <v>624</v>
      </c>
      <c r="B625" t="s">
        <v>33</v>
      </c>
      <c r="C625">
        <v>103</v>
      </c>
      <c r="D625" t="s">
        <v>72</v>
      </c>
      <c r="E625" t="s">
        <v>74</v>
      </c>
      <c r="F625" t="s">
        <v>75</v>
      </c>
      <c r="G625">
        <v>40</v>
      </c>
      <c r="H625">
        <v>140.30000000000001</v>
      </c>
      <c r="I625">
        <v>52</v>
      </c>
      <c r="J625">
        <v>23.85</v>
      </c>
      <c r="K625">
        <v>245.6</v>
      </c>
      <c r="L625">
        <v>114</v>
      </c>
      <c r="M625">
        <v>20.88</v>
      </c>
      <c r="N625">
        <v>111.7</v>
      </c>
      <c r="O625">
        <v>86</v>
      </c>
      <c r="P625">
        <v>5.03</v>
      </c>
      <c r="Q625">
        <v>11.1</v>
      </c>
      <c r="R625">
        <v>6</v>
      </c>
      <c r="S625">
        <v>3</v>
      </c>
      <c r="T625">
        <v>1</v>
      </c>
    </row>
    <row r="626" spans="1:20" x14ac:dyDescent="0.3">
      <c r="A626">
        <v>625</v>
      </c>
      <c r="B626" t="s">
        <v>26</v>
      </c>
      <c r="C626">
        <v>76</v>
      </c>
      <c r="D626" t="s">
        <v>72</v>
      </c>
      <c r="E626" t="s">
        <v>74</v>
      </c>
      <c r="F626" t="s">
        <v>74</v>
      </c>
      <c r="G626">
        <v>0</v>
      </c>
      <c r="H626">
        <v>156.30000000000001</v>
      </c>
      <c r="I626">
        <v>117</v>
      </c>
      <c r="J626">
        <v>26.57</v>
      </c>
      <c r="K626">
        <v>115.7</v>
      </c>
      <c r="L626">
        <v>53</v>
      </c>
      <c r="M626">
        <v>9.83</v>
      </c>
      <c r="N626">
        <v>316.39999999999998</v>
      </c>
      <c r="O626">
        <v>121</v>
      </c>
      <c r="P626">
        <v>14.24</v>
      </c>
      <c r="Q626">
        <v>6.8</v>
      </c>
      <c r="R626">
        <v>4</v>
      </c>
      <c r="S626">
        <v>1.84</v>
      </c>
      <c r="T626">
        <v>1</v>
      </c>
    </row>
    <row r="627" spans="1:20" x14ac:dyDescent="0.3">
      <c r="A627">
        <v>626</v>
      </c>
      <c r="B627" t="s">
        <v>55</v>
      </c>
      <c r="C627">
        <v>69</v>
      </c>
      <c r="D627" t="s">
        <v>73</v>
      </c>
      <c r="E627" t="s">
        <v>74</v>
      </c>
      <c r="F627" t="s">
        <v>74</v>
      </c>
      <c r="G627">
        <v>0</v>
      </c>
      <c r="H627">
        <v>198.8</v>
      </c>
      <c r="I627">
        <v>141</v>
      </c>
      <c r="J627">
        <v>33.799999999999997</v>
      </c>
      <c r="K627">
        <v>203.7</v>
      </c>
      <c r="L627">
        <v>110</v>
      </c>
      <c r="M627">
        <v>17.309999999999999</v>
      </c>
      <c r="N627">
        <v>177.1</v>
      </c>
      <c r="O627">
        <v>109</v>
      </c>
      <c r="P627">
        <v>7.97</v>
      </c>
      <c r="Q627">
        <v>15.2</v>
      </c>
      <c r="R627">
        <v>2</v>
      </c>
      <c r="S627">
        <v>4.0999999999999996</v>
      </c>
      <c r="T627">
        <v>4</v>
      </c>
    </row>
    <row r="628" spans="1:20" x14ac:dyDescent="0.3">
      <c r="A628">
        <v>627</v>
      </c>
      <c r="B628" t="s">
        <v>53</v>
      </c>
      <c r="C628">
        <v>53</v>
      </c>
      <c r="D628" t="s">
        <v>72</v>
      </c>
      <c r="E628" t="s">
        <v>74</v>
      </c>
      <c r="F628" t="s">
        <v>74</v>
      </c>
      <c r="G628">
        <v>0</v>
      </c>
      <c r="H628">
        <v>198.3</v>
      </c>
      <c r="I628">
        <v>100</v>
      </c>
      <c r="J628">
        <v>33.71</v>
      </c>
      <c r="K628">
        <v>304.2</v>
      </c>
      <c r="L628">
        <v>93</v>
      </c>
      <c r="M628">
        <v>25.86</v>
      </c>
      <c r="N628">
        <v>131.5</v>
      </c>
      <c r="O628">
        <v>85</v>
      </c>
      <c r="P628">
        <v>5.92</v>
      </c>
      <c r="Q628">
        <v>9.1999999999999993</v>
      </c>
      <c r="R628">
        <v>5</v>
      </c>
      <c r="S628">
        <v>2.48</v>
      </c>
      <c r="T628">
        <v>2</v>
      </c>
    </row>
    <row r="629" spans="1:20" x14ac:dyDescent="0.3">
      <c r="A629">
        <v>628</v>
      </c>
      <c r="B629" t="s">
        <v>52</v>
      </c>
      <c r="C629">
        <v>138</v>
      </c>
      <c r="D629" t="s">
        <v>73</v>
      </c>
      <c r="E629" t="s">
        <v>74</v>
      </c>
      <c r="F629" t="s">
        <v>75</v>
      </c>
      <c r="G629">
        <v>12</v>
      </c>
      <c r="H629">
        <v>114.5</v>
      </c>
      <c r="I629">
        <v>100</v>
      </c>
      <c r="J629">
        <v>19.47</v>
      </c>
      <c r="K629">
        <v>175.1</v>
      </c>
      <c r="L629">
        <v>130</v>
      </c>
      <c r="M629">
        <v>14.88</v>
      </c>
      <c r="N629">
        <v>112.7</v>
      </c>
      <c r="O629">
        <v>85</v>
      </c>
      <c r="P629">
        <v>5.07</v>
      </c>
      <c r="Q629">
        <v>7.8</v>
      </c>
      <c r="R629">
        <v>5</v>
      </c>
      <c r="S629">
        <v>2.11</v>
      </c>
      <c r="T629">
        <v>0</v>
      </c>
    </row>
    <row r="630" spans="1:20" x14ac:dyDescent="0.3">
      <c r="A630">
        <v>629</v>
      </c>
      <c r="B630" t="s">
        <v>28</v>
      </c>
      <c r="C630">
        <v>116</v>
      </c>
      <c r="D630" t="s">
        <v>71</v>
      </c>
      <c r="E630" t="s">
        <v>74</v>
      </c>
      <c r="F630" t="s">
        <v>74</v>
      </c>
      <c r="G630">
        <v>0</v>
      </c>
      <c r="H630">
        <v>154</v>
      </c>
      <c r="I630">
        <v>127</v>
      </c>
      <c r="J630">
        <v>26.18</v>
      </c>
      <c r="K630">
        <v>280.39999999999998</v>
      </c>
      <c r="L630">
        <v>68</v>
      </c>
      <c r="M630">
        <v>23.83</v>
      </c>
      <c r="N630">
        <v>213</v>
      </c>
      <c r="O630">
        <v>56</v>
      </c>
      <c r="P630">
        <v>9.58</v>
      </c>
      <c r="Q630">
        <v>8.6</v>
      </c>
      <c r="R630">
        <v>2</v>
      </c>
      <c r="S630">
        <v>2.3199999999999998</v>
      </c>
      <c r="T630">
        <v>6</v>
      </c>
    </row>
    <row r="631" spans="1:20" x14ac:dyDescent="0.3">
      <c r="A631">
        <v>630</v>
      </c>
      <c r="B631" t="s">
        <v>29</v>
      </c>
      <c r="C631">
        <v>49</v>
      </c>
      <c r="D631" t="s">
        <v>71</v>
      </c>
      <c r="E631" t="s">
        <v>74</v>
      </c>
      <c r="F631" t="s">
        <v>74</v>
      </c>
      <c r="G631">
        <v>0</v>
      </c>
      <c r="H631">
        <v>101.7</v>
      </c>
      <c r="I631">
        <v>71</v>
      </c>
      <c r="J631">
        <v>17.29</v>
      </c>
      <c r="K631">
        <v>223.2</v>
      </c>
      <c r="L631">
        <v>102</v>
      </c>
      <c r="M631">
        <v>18.97</v>
      </c>
      <c r="N631">
        <v>182.1</v>
      </c>
      <c r="O631">
        <v>112</v>
      </c>
      <c r="P631">
        <v>8.19</v>
      </c>
      <c r="Q631">
        <v>7.3</v>
      </c>
      <c r="R631">
        <v>3</v>
      </c>
      <c r="S631">
        <v>1.97</v>
      </c>
      <c r="T631">
        <v>3</v>
      </c>
    </row>
    <row r="632" spans="1:20" x14ac:dyDescent="0.3">
      <c r="A632">
        <v>631</v>
      </c>
      <c r="B632" t="s">
        <v>31</v>
      </c>
      <c r="C632">
        <v>118</v>
      </c>
      <c r="D632" t="s">
        <v>71</v>
      </c>
      <c r="E632" t="s">
        <v>74</v>
      </c>
      <c r="F632" t="s">
        <v>74</v>
      </c>
      <c r="G632">
        <v>0</v>
      </c>
      <c r="H632">
        <v>142.19999999999999</v>
      </c>
      <c r="I632">
        <v>96</v>
      </c>
      <c r="J632">
        <v>24.17</v>
      </c>
      <c r="K632">
        <v>164.9</v>
      </c>
      <c r="L632">
        <v>107</v>
      </c>
      <c r="M632">
        <v>14.02</v>
      </c>
      <c r="N632">
        <v>183.7</v>
      </c>
      <c r="O632">
        <v>92</v>
      </c>
      <c r="P632">
        <v>8.27</v>
      </c>
      <c r="Q632">
        <v>7.1</v>
      </c>
      <c r="R632">
        <v>4</v>
      </c>
      <c r="S632">
        <v>1.92</v>
      </c>
      <c r="T632">
        <v>1</v>
      </c>
    </row>
    <row r="633" spans="1:20" x14ac:dyDescent="0.3">
      <c r="A633">
        <v>632</v>
      </c>
      <c r="B633" t="s">
        <v>45</v>
      </c>
      <c r="C633">
        <v>67</v>
      </c>
      <c r="D633" t="s">
        <v>71</v>
      </c>
      <c r="E633" t="s">
        <v>74</v>
      </c>
      <c r="F633" t="s">
        <v>74</v>
      </c>
      <c r="G633">
        <v>0</v>
      </c>
      <c r="H633">
        <v>164.5</v>
      </c>
      <c r="I633">
        <v>79</v>
      </c>
      <c r="J633">
        <v>27.97</v>
      </c>
      <c r="K633">
        <v>110.3</v>
      </c>
      <c r="L633">
        <v>108</v>
      </c>
      <c r="M633">
        <v>9.3800000000000008</v>
      </c>
      <c r="N633">
        <v>203.9</v>
      </c>
      <c r="O633">
        <v>102</v>
      </c>
      <c r="P633">
        <v>9.18</v>
      </c>
      <c r="Q633">
        <v>9.8000000000000007</v>
      </c>
      <c r="R633">
        <v>2</v>
      </c>
      <c r="S633">
        <v>2.65</v>
      </c>
      <c r="T633">
        <v>1</v>
      </c>
    </row>
    <row r="634" spans="1:20" x14ac:dyDescent="0.3">
      <c r="A634">
        <v>633</v>
      </c>
      <c r="B634" t="s">
        <v>55</v>
      </c>
      <c r="C634">
        <v>131</v>
      </c>
      <c r="D634" t="s">
        <v>71</v>
      </c>
      <c r="E634" t="s">
        <v>74</v>
      </c>
      <c r="F634" t="s">
        <v>74</v>
      </c>
      <c r="G634">
        <v>0</v>
      </c>
      <c r="H634">
        <v>131.30000000000001</v>
      </c>
      <c r="I634">
        <v>39</v>
      </c>
      <c r="J634">
        <v>22.32</v>
      </c>
      <c r="K634">
        <v>242.9</v>
      </c>
      <c r="L634">
        <v>101</v>
      </c>
      <c r="M634">
        <v>20.65</v>
      </c>
      <c r="N634">
        <v>278.8</v>
      </c>
      <c r="O634">
        <v>100</v>
      </c>
      <c r="P634">
        <v>12.55</v>
      </c>
      <c r="Q634">
        <v>8.5</v>
      </c>
      <c r="R634">
        <v>2</v>
      </c>
      <c r="S634">
        <v>2.2999999999999998</v>
      </c>
      <c r="T634">
        <v>2</v>
      </c>
    </row>
    <row r="635" spans="1:20" x14ac:dyDescent="0.3">
      <c r="A635">
        <v>634</v>
      </c>
      <c r="B635" t="s">
        <v>36</v>
      </c>
      <c r="C635">
        <v>100</v>
      </c>
      <c r="D635" t="s">
        <v>71</v>
      </c>
      <c r="E635" t="s">
        <v>74</v>
      </c>
      <c r="F635" t="s">
        <v>74</v>
      </c>
      <c r="G635">
        <v>0</v>
      </c>
      <c r="H635">
        <v>167.2</v>
      </c>
      <c r="I635">
        <v>100</v>
      </c>
      <c r="J635">
        <v>28.42</v>
      </c>
      <c r="K635">
        <v>141.19999999999999</v>
      </c>
      <c r="L635">
        <v>87</v>
      </c>
      <c r="M635">
        <v>12</v>
      </c>
      <c r="N635">
        <v>251.3</v>
      </c>
      <c r="O635">
        <v>76</v>
      </c>
      <c r="P635">
        <v>11.31</v>
      </c>
      <c r="Q635">
        <v>6.1</v>
      </c>
      <c r="R635">
        <v>6</v>
      </c>
      <c r="S635">
        <v>1.65</v>
      </c>
      <c r="T635">
        <v>3</v>
      </c>
    </row>
    <row r="636" spans="1:20" x14ac:dyDescent="0.3">
      <c r="A636">
        <v>635</v>
      </c>
      <c r="B636" t="s">
        <v>45</v>
      </c>
      <c r="C636">
        <v>122</v>
      </c>
      <c r="D636" t="s">
        <v>71</v>
      </c>
      <c r="E636" t="s">
        <v>74</v>
      </c>
      <c r="F636" t="s">
        <v>74</v>
      </c>
      <c r="G636">
        <v>0</v>
      </c>
      <c r="H636">
        <v>184.6</v>
      </c>
      <c r="I636">
        <v>88</v>
      </c>
      <c r="J636">
        <v>31.38</v>
      </c>
      <c r="K636">
        <v>148.80000000000001</v>
      </c>
      <c r="L636">
        <v>98</v>
      </c>
      <c r="M636">
        <v>12.65</v>
      </c>
      <c r="N636">
        <v>309.7</v>
      </c>
      <c r="O636">
        <v>58</v>
      </c>
      <c r="P636">
        <v>13.94</v>
      </c>
      <c r="Q636">
        <v>14.3</v>
      </c>
      <c r="R636">
        <v>2</v>
      </c>
      <c r="S636">
        <v>3.86</v>
      </c>
      <c r="T636">
        <v>3</v>
      </c>
    </row>
    <row r="637" spans="1:20" x14ac:dyDescent="0.3">
      <c r="A637">
        <v>636</v>
      </c>
      <c r="B637" t="s">
        <v>61</v>
      </c>
      <c r="C637">
        <v>4</v>
      </c>
      <c r="D637" t="s">
        <v>71</v>
      </c>
      <c r="E637" t="s">
        <v>75</v>
      </c>
      <c r="F637" t="s">
        <v>74</v>
      </c>
      <c r="G637">
        <v>0</v>
      </c>
      <c r="H637">
        <v>169.7</v>
      </c>
      <c r="I637">
        <v>96</v>
      </c>
      <c r="J637">
        <v>28.85</v>
      </c>
      <c r="K637">
        <v>131.80000000000001</v>
      </c>
      <c r="L637">
        <v>94</v>
      </c>
      <c r="M637">
        <v>11.2</v>
      </c>
      <c r="N637">
        <v>245.1</v>
      </c>
      <c r="O637">
        <v>86</v>
      </c>
      <c r="P637">
        <v>11.03</v>
      </c>
      <c r="Q637">
        <v>14.2</v>
      </c>
      <c r="R637">
        <v>4</v>
      </c>
      <c r="S637">
        <v>3.83</v>
      </c>
      <c r="T637">
        <v>0</v>
      </c>
    </row>
    <row r="638" spans="1:20" x14ac:dyDescent="0.3">
      <c r="A638">
        <v>637</v>
      </c>
      <c r="B638" t="s">
        <v>32</v>
      </c>
      <c r="C638">
        <v>31</v>
      </c>
      <c r="D638" t="s">
        <v>71</v>
      </c>
      <c r="E638" t="s">
        <v>74</v>
      </c>
      <c r="F638" t="s">
        <v>74</v>
      </c>
      <c r="G638">
        <v>0</v>
      </c>
      <c r="H638">
        <v>224.5</v>
      </c>
      <c r="I638">
        <v>96</v>
      </c>
      <c r="J638">
        <v>38.17</v>
      </c>
      <c r="K638">
        <v>191.2</v>
      </c>
      <c r="L638">
        <v>72</v>
      </c>
      <c r="M638">
        <v>16.25</v>
      </c>
      <c r="N638">
        <v>214.5</v>
      </c>
      <c r="O638">
        <v>100</v>
      </c>
      <c r="P638">
        <v>9.65</v>
      </c>
      <c r="Q638">
        <v>9.1</v>
      </c>
      <c r="R638">
        <v>1</v>
      </c>
      <c r="S638">
        <v>2.46</v>
      </c>
      <c r="T638">
        <v>2</v>
      </c>
    </row>
    <row r="639" spans="1:20" x14ac:dyDescent="0.3">
      <c r="A639">
        <v>638</v>
      </c>
      <c r="B639" t="s">
        <v>65</v>
      </c>
      <c r="C639">
        <v>114</v>
      </c>
      <c r="D639" t="s">
        <v>71</v>
      </c>
      <c r="E639" t="s">
        <v>74</v>
      </c>
      <c r="F639" t="s">
        <v>74</v>
      </c>
      <c r="G639">
        <v>0</v>
      </c>
      <c r="H639">
        <v>247.8</v>
      </c>
      <c r="I639">
        <v>95</v>
      </c>
      <c r="J639">
        <v>42.13</v>
      </c>
      <c r="K639">
        <v>255.1</v>
      </c>
      <c r="L639">
        <v>98</v>
      </c>
      <c r="M639">
        <v>21.68</v>
      </c>
      <c r="N639">
        <v>224.1</v>
      </c>
      <c r="O639">
        <v>105</v>
      </c>
      <c r="P639">
        <v>10.08</v>
      </c>
      <c r="Q639">
        <v>9.5</v>
      </c>
      <c r="R639">
        <v>6</v>
      </c>
      <c r="S639">
        <v>2.57</v>
      </c>
      <c r="T639">
        <v>1</v>
      </c>
    </row>
    <row r="640" spans="1:20" x14ac:dyDescent="0.3">
      <c r="A640">
        <v>639</v>
      </c>
      <c r="B640" t="s">
        <v>57</v>
      </c>
      <c r="C640">
        <v>149</v>
      </c>
      <c r="D640" t="s">
        <v>71</v>
      </c>
      <c r="E640" t="s">
        <v>74</v>
      </c>
      <c r="F640" t="s">
        <v>74</v>
      </c>
      <c r="G640">
        <v>0</v>
      </c>
      <c r="H640">
        <v>244.2</v>
      </c>
      <c r="I640">
        <v>83</v>
      </c>
      <c r="J640">
        <v>41.51</v>
      </c>
      <c r="K640">
        <v>262</v>
      </c>
      <c r="L640">
        <v>72</v>
      </c>
      <c r="M640">
        <v>22.27</v>
      </c>
      <c r="N640">
        <v>144.5</v>
      </c>
      <c r="O640">
        <v>113</v>
      </c>
      <c r="P640">
        <v>6.5</v>
      </c>
      <c r="Q640">
        <v>7</v>
      </c>
      <c r="R640">
        <v>4</v>
      </c>
      <c r="S640">
        <v>1.89</v>
      </c>
      <c r="T640">
        <v>1</v>
      </c>
    </row>
    <row r="641" spans="1:20" x14ac:dyDescent="0.3">
      <c r="A641">
        <v>640</v>
      </c>
      <c r="B641" t="s">
        <v>63</v>
      </c>
      <c r="C641">
        <v>86</v>
      </c>
      <c r="D641" t="s">
        <v>73</v>
      </c>
      <c r="E641" t="s">
        <v>74</v>
      </c>
      <c r="F641" t="s">
        <v>74</v>
      </c>
      <c r="G641">
        <v>0</v>
      </c>
      <c r="H641">
        <v>178.3</v>
      </c>
      <c r="I641">
        <v>94</v>
      </c>
      <c r="J641">
        <v>30.31</v>
      </c>
      <c r="K641">
        <v>264.39999999999998</v>
      </c>
      <c r="L641">
        <v>74</v>
      </c>
      <c r="M641">
        <v>22.47</v>
      </c>
      <c r="N641">
        <v>284.60000000000002</v>
      </c>
      <c r="O641">
        <v>109</v>
      </c>
      <c r="P641">
        <v>12.81</v>
      </c>
      <c r="Q641">
        <v>15</v>
      </c>
      <c r="R641">
        <v>2</v>
      </c>
      <c r="S641">
        <v>4.05</v>
      </c>
      <c r="T641">
        <v>0</v>
      </c>
    </row>
    <row r="642" spans="1:20" x14ac:dyDescent="0.3">
      <c r="A642">
        <v>641</v>
      </c>
      <c r="B642" t="s">
        <v>61</v>
      </c>
      <c r="C642">
        <v>141</v>
      </c>
      <c r="D642" t="s">
        <v>71</v>
      </c>
      <c r="E642" t="s">
        <v>74</v>
      </c>
      <c r="F642" t="s">
        <v>74</v>
      </c>
      <c r="G642">
        <v>0</v>
      </c>
      <c r="H642">
        <v>215.8</v>
      </c>
      <c r="I642">
        <v>79</v>
      </c>
      <c r="J642">
        <v>36.69</v>
      </c>
      <c r="K642">
        <v>112.7</v>
      </c>
      <c r="L642">
        <v>85</v>
      </c>
      <c r="M642">
        <v>9.58</v>
      </c>
      <c r="N642">
        <v>221.8</v>
      </c>
      <c r="O642">
        <v>109</v>
      </c>
      <c r="P642">
        <v>9.98</v>
      </c>
      <c r="Q642">
        <v>5.6</v>
      </c>
      <c r="R642">
        <v>4</v>
      </c>
      <c r="S642">
        <v>1.51</v>
      </c>
      <c r="T642">
        <v>2</v>
      </c>
    </row>
    <row r="643" spans="1:20" x14ac:dyDescent="0.3">
      <c r="A643">
        <v>642</v>
      </c>
      <c r="B643" t="s">
        <v>70</v>
      </c>
      <c r="C643">
        <v>127</v>
      </c>
      <c r="D643" t="s">
        <v>71</v>
      </c>
      <c r="E643" t="s">
        <v>74</v>
      </c>
      <c r="F643" t="s">
        <v>74</v>
      </c>
      <c r="G643">
        <v>0</v>
      </c>
      <c r="H643">
        <v>264.5</v>
      </c>
      <c r="I643">
        <v>75</v>
      </c>
      <c r="J643">
        <v>44.97</v>
      </c>
      <c r="K643">
        <v>179.2</v>
      </c>
      <c r="L643">
        <v>91</v>
      </c>
      <c r="M643">
        <v>15.23</v>
      </c>
      <c r="N643">
        <v>141.9</v>
      </c>
      <c r="O643">
        <v>93</v>
      </c>
      <c r="P643">
        <v>6.39</v>
      </c>
      <c r="Q643">
        <v>8</v>
      </c>
      <c r="R643">
        <v>1</v>
      </c>
      <c r="S643">
        <v>2.16</v>
      </c>
      <c r="T643">
        <v>1</v>
      </c>
    </row>
    <row r="644" spans="1:20" x14ac:dyDescent="0.3">
      <c r="A644">
        <v>643</v>
      </c>
      <c r="B644" t="s">
        <v>49</v>
      </c>
      <c r="C644">
        <v>131</v>
      </c>
      <c r="D644" t="s">
        <v>71</v>
      </c>
      <c r="E644" t="s">
        <v>74</v>
      </c>
      <c r="F644" t="s">
        <v>74</v>
      </c>
      <c r="G644">
        <v>0</v>
      </c>
      <c r="H644">
        <v>212.8</v>
      </c>
      <c r="I644">
        <v>108</v>
      </c>
      <c r="J644">
        <v>36.18</v>
      </c>
      <c r="K644">
        <v>212</v>
      </c>
      <c r="L644">
        <v>115</v>
      </c>
      <c r="M644">
        <v>18.02</v>
      </c>
      <c r="N644">
        <v>235.9</v>
      </c>
      <c r="O644">
        <v>96</v>
      </c>
      <c r="P644">
        <v>10.62</v>
      </c>
      <c r="Q644">
        <v>9.8000000000000007</v>
      </c>
      <c r="R644">
        <v>11</v>
      </c>
      <c r="S644">
        <v>2.65</v>
      </c>
      <c r="T644">
        <v>0</v>
      </c>
    </row>
    <row r="645" spans="1:20" x14ac:dyDescent="0.3">
      <c r="A645">
        <v>644</v>
      </c>
      <c r="B645" t="s">
        <v>56</v>
      </c>
      <c r="C645">
        <v>124</v>
      </c>
      <c r="D645" t="s">
        <v>73</v>
      </c>
      <c r="E645" t="s">
        <v>75</v>
      </c>
      <c r="F645" t="s">
        <v>75</v>
      </c>
      <c r="G645">
        <v>29</v>
      </c>
      <c r="H645">
        <v>187.1</v>
      </c>
      <c r="I645">
        <v>75</v>
      </c>
      <c r="J645">
        <v>31.81</v>
      </c>
      <c r="K645">
        <v>148.5</v>
      </c>
      <c r="L645">
        <v>142</v>
      </c>
      <c r="M645">
        <v>12.62</v>
      </c>
      <c r="N645">
        <v>214.4</v>
      </c>
      <c r="O645">
        <v>124</v>
      </c>
      <c r="P645">
        <v>9.65</v>
      </c>
      <c r="Q645">
        <v>5.5</v>
      </c>
      <c r="R645">
        <v>7</v>
      </c>
      <c r="S645">
        <v>1.49</v>
      </c>
      <c r="T645">
        <v>2</v>
      </c>
    </row>
    <row r="646" spans="1:20" x14ac:dyDescent="0.3">
      <c r="A646">
        <v>645</v>
      </c>
      <c r="B646" t="s">
        <v>38</v>
      </c>
      <c r="C646">
        <v>148</v>
      </c>
      <c r="D646" t="s">
        <v>73</v>
      </c>
      <c r="E646" t="s">
        <v>74</v>
      </c>
      <c r="F646" t="s">
        <v>74</v>
      </c>
      <c r="G646">
        <v>0</v>
      </c>
      <c r="H646">
        <v>236.5</v>
      </c>
      <c r="I646">
        <v>84</v>
      </c>
      <c r="J646">
        <v>40.21</v>
      </c>
      <c r="K646">
        <v>236</v>
      </c>
      <c r="L646">
        <v>95</v>
      </c>
      <c r="M646">
        <v>20.059999999999999</v>
      </c>
      <c r="N646">
        <v>228.6</v>
      </c>
      <c r="O646">
        <v>124</v>
      </c>
      <c r="P646">
        <v>10.29</v>
      </c>
      <c r="Q646">
        <v>8.3000000000000007</v>
      </c>
      <c r="R646">
        <v>6</v>
      </c>
      <c r="S646">
        <v>2.2400000000000002</v>
      </c>
      <c r="T646">
        <v>2</v>
      </c>
    </row>
    <row r="647" spans="1:20" x14ac:dyDescent="0.3">
      <c r="A647">
        <v>646</v>
      </c>
      <c r="B647" t="s">
        <v>34</v>
      </c>
      <c r="C647">
        <v>72</v>
      </c>
      <c r="D647" t="s">
        <v>71</v>
      </c>
      <c r="E647" t="s">
        <v>75</v>
      </c>
      <c r="F647" t="s">
        <v>74</v>
      </c>
      <c r="G647">
        <v>0</v>
      </c>
      <c r="H647">
        <v>286.10000000000002</v>
      </c>
      <c r="I647">
        <v>101</v>
      </c>
      <c r="J647">
        <v>48.64</v>
      </c>
      <c r="K647">
        <v>306.10000000000002</v>
      </c>
      <c r="L647">
        <v>94</v>
      </c>
      <c r="M647">
        <v>26.02</v>
      </c>
      <c r="N647">
        <v>232.8</v>
      </c>
      <c r="O647">
        <v>89</v>
      </c>
      <c r="P647">
        <v>10.48</v>
      </c>
      <c r="Q647">
        <v>10.3</v>
      </c>
      <c r="R647">
        <v>1</v>
      </c>
      <c r="S647">
        <v>2.78</v>
      </c>
      <c r="T647">
        <v>4</v>
      </c>
    </row>
    <row r="648" spans="1:20" x14ac:dyDescent="0.3">
      <c r="A648">
        <v>647</v>
      </c>
      <c r="B648" t="s">
        <v>37</v>
      </c>
      <c r="C648">
        <v>97</v>
      </c>
      <c r="D648" t="s">
        <v>72</v>
      </c>
      <c r="E648" t="s">
        <v>74</v>
      </c>
      <c r="F648" t="s">
        <v>74</v>
      </c>
      <c r="G648">
        <v>0</v>
      </c>
      <c r="H648">
        <v>80.7</v>
      </c>
      <c r="I648">
        <v>99</v>
      </c>
      <c r="J648">
        <v>13.72</v>
      </c>
      <c r="K648">
        <v>262.3</v>
      </c>
      <c r="L648">
        <v>93</v>
      </c>
      <c r="M648">
        <v>22.3</v>
      </c>
      <c r="N648">
        <v>214.6</v>
      </c>
      <c r="O648">
        <v>130</v>
      </c>
      <c r="P648">
        <v>9.66</v>
      </c>
      <c r="Q648">
        <v>8.8000000000000007</v>
      </c>
      <c r="R648">
        <v>3</v>
      </c>
      <c r="S648">
        <v>2.38</v>
      </c>
      <c r="T648">
        <v>0</v>
      </c>
    </row>
    <row r="649" spans="1:20" x14ac:dyDescent="0.3">
      <c r="A649">
        <v>648</v>
      </c>
      <c r="B649" t="s">
        <v>70</v>
      </c>
      <c r="C649">
        <v>59</v>
      </c>
      <c r="D649" t="s">
        <v>72</v>
      </c>
      <c r="E649" t="s">
        <v>74</v>
      </c>
      <c r="F649" t="s">
        <v>74</v>
      </c>
      <c r="G649">
        <v>0</v>
      </c>
      <c r="H649">
        <v>155.5</v>
      </c>
      <c r="I649">
        <v>92</v>
      </c>
      <c r="J649">
        <v>26.44</v>
      </c>
      <c r="K649">
        <v>192.3</v>
      </c>
      <c r="L649">
        <v>104</v>
      </c>
      <c r="M649">
        <v>16.350000000000001</v>
      </c>
      <c r="N649">
        <v>123.3</v>
      </c>
      <c r="O649">
        <v>106</v>
      </c>
      <c r="P649">
        <v>5.55</v>
      </c>
      <c r="Q649">
        <v>10.5</v>
      </c>
      <c r="R649">
        <v>3</v>
      </c>
      <c r="S649">
        <v>2.84</v>
      </c>
      <c r="T649">
        <v>4</v>
      </c>
    </row>
    <row r="650" spans="1:20" x14ac:dyDescent="0.3">
      <c r="A650">
        <v>649</v>
      </c>
      <c r="B650" t="s">
        <v>34</v>
      </c>
      <c r="C650">
        <v>112</v>
      </c>
      <c r="D650" t="s">
        <v>72</v>
      </c>
      <c r="E650" t="s">
        <v>74</v>
      </c>
      <c r="F650" t="s">
        <v>74</v>
      </c>
      <c r="G650">
        <v>0</v>
      </c>
      <c r="H650">
        <v>242.1</v>
      </c>
      <c r="I650">
        <v>69</v>
      </c>
      <c r="J650">
        <v>41.16</v>
      </c>
      <c r="K650">
        <v>235.2</v>
      </c>
      <c r="L650">
        <v>150</v>
      </c>
      <c r="M650">
        <v>19.989999999999998</v>
      </c>
      <c r="N650">
        <v>237.7</v>
      </c>
      <c r="O650">
        <v>106</v>
      </c>
      <c r="P650">
        <v>10.7</v>
      </c>
      <c r="Q650">
        <v>10</v>
      </c>
      <c r="R650">
        <v>5</v>
      </c>
      <c r="S650">
        <v>2.7</v>
      </c>
      <c r="T650">
        <v>3</v>
      </c>
    </row>
    <row r="651" spans="1:20" x14ac:dyDescent="0.3">
      <c r="A651">
        <v>650</v>
      </c>
      <c r="B651" t="s">
        <v>40</v>
      </c>
      <c r="C651">
        <v>126</v>
      </c>
      <c r="D651" t="s">
        <v>71</v>
      </c>
      <c r="E651" t="s">
        <v>74</v>
      </c>
      <c r="F651" t="s">
        <v>74</v>
      </c>
      <c r="G651">
        <v>0</v>
      </c>
      <c r="H651">
        <v>175.6</v>
      </c>
      <c r="I651">
        <v>91</v>
      </c>
      <c r="J651">
        <v>29.85</v>
      </c>
      <c r="K651">
        <v>151.1</v>
      </c>
      <c r="L651">
        <v>100</v>
      </c>
      <c r="M651">
        <v>12.84</v>
      </c>
      <c r="N651">
        <v>201.5</v>
      </c>
      <c r="O651">
        <v>100</v>
      </c>
      <c r="P651">
        <v>9.07</v>
      </c>
      <c r="Q651">
        <v>9.9</v>
      </c>
      <c r="R651">
        <v>2</v>
      </c>
      <c r="S651">
        <v>2.67</v>
      </c>
      <c r="T651">
        <v>1</v>
      </c>
    </row>
    <row r="652" spans="1:20" x14ac:dyDescent="0.3">
      <c r="A652">
        <v>651</v>
      </c>
      <c r="B652" t="s">
        <v>51</v>
      </c>
      <c r="C652">
        <v>91</v>
      </c>
      <c r="D652" t="s">
        <v>72</v>
      </c>
      <c r="E652" t="s">
        <v>75</v>
      </c>
      <c r="F652" t="s">
        <v>74</v>
      </c>
      <c r="G652">
        <v>0</v>
      </c>
      <c r="H652">
        <v>103.2</v>
      </c>
      <c r="I652">
        <v>100</v>
      </c>
      <c r="J652">
        <v>17.54</v>
      </c>
      <c r="K652">
        <v>124.8</v>
      </c>
      <c r="L652">
        <v>154</v>
      </c>
      <c r="M652">
        <v>10.61</v>
      </c>
      <c r="N652">
        <v>336.1</v>
      </c>
      <c r="O652">
        <v>111</v>
      </c>
      <c r="P652">
        <v>15.12</v>
      </c>
      <c r="Q652">
        <v>14</v>
      </c>
      <c r="R652">
        <v>4</v>
      </c>
      <c r="S652">
        <v>3.78</v>
      </c>
      <c r="T652">
        <v>2</v>
      </c>
    </row>
    <row r="653" spans="1:20" x14ac:dyDescent="0.3">
      <c r="A653">
        <v>652</v>
      </c>
      <c r="B653" t="s">
        <v>52</v>
      </c>
      <c r="C653">
        <v>109</v>
      </c>
      <c r="D653" t="s">
        <v>73</v>
      </c>
      <c r="E653" t="s">
        <v>74</v>
      </c>
      <c r="F653" t="s">
        <v>75</v>
      </c>
      <c r="G653">
        <v>40</v>
      </c>
      <c r="H653">
        <v>99.7</v>
      </c>
      <c r="I653">
        <v>116</v>
      </c>
      <c r="J653">
        <v>16.95</v>
      </c>
      <c r="K653">
        <v>140.30000000000001</v>
      </c>
      <c r="L653">
        <v>117</v>
      </c>
      <c r="M653">
        <v>11.93</v>
      </c>
      <c r="N653">
        <v>221.3</v>
      </c>
      <c r="O653">
        <v>76</v>
      </c>
      <c r="P653">
        <v>9.9600000000000009</v>
      </c>
      <c r="Q653">
        <v>13.9</v>
      </c>
      <c r="R653">
        <v>5</v>
      </c>
      <c r="S653">
        <v>3.75</v>
      </c>
      <c r="T653">
        <v>3</v>
      </c>
    </row>
    <row r="654" spans="1:20" x14ac:dyDescent="0.3">
      <c r="A654">
        <v>653</v>
      </c>
      <c r="B654" t="s">
        <v>34</v>
      </c>
      <c r="C654">
        <v>77</v>
      </c>
      <c r="D654" t="s">
        <v>72</v>
      </c>
      <c r="E654" t="s">
        <v>74</v>
      </c>
      <c r="F654" t="s">
        <v>74</v>
      </c>
      <c r="G654">
        <v>0</v>
      </c>
      <c r="H654">
        <v>136.5</v>
      </c>
      <c r="I654">
        <v>95</v>
      </c>
      <c r="J654">
        <v>23.21</v>
      </c>
      <c r="K654">
        <v>182.6</v>
      </c>
      <c r="L654">
        <v>102</v>
      </c>
      <c r="M654">
        <v>15.52</v>
      </c>
      <c r="N654">
        <v>233.6</v>
      </c>
      <c r="O654">
        <v>93</v>
      </c>
      <c r="P654">
        <v>10.51</v>
      </c>
      <c r="Q654">
        <v>9.9</v>
      </c>
      <c r="R654">
        <v>10</v>
      </c>
      <c r="S654">
        <v>2.67</v>
      </c>
      <c r="T654">
        <v>1</v>
      </c>
    </row>
    <row r="655" spans="1:20" x14ac:dyDescent="0.3">
      <c r="A655">
        <v>654</v>
      </c>
      <c r="B655" t="s">
        <v>65</v>
      </c>
      <c r="C655">
        <v>133</v>
      </c>
      <c r="D655" t="s">
        <v>72</v>
      </c>
      <c r="E655" t="s">
        <v>74</v>
      </c>
      <c r="F655" t="s">
        <v>75</v>
      </c>
      <c r="G655">
        <v>24</v>
      </c>
      <c r="H655">
        <v>125.5</v>
      </c>
      <c r="I655">
        <v>106</v>
      </c>
      <c r="J655">
        <v>21.34</v>
      </c>
      <c r="K655">
        <v>161.19999999999999</v>
      </c>
      <c r="L655">
        <v>95</v>
      </c>
      <c r="M655">
        <v>13.7</v>
      </c>
      <c r="N655">
        <v>209.1</v>
      </c>
      <c r="O655">
        <v>112</v>
      </c>
      <c r="P655">
        <v>9.41</v>
      </c>
      <c r="Q655">
        <v>15</v>
      </c>
      <c r="R655">
        <v>4</v>
      </c>
      <c r="S655">
        <v>4.05</v>
      </c>
      <c r="T655">
        <v>2</v>
      </c>
    </row>
    <row r="656" spans="1:20" x14ac:dyDescent="0.3">
      <c r="A656">
        <v>655</v>
      </c>
      <c r="B656" t="s">
        <v>41</v>
      </c>
      <c r="C656">
        <v>238</v>
      </c>
      <c r="D656" t="s">
        <v>71</v>
      </c>
      <c r="E656" t="s">
        <v>74</v>
      </c>
      <c r="F656" t="s">
        <v>74</v>
      </c>
      <c r="G656">
        <v>0</v>
      </c>
      <c r="H656">
        <v>202</v>
      </c>
      <c r="I656">
        <v>60</v>
      </c>
      <c r="J656">
        <v>34.340000000000003</v>
      </c>
      <c r="K656">
        <v>213.9</v>
      </c>
      <c r="L656">
        <v>105</v>
      </c>
      <c r="M656">
        <v>18.18</v>
      </c>
      <c r="N656">
        <v>266.39999999999998</v>
      </c>
      <c r="O656">
        <v>90</v>
      </c>
      <c r="P656">
        <v>11.99</v>
      </c>
      <c r="Q656">
        <v>12</v>
      </c>
      <c r="R656">
        <v>1</v>
      </c>
      <c r="S656">
        <v>3.24</v>
      </c>
      <c r="T656">
        <v>2</v>
      </c>
    </row>
    <row r="657" spans="1:20" x14ac:dyDescent="0.3">
      <c r="A657">
        <v>656</v>
      </c>
      <c r="B657" t="s">
        <v>64</v>
      </c>
      <c r="C657">
        <v>120</v>
      </c>
      <c r="D657" t="s">
        <v>71</v>
      </c>
      <c r="E657" t="s">
        <v>74</v>
      </c>
      <c r="F657" t="s">
        <v>74</v>
      </c>
      <c r="G657">
        <v>0</v>
      </c>
      <c r="H657">
        <v>174.1</v>
      </c>
      <c r="I657">
        <v>108</v>
      </c>
      <c r="J657">
        <v>29.6</v>
      </c>
      <c r="K657">
        <v>209.6</v>
      </c>
      <c r="L657">
        <v>96</v>
      </c>
      <c r="M657">
        <v>17.82</v>
      </c>
      <c r="N657">
        <v>267.5</v>
      </c>
      <c r="O657">
        <v>99</v>
      </c>
      <c r="P657">
        <v>12.04</v>
      </c>
      <c r="Q657">
        <v>11.6</v>
      </c>
      <c r="R657">
        <v>2</v>
      </c>
      <c r="S657">
        <v>3.13</v>
      </c>
      <c r="T657">
        <v>0</v>
      </c>
    </row>
    <row r="658" spans="1:20" x14ac:dyDescent="0.3">
      <c r="A658">
        <v>657</v>
      </c>
      <c r="B658" t="s">
        <v>37</v>
      </c>
      <c r="C658">
        <v>132</v>
      </c>
      <c r="D658" t="s">
        <v>73</v>
      </c>
      <c r="E658" t="s">
        <v>74</v>
      </c>
      <c r="F658" t="s">
        <v>74</v>
      </c>
      <c r="G658">
        <v>0</v>
      </c>
      <c r="H658">
        <v>213.6</v>
      </c>
      <c r="I658">
        <v>125</v>
      </c>
      <c r="J658">
        <v>36.31</v>
      </c>
      <c r="K658">
        <v>133.9</v>
      </c>
      <c r="L658">
        <v>54</v>
      </c>
      <c r="M658">
        <v>11.38</v>
      </c>
      <c r="N658">
        <v>332.2</v>
      </c>
      <c r="O658">
        <v>104</v>
      </c>
      <c r="P658">
        <v>14.95</v>
      </c>
      <c r="Q658">
        <v>7.5</v>
      </c>
      <c r="R658">
        <v>2</v>
      </c>
      <c r="S658">
        <v>2.0299999999999998</v>
      </c>
      <c r="T658">
        <v>4</v>
      </c>
    </row>
    <row r="659" spans="1:20" x14ac:dyDescent="0.3">
      <c r="A659">
        <v>658</v>
      </c>
      <c r="B659" t="s">
        <v>53</v>
      </c>
      <c r="C659">
        <v>78</v>
      </c>
      <c r="D659" t="s">
        <v>72</v>
      </c>
      <c r="E659" t="s">
        <v>75</v>
      </c>
      <c r="F659" t="s">
        <v>74</v>
      </c>
      <c r="G659">
        <v>0</v>
      </c>
      <c r="H659">
        <v>198.9</v>
      </c>
      <c r="I659">
        <v>93</v>
      </c>
      <c r="J659">
        <v>33.81</v>
      </c>
      <c r="K659">
        <v>210.6</v>
      </c>
      <c r="L659">
        <v>86</v>
      </c>
      <c r="M659">
        <v>17.899999999999999</v>
      </c>
      <c r="N659">
        <v>252.1</v>
      </c>
      <c r="O659">
        <v>99</v>
      </c>
      <c r="P659">
        <v>11.34</v>
      </c>
      <c r="Q659">
        <v>14.4</v>
      </c>
      <c r="R659">
        <v>12</v>
      </c>
      <c r="S659">
        <v>3.89</v>
      </c>
      <c r="T659">
        <v>0</v>
      </c>
    </row>
    <row r="660" spans="1:20" x14ac:dyDescent="0.3">
      <c r="A660">
        <v>659</v>
      </c>
      <c r="B660" t="s">
        <v>58</v>
      </c>
      <c r="C660">
        <v>123</v>
      </c>
      <c r="D660" t="s">
        <v>71</v>
      </c>
      <c r="E660" t="s">
        <v>74</v>
      </c>
      <c r="F660" t="s">
        <v>75</v>
      </c>
      <c r="G660">
        <v>38</v>
      </c>
      <c r="H660">
        <v>202.3</v>
      </c>
      <c r="I660">
        <v>104</v>
      </c>
      <c r="J660">
        <v>34.39</v>
      </c>
      <c r="K660">
        <v>292.39999999999998</v>
      </c>
      <c r="L660">
        <v>105</v>
      </c>
      <c r="M660">
        <v>24.85</v>
      </c>
      <c r="N660">
        <v>239.3</v>
      </c>
      <c r="O660">
        <v>63</v>
      </c>
      <c r="P660">
        <v>10.77</v>
      </c>
      <c r="Q660">
        <v>11.2</v>
      </c>
      <c r="R660">
        <v>1</v>
      </c>
      <c r="S660">
        <v>3.02</v>
      </c>
      <c r="T660">
        <v>3</v>
      </c>
    </row>
    <row r="661" spans="1:20" x14ac:dyDescent="0.3">
      <c r="A661">
        <v>660</v>
      </c>
      <c r="B661" t="s">
        <v>46</v>
      </c>
      <c r="C661">
        <v>131</v>
      </c>
      <c r="D661" t="s">
        <v>71</v>
      </c>
      <c r="E661" t="s">
        <v>74</v>
      </c>
      <c r="F661" t="s">
        <v>74</v>
      </c>
      <c r="G661">
        <v>0</v>
      </c>
      <c r="H661">
        <v>227.7</v>
      </c>
      <c r="I661">
        <v>134</v>
      </c>
      <c r="J661">
        <v>38.71</v>
      </c>
      <c r="K661">
        <v>162.69999999999999</v>
      </c>
      <c r="L661">
        <v>88</v>
      </c>
      <c r="M661">
        <v>13.83</v>
      </c>
      <c r="N661">
        <v>279.39999999999998</v>
      </c>
      <c r="O661">
        <v>90</v>
      </c>
      <c r="P661">
        <v>12.57</v>
      </c>
      <c r="Q661">
        <v>8.9</v>
      </c>
      <c r="R661">
        <v>7</v>
      </c>
      <c r="S661">
        <v>2.4</v>
      </c>
      <c r="T661">
        <v>4</v>
      </c>
    </row>
    <row r="662" spans="1:20" x14ac:dyDescent="0.3">
      <c r="A662">
        <v>661</v>
      </c>
      <c r="B662" t="s">
        <v>56</v>
      </c>
      <c r="C662">
        <v>39</v>
      </c>
      <c r="D662" t="s">
        <v>73</v>
      </c>
      <c r="E662" t="s">
        <v>74</v>
      </c>
      <c r="F662" t="s">
        <v>74</v>
      </c>
      <c r="G662">
        <v>0</v>
      </c>
      <c r="H662">
        <v>179</v>
      </c>
      <c r="I662">
        <v>88</v>
      </c>
      <c r="J662">
        <v>30.43</v>
      </c>
      <c r="K662">
        <v>148.19999999999999</v>
      </c>
      <c r="L662">
        <v>124</v>
      </c>
      <c r="M662">
        <v>12.6</v>
      </c>
      <c r="N662">
        <v>146.80000000000001</v>
      </c>
      <c r="O662">
        <v>116</v>
      </c>
      <c r="P662">
        <v>6.61</v>
      </c>
      <c r="Q662">
        <v>8.8000000000000007</v>
      </c>
      <c r="R662">
        <v>4</v>
      </c>
      <c r="S662">
        <v>2.38</v>
      </c>
      <c r="T662">
        <v>2</v>
      </c>
    </row>
    <row r="663" spans="1:20" x14ac:dyDescent="0.3">
      <c r="A663">
        <v>662</v>
      </c>
      <c r="B663" t="s">
        <v>43</v>
      </c>
      <c r="C663">
        <v>95</v>
      </c>
      <c r="D663" t="s">
        <v>71</v>
      </c>
      <c r="E663" t="s">
        <v>74</v>
      </c>
      <c r="F663" t="s">
        <v>74</v>
      </c>
      <c r="G663">
        <v>0</v>
      </c>
      <c r="H663">
        <v>226.6</v>
      </c>
      <c r="I663">
        <v>98</v>
      </c>
      <c r="J663">
        <v>38.520000000000003</v>
      </c>
      <c r="K663">
        <v>88.5</v>
      </c>
      <c r="L663">
        <v>107</v>
      </c>
      <c r="M663">
        <v>7.52</v>
      </c>
      <c r="N663">
        <v>166.2</v>
      </c>
      <c r="O663">
        <v>105</v>
      </c>
      <c r="P663">
        <v>7.48</v>
      </c>
      <c r="Q663">
        <v>11.9</v>
      </c>
      <c r="R663">
        <v>3</v>
      </c>
      <c r="S663">
        <v>3.21</v>
      </c>
      <c r="T663">
        <v>2</v>
      </c>
    </row>
    <row r="664" spans="1:20" x14ac:dyDescent="0.3">
      <c r="A664">
        <v>663</v>
      </c>
      <c r="B664" t="s">
        <v>41</v>
      </c>
      <c r="C664">
        <v>82</v>
      </c>
      <c r="D664" t="s">
        <v>71</v>
      </c>
      <c r="E664" t="s">
        <v>74</v>
      </c>
      <c r="F664" t="s">
        <v>74</v>
      </c>
      <c r="G664">
        <v>0</v>
      </c>
      <c r="H664">
        <v>313.60000000000002</v>
      </c>
      <c r="I664">
        <v>110</v>
      </c>
      <c r="J664">
        <v>53.31</v>
      </c>
      <c r="K664">
        <v>263.2</v>
      </c>
      <c r="L664">
        <v>104</v>
      </c>
      <c r="M664">
        <v>22.37</v>
      </c>
      <c r="N664">
        <v>139</v>
      </c>
      <c r="O664">
        <v>93</v>
      </c>
      <c r="P664">
        <v>6.26</v>
      </c>
      <c r="Q664">
        <v>7.5</v>
      </c>
      <c r="R664">
        <v>5</v>
      </c>
      <c r="S664">
        <v>2.0299999999999998</v>
      </c>
      <c r="T664">
        <v>1</v>
      </c>
    </row>
    <row r="665" spans="1:20" x14ac:dyDescent="0.3">
      <c r="A665">
        <v>664</v>
      </c>
      <c r="B665" t="s">
        <v>49</v>
      </c>
      <c r="C665">
        <v>78</v>
      </c>
      <c r="D665" t="s">
        <v>72</v>
      </c>
      <c r="E665" t="s">
        <v>74</v>
      </c>
      <c r="F665" t="s">
        <v>74</v>
      </c>
      <c r="G665">
        <v>0</v>
      </c>
      <c r="H665">
        <v>238.9</v>
      </c>
      <c r="I665">
        <v>96</v>
      </c>
      <c r="J665">
        <v>40.61</v>
      </c>
      <c r="K665">
        <v>196.1</v>
      </c>
      <c r="L665">
        <v>92</v>
      </c>
      <c r="M665">
        <v>16.670000000000002</v>
      </c>
      <c r="N665">
        <v>102.4</v>
      </c>
      <c r="O665">
        <v>95</v>
      </c>
      <c r="P665">
        <v>4.6100000000000003</v>
      </c>
      <c r="Q665">
        <v>11</v>
      </c>
      <c r="R665">
        <v>1</v>
      </c>
      <c r="S665">
        <v>2.97</v>
      </c>
      <c r="T665">
        <v>6</v>
      </c>
    </row>
    <row r="666" spans="1:20" x14ac:dyDescent="0.3">
      <c r="A666">
        <v>665</v>
      </c>
      <c r="B666" t="s">
        <v>64</v>
      </c>
      <c r="C666">
        <v>109</v>
      </c>
      <c r="D666" t="s">
        <v>71</v>
      </c>
      <c r="E666" t="s">
        <v>74</v>
      </c>
      <c r="F666" t="s">
        <v>74</v>
      </c>
      <c r="G666">
        <v>0</v>
      </c>
      <c r="H666">
        <v>101.8</v>
      </c>
      <c r="I666">
        <v>105</v>
      </c>
      <c r="J666">
        <v>17.309999999999999</v>
      </c>
      <c r="K666">
        <v>348.9</v>
      </c>
      <c r="L666">
        <v>107</v>
      </c>
      <c r="M666">
        <v>29.66</v>
      </c>
      <c r="N666">
        <v>233.2</v>
      </c>
      <c r="O666">
        <v>150</v>
      </c>
      <c r="P666">
        <v>10.49</v>
      </c>
      <c r="Q666">
        <v>7.5</v>
      </c>
      <c r="R666">
        <v>5</v>
      </c>
      <c r="S666">
        <v>2.0299999999999998</v>
      </c>
      <c r="T666">
        <v>1</v>
      </c>
    </row>
    <row r="667" spans="1:20" x14ac:dyDescent="0.3">
      <c r="A667">
        <v>666</v>
      </c>
      <c r="B667" t="s">
        <v>46</v>
      </c>
      <c r="C667">
        <v>106</v>
      </c>
      <c r="D667" t="s">
        <v>72</v>
      </c>
      <c r="E667" t="s">
        <v>74</v>
      </c>
      <c r="F667" t="s">
        <v>74</v>
      </c>
      <c r="G667">
        <v>0</v>
      </c>
      <c r="H667">
        <v>170.6</v>
      </c>
      <c r="I667">
        <v>116</v>
      </c>
      <c r="J667">
        <v>29</v>
      </c>
      <c r="K667">
        <v>259.10000000000002</v>
      </c>
      <c r="L667">
        <v>115</v>
      </c>
      <c r="M667">
        <v>22.02</v>
      </c>
      <c r="N667">
        <v>214.2</v>
      </c>
      <c r="O667">
        <v>111</v>
      </c>
      <c r="P667">
        <v>9.64</v>
      </c>
      <c r="Q667">
        <v>9.6</v>
      </c>
      <c r="R667">
        <v>13</v>
      </c>
      <c r="S667">
        <v>2.59</v>
      </c>
      <c r="T667">
        <v>1</v>
      </c>
    </row>
    <row r="668" spans="1:20" x14ac:dyDescent="0.3">
      <c r="A668">
        <v>667</v>
      </c>
      <c r="B668" t="s">
        <v>64</v>
      </c>
      <c r="C668">
        <v>148</v>
      </c>
      <c r="D668" t="s">
        <v>73</v>
      </c>
      <c r="E668" t="s">
        <v>75</v>
      </c>
      <c r="F668" t="s">
        <v>74</v>
      </c>
      <c r="G668">
        <v>0</v>
      </c>
      <c r="H668">
        <v>136.80000000000001</v>
      </c>
      <c r="I668">
        <v>112</v>
      </c>
      <c r="J668">
        <v>23.26</v>
      </c>
      <c r="K668">
        <v>197.5</v>
      </c>
      <c r="L668">
        <v>134</v>
      </c>
      <c r="M668">
        <v>16.79</v>
      </c>
      <c r="N668">
        <v>93.2</v>
      </c>
      <c r="O668">
        <v>90</v>
      </c>
      <c r="P668">
        <v>4.1900000000000004</v>
      </c>
      <c r="Q668">
        <v>10.3</v>
      </c>
      <c r="R668">
        <v>5</v>
      </c>
      <c r="S668">
        <v>2.78</v>
      </c>
      <c r="T668">
        <v>2</v>
      </c>
    </row>
    <row r="669" spans="1:20" x14ac:dyDescent="0.3">
      <c r="A669">
        <v>668</v>
      </c>
      <c r="B669" t="s">
        <v>35</v>
      </c>
      <c r="C669">
        <v>141</v>
      </c>
      <c r="D669" t="s">
        <v>73</v>
      </c>
      <c r="E669" t="s">
        <v>74</v>
      </c>
      <c r="F669" t="s">
        <v>75</v>
      </c>
      <c r="G669">
        <v>43</v>
      </c>
      <c r="H669">
        <v>157.80000000000001</v>
      </c>
      <c r="I669">
        <v>122</v>
      </c>
      <c r="J669">
        <v>26.83</v>
      </c>
      <c r="K669">
        <v>132.30000000000001</v>
      </c>
      <c r="L669">
        <v>108</v>
      </c>
      <c r="M669">
        <v>11.25</v>
      </c>
      <c r="N669">
        <v>137.1</v>
      </c>
      <c r="O669">
        <v>81</v>
      </c>
      <c r="P669">
        <v>6.17</v>
      </c>
      <c r="Q669">
        <v>5.6</v>
      </c>
      <c r="R669">
        <v>2</v>
      </c>
      <c r="S669">
        <v>1.51</v>
      </c>
      <c r="T669">
        <v>2</v>
      </c>
    </row>
    <row r="670" spans="1:20" x14ac:dyDescent="0.3">
      <c r="A670">
        <v>669</v>
      </c>
      <c r="B670" t="s">
        <v>41</v>
      </c>
      <c r="C670">
        <v>60</v>
      </c>
      <c r="D670" t="s">
        <v>71</v>
      </c>
      <c r="E670" t="s">
        <v>74</v>
      </c>
      <c r="F670" t="s">
        <v>75</v>
      </c>
      <c r="G670">
        <v>31</v>
      </c>
      <c r="H670">
        <v>223.6</v>
      </c>
      <c r="I670">
        <v>83</v>
      </c>
      <c r="J670">
        <v>38.01</v>
      </c>
      <c r="K670">
        <v>235.6</v>
      </c>
      <c r="L670">
        <v>77</v>
      </c>
      <c r="M670">
        <v>20.03</v>
      </c>
      <c r="N670">
        <v>153</v>
      </c>
      <c r="O670">
        <v>119</v>
      </c>
      <c r="P670">
        <v>6.89</v>
      </c>
      <c r="Q670">
        <v>4.7</v>
      </c>
      <c r="R670">
        <v>8</v>
      </c>
      <c r="S670">
        <v>1.27</v>
      </c>
      <c r="T670">
        <v>4</v>
      </c>
    </row>
    <row r="671" spans="1:20" x14ac:dyDescent="0.3">
      <c r="A671">
        <v>670</v>
      </c>
      <c r="B671" t="s">
        <v>59</v>
      </c>
      <c r="C671">
        <v>90</v>
      </c>
      <c r="D671" t="s">
        <v>71</v>
      </c>
      <c r="E671" t="s">
        <v>74</v>
      </c>
      <c r="F671" t="s">
        <v>74</v>
      </c>
      <c r="G671">
        <v>0</v>
      </c>
      <c r="H671">
        <v>189.1</v>
      </c>
      <c r="I671">
        <v>104</v>
      </c>
      <c r="J671">
        <v>32.15</v>
      </c>
      <c r="K671">
        <v>313.89999999999998</v>
      </c>
      <c r="L671">
        <v>124</v>
      </c>
      <c r="M671">
        <v>26.68</v>
      </c>
      <c r="N671">
        <v>227.9</v>
      </c>
      <c r="O671">
        <v>128</v>
      </c>
      <c r="P671">
        <v>10.26</v>
      </c>
      <c r="Q671">
        <v>8.1999999999999993</v>
      </c>
      <c r="R671">
        <v>2</v>
      </c>
      <c r="S671">
        <v>2.21</v>
      </c>
      <c r="T671">
        <v>1</v>
      </c>
    </row>
    <row r="672" spans="1:20" x14ac:dyDescent="0.3">
      <c r="A672">
        <v>671</v>
      </c>
      <c r="B672" t="s">
        <v>25</v>
      </c>
      <c r="C672">
        <v>233</v>
      </c>
      <c r="D672" t="s">
        <v>73</v>
      </c>
      <c r="E672" t="s">
        <v>74</v>
      </c>
      <c r="F672" t="s">
        <v>74</v>
      </c>
      <c r="G672">
        <v>0</v>
      </c>
      <c r="H672">
        <v>137.30000000000001</v>
      </c>
      <c r="I672">
        <v>94</v>
      </c>
      <c r="J672">
        <v>23.34</v>
      </c>
      <c r="K672">
        <v>232.4</v>
      </c>
      <c r="L672">
        <v>87</v>
      </c>
      <c r="M672">
        <v>19.75</v>
      </c>
      <c r="N672">
        <v>206</v>
      </c>
      <c r="O672">
        <v>105</v>
      </c>
      <c r="P672">
        <v>9.27</v>
      </c>
      <c r="Q672">
        <v>9.8000000000000007</v>
      </c>
      <c r="R672">
        <v>4</v>
      </c>
      <c r="S672">
        <v>2.65</v>
      </c>
      <c r="T672">
        <v>1</v>
      </c>
    </row>
    <row r="673" spans="1:20" x14ac:dyDescent="0.3">
      <c r="A673">
        <v>672</v>
      </c>
      <c r="B673" t="s">
        <v>57</v>
      </c>
      <c r="C673">
        <v>111</v>
      </c>
      <c r="D673" t="s">
        <v>71</v>
      </c>
      <c r="E673" t="s">
        <v>74</v>
      </c>
      <c r="F673" t="s">
        <v>74</v>
      </c>
      <c r="G673">
        <v>0</v>
      </c>
      <c r="H673">
        <v>226.3</v>
      </c>
      <c r="I673">
        <v>82</v>
      </c>
      <c r="J673">
        <v>38.47</v>
      </c>
      <c r="K673">
        <v>178.9</v>
      </c>
      <c r="L673">
        <v>101</v>
      </c>
      <c r="M673">
        <v>15.21</v>
      </c>
      <c r="N673">
        <v>181.5</v>
      </c>
      <c r="O673">
        <v>90</v>
      </c>
      <c r="P673">
        <v>8.17</v>
      </c>
      <c r="Q673">
        <v>8.9</v>
      </c>
      <c r="R673">
        <v>4</v>
      </c>
      <c r="S673">
        <v>2.4</v>
      </c>
      <c r="T673">
        <v>0</v>
      </c>
    </row>
    <row r="674" spans="1:20" x14ac:dyDescent="0.3">
      <c r="A674">
        <v>673</v>
      </c>
      <c r="B674" t="s">
        <v>51</v>
      </c>
      <c r="C674">
        <v>55</v>
      </c>
      <c r="D674" t="s">
        <v>71</v>
      </c>
      <c r="E674" t="s">
        <v>74</v>
      </c>
      <c r="F674" t="s">
        <v>75</v>
      </c>
      <c r="G674">
        <v>33</v>
      </c>
      <c r="H674">
        <v>141</v>
      </c>
      <c r="I674">
        <v>99</v>
      </c>
      <c r="J674">
        <v>23.97</v>
      </c>
      <c r="K674">
        <v>250.9</v>
      </c>
      <c r="L674">
        <v>109</v>
      </c>
      <c r="M674">
        <v>21.33</v>
      </c>
      <c r="N674">
        <v>284.60000000000002</v>
      </c>
      <c r="O674">
        <v>89</v>
      </c>
      <c r="P674">
        <v>12.81</v>
      </c>
      <c r="Q674">
        <v>11.7</v>
      </c>
      <c r="R674">
        <v>3</v>
      </c>
      <c r="S674">
        <v>3.16</v>
      </c>
      <c r="T674">
        <v>0</v>
      </c>
    </row>
    <row r="675" spans="1:20" x14ac:dyDescent="0.3">
      <c r="A675">
        <v>674</v>
      </c>
      <c r="B675" t="s">
        <v>36</v>
      </c>
      <c r="C675">
        <v>86</v>
      </c>
      <c r="D675" t="s">
        <v>73</v>
      </c>
      <c r="E675" t="s">
        <v>74</v>
      </c>
      <c r="F675" t="s">
        <v>74</v>
      </c>
      <c r="G675">
        <v>0</v>
      </c>
      <c r="H675">
        <v>118.6</v>
      </c>
      <c r="I675">
        <v>106</v>
      </c>
      <c r="J675">
        <v>20.16</v>
      </c>
      <c r="K675">
        <v>223.5</v>
      </c>
      <c r="L675">
        <v>115</v>
      </c>
      <c r="M675">
        <v>19</v>
      </c>
      <c r="N675">
        <v>94.7</v>
      </c>
      <c r="O675">
        <v>12</v>
      </c>
      <c r="P675">
        <v>4.26</v>
      </c>
      <c r="Q675">
        <v>13.3</v>
      </c>
      <c r="R675">
        <v>1</v>
      </c>
      <c r="S675">
        <v>3.59</v>
      </c>
      <c r="T675">
        <v>2</v>
      </c>
    </row>
    <row r="676" spans="1:20" x14ac:dyDescent="0.3">
      <c r="A676">
        <v>675</v>
      </c>
      <c r="B676" t="s">
        <v>55</v>
      </c>
      <c r="C676">
        <v>76</v>
      </c>
      <c r="D676" t="s">
        <v>72</v>
      </c>
      <c r="E676" t="s">
        <v>74</v>
      </c>
      <c r="F676" t="s">
        <v>75</v>
      </c>
      <c r="G676">
        <v>40</v>
      </c>
      <c r="H676">
        <v>177.9</v>
      </c>
      <c r="I676">
        <v>85</v>
      </c>
      <c r="J676">
        <v>30.24</v>
      </c>
      <c r="K676">
        <v>119.3</v>
      </c>
      <c r="L676">
        <v>95</v>
      </c>
      <c r="M676">
        <v>10.14</v>
      </c>
      <c r="N676">
        <v>140.5</v>
      </c>
      <c r="O676">
        <v>83</v>
      </c>
      <c r="P676">
        <v>6.32</v>
      </c>
      <c r="Q676">
        <v>10.3</v>
      </c>
      <c r="R676">
        <v>1</v>
      </c>
      <c r="S676">
        <v>2.78</v>
      </c>
      <c r="T676">
        <v>2</v>
      </c>
    </row>
    <row r="677" spans="1:20" x14ac:dyDescent="0.3">
      <c r="A677">
        <v>676</v>
      </c>
      <c r="B677" t="s">
        <v>22</v>
      </c>
      <c r="C677">
        <v>67</v>
      </c>
      <c r="D677" t="s">
        <v>73</v>
      </c>
      <c r="E677" t="s">
        <v>74</v>
      </c>
      <c r="F677" t="s">
        <v>74</v>
      </c>
      <c r="G677">
        <v>0</v>
      </c>
      <c r="H677">
        <v>177.4</v>
      </c>
      <c r="I677">
        <v>102</v>
      </c>
      <c r="J677">
        <v>30.16</v>
      </c>
      <c r="K677">
        <v>215.2</v>
      </c>
      <c r="L677">
        <v>123</v>
      </c>
      <c r="M677">
        <v>18.29</v>
      </c>
      <c r="N677">
        <v>132.4</v>
      </c>
      <c r="O677">
        <v>120</v>
      </c>
      <c r="P677">
        <v>5.96</v>
      </c>
      <c r="Q677">
        <v>6.6</v>
      </c>
      <c r="R677">
        <v>4</v>
      </c>
      <c r="S677">
        <v>1.78</v>
      </c>
      <c r="T677">
        <v>4</v>
      </c>
    </row>
    <row r="678" spans="1:20" x14ac:dyDescent="0.3">
      <c r="A678">
        <v>677</v>
      </c>
      <c r="B678" t="s">
        <v>30</v>
      </c>
      <c r="C678">
        <v>116</v>
      </c>
      <c r="D678" t="s">
        <v>71</v>
      </c>
      <c r="E678" t="s">
        <v>74</v>
      </c>
      <c r="F678" t="s">
        <v>75</v>
      </c>
      <c r="G678">
        <v>42</v>
      </c>
      <c r="H678">
        <v>280.39999999999998</v>
      </c>
      <c r="I678">
        <v>95</v>
      </c>
      <c r="J678">
        <v>47.67</v>
      </c>
      <c r="K678">
        <v>174.4</v>
      </c>
      <c r="L678">
        <v>101</v>
      </c>
      <c r="M678">
        <v>14.82</v>
      </c>
      <c r="N678">
        <v>190</v>
      </c>
      <c r="O678">
        <v>65</v>
      </c>
      <c r="P678">
        <v>8.5500000000000007</v>
      </c>
      <c r="Q678">
        <v>9.9</v>
      </c>
      <c r="R678">
        <v>1</v>
      </c>
      <c r="S678">
        <v>2.67</v>
      </c>
      <c r="T678">
        <v>3</v>
      </c>
    </row>
    <row r="679" spans="1:20" x14ac:dyDescent="0.3">
      <c r="A679">
        <v>678</v>
      </c>
      <c r="B679" t="s">
        <v>63</v>
      </c>
      <c r="C679">
        <v>19</v>
      </c>
      <c r="D679" t="s">
        <v>71</v>
      </c>
      <c r="E679" t="s">
        <v>74</v>
      </c>
      <c r="F679" t="s">
        <v>74</v>
      </c>
      <c r="G679">
        <v>0</v>
      </c>
      <c r="H679">
        <v>184.5</v>
      </c>
      <c r="I679">
        <v>131</v>
      </c>
      <c r="J679">
        <v>31.37</v>
      </c>
      <c r="K679">
        <v>201.3</v>
      </c>
      <c r="L679">
        <v>87</v>
      </c>
      <c r="M679">
        <v>17.11</v>
      </c>
      <c r="N679">
        <v>188.9</v>
      </c>
      <c r="O679">
        <v>114</v>
      </c>
      <c r="P679">
        <v>8.5</v>
      </c>
      <c r="Q679">
        <v>13.1</v>
      </c>
      <c r="R679">
        <v>10</v>
      </c>
      <c r="S679">
        <v>3.54</v>
      </c>
      <c r="T679">
        <v>1</v>
      </c>
    </row>
    <row r="680" spans="1:20" x14ac:dyDescent="0.3">
      <c r="A680">
        <v>679</v>
      </c>
      <c r="B680" t="s">
        <v>65</v>
      </c>
      <c r="C680">
        <v>104</v>
      </c>
      <c r="D680" t="s">
        <v>71</v>
      </c>
      <c r="E680" t="s">
        <v>74</v>
      </c>
      <c r="F680" t="s">
        <v>74</v>
      </c>
      <c r="G680">
        <v>0</v>
      </c>
      <c r="H680">
        <v>185.1</v>
      </c>
      <c r="I680">
        <v>91</v>
      </c>
      <c r="J680">
        <v>31.47</v>
      </c>
      <c r="K680">
        <v>227.3</v>
      </c>
      <c r="L680">
        <v>115</v>
      </c>
      <c r="M680">
        <v>19.32</v>
      </c>
      <c r="N680">
        <v>198.5</v>
      </c>
      <c r="O680">
        <v>79</v>
      </c>
      <c r="P680">
        <v>8.93</v>
      </c>
      <c r="Q680">
        <v>12.7</v>
      </c>
      <c r="R680">
        <v>10</v>
      </c>
      <c r="S680">
        <v>3.43</v>
      </c>
      <c r="T680">
        <v>2</v>
      </c>
    </row>
    <row r="681" spans="1:20" x14ac:dyDescent="0.3">
      <c r="A681">
        <v>680</v>
      </c>
      <c r="B681" t="s">
        <v>30</v>
      </c>
      <c r="C681">
        <v>140</v>
      </c>
      <c r="D681" t="s">
        <v>73</v>
      </c>
      <c r="E681" t="s">
        <v>74</v>
      </c>
      <c r="F681" t="s">
        <v>74</v>
      </c>
      <c r="G681">
        <v>0</v>
      </c>
      <c r="H681">
        <v>151.5</v>
      </c>
      <c r="I681">
        <v>106</v>
      </c>
      <c r="J681">
        <v>25.76</v>
      </c>
      <c r="K681">
        <v>175.7</v>
      </c>
      <c r="L681">
        <v>125</v>
      </c>
      <c r="M681">
        <v>14.93</v>
      </c>
      <c r="N681">
        <v>214.1</v>
      </c>
      <c r="O681">
        <v>87</v>
      </c>
      <c r="P681">
        <v>9.6300000000000008</v>
      </c>
      <c r="Q681">
        <v>12.4</v>
      </c>
      <c r="R681">
        <v>9</v>
      </c>
      <c r="S681">
        <v>3.35</v>
      </c>
      <c r="T681">
        <v>3</v>
      </c>
    </row>
    <row r="682" spans="1:20" x14ac:dyDescent="0.3">
      <c r="A682">
        <v>681</v>
      </c>
      <c r="B682" t="s">
        <v>59</v>
      </c>
      <c r="C682">
        <v>62</v>
      </c>
      <c r="D682" t="s">
        <v>72</v>
      </c>
      <c r="E682" t="s">
        <v>74</v>
      </c>
      <c r="F682" t="s">
        <v>74</v>
      </c>
      <c r="G682">
        <v>0</v>
      </c>
      <c r="H682">
        <v>211.3</v>
      </c>
      <c r="I682">
        <v>100</v>
      </c>
      <c r="J682">
        <v>35.92</v>
      </c>
      <c r="K682">
        <v>228.4</v>
      </c>
      <c r="L682">
        <v>91</v>
      </c>
      <c r="M682">
        <v>19.41</v>
      </c>
      <c r="N682">
        <v>217.1</v>
      </c>
      <c r="O682">
        <v>77</v>
      </c>
      <c r="P682">
        <v>9.77</v>
      </c>
      <c r="Q682">
        <v>6.3</v>
      </c>
      <c r="R682">
        <v>5</v>
      </c>
      <c r="S682">
        <v>1.7</v>
      </c>
      <c r="T682">
        <v>0</v>
      </c>
    </row>
    <row r="683" spans="1:20" x14ac:dyDescent="0.3">
      <c r="A683">
        <v>682</v>
      </c>
      <c r="B683" t="s">
        <v>49</v>
      </c>
      <c r="C683">
        <v>119</v>
      </c>
      <c r="D683" t="s">
        <v>71</v>
      </c>
      <c r="E683" t="s">
        <v>74</v>
      </c>
      <c r="F683" t="s">
        <v>74</v>
      </c>
      <c r="G683">
        <v>0</v>
      </c>
      <c r="H683">
        <v>209.4</v>
      </c>
      <c r="I683">
        <v>125</v>
      </c>
      <c r="J683">
        <v>35.6</v>
      </c>
      <c r="K683">
        <v>286.3</v>
      </c>
      <c r="L683">
        <v>91</v>
      </c>
      <c r="M683">
        <v>24.34</v>
      </c>
      <c r="N683">
        <v>208.6</v>
      </c>
      <c r="O683">
        <v>73</v>
      </c>
      <c r="P683">
        <v>9.39</v>
      </c>
      <c r="Q683">
        <v>8.1</v>
      </c>
      <c r="R683">
        <v>4</v>
      </c>
      <c r="S683">
        <v>2.19</v>
      </c>
      <c r="T683">
        <v>2</v>
      </c>
    </row>
    <row r="684" spans="1:20" x14ac:dyDescent="0.3">
      <c r="A684">
        <v>683</v>
      </c>
      <c r="B684" t="s">
        <v>28</v>
      </c>
      <c r="C684">
        <v>126</v>
      </c>
      <c r="D684" t="s">
        <v>71</v>
      </c>
      <c r="E684" t="s">
        <v>74</v>
      </c>
      <c r="F684" t="s">
        <v>74</v>
      </c>
      <c r="G684">
        <v>0</v>
      </c>
      <c r="H684">
        <v>261.60000000000002</v>
      </c>
      <c r="I684">
        <v>83</v>
      </c>
      <c r="J684">
        <v>44.47</v>
      </c>
      <c r="K684">
        <v>192.9</v>
      </c>
      <c r="L684">
        <v>133</v>
      </c>
      <c r="M684">
        <v>16.399999999999999</v>
      </c>
      <c r="N684">
        <v>246.9</v>
      </c>
      <c r="O684">
        <v>50</v>
      </c>
      <c r="P684">
        <v>11.11</v>
      </c>
      <c r="Q684">
        <v>7.3</v>
      </c>
      <c r="R684">
        <v>3</v>
      </c>
      <c r="S684">
        <v>1.97</v>
      </c>
      <c r="T684">
        <v>4</v>
      </c>
    </row>
    <row r="685" spans="1:20" x14ac:dyDescent="0.3">
      <c r="A685">
        <v>684</v>
      </c>
      <c r="B685" t="s">
        <v>30</v>
      </c>
      <c r="C685">
        <v>81</v>
      </c>
      <c r="D685" t="s">
        <v>71</v>
      </c>
      <c r="E685" t="s">
        <v>74</v>
      </c>
      <c r="F685" t="s">
        <v>74</v>
      </c>
      <c r="G685">
        <v>0</v>
      </c>
      <c r="H685">
        <v>165.2</v>
      </c>
      <c r="I685">
        <v>109</v>
      </c>
      <c r="J685">
        <v>28.08</v>
      </c>
      <c r="K685">
        <v>170.6</v>
      </c>
      <c r="L685">
        <v>96</v>
      </c>
      <c r="M685">
        <v>14.5</v>
      </c>
      <c r="N685">
        <v>205</v>
      </c>
      <c r="O685">
        <v>74</v>
      </c>
      <c r="P685">
        <v>9.23</v>
      </c>
      <c r="Q685">
        <v>9.9</v>
      </c>
      <c r="R685">
        <v>4</v>
      </c>
      <c r="S685">
        <v>2.67</v>
      </c>
      <c r="T685">
        <v>0</v>
      </c>
    </row>
    <row r="686" spans="1:20" x14ac:dyDescent="0.3">
      <c r="A686">
        <v>685</v>
      </c>
      <c r="B686" t="s">
        <v>67</v>
      </c>
      <c r="C686">
        <v>47</v>
      </c>
      <c r="D686" t="s">
        <v>72</v>
      </c>
      <c r="E686" t="s">
        <v>75</v>
      </c>
      <c r="F686" t="s">
        <v>74</v>
      </c>
      <c r="G686">
        <v>0</v>
      </c>
      <c r="H686">
        <v>135</v>
      </c>
      <c r="I686">
        <v>108</v>
      </c>
      <c r="J686">
        <v>22.95</v>
      </c>
      <c r="K686">
        <v>176.3</v>
      </c>
      <c r="L686">
        <v>111</v>
      </c>
      <c r="M686">
        <v>14.99</v>
      </c>
      <c r="N686">
        <v>144.6</v>
      </c>
      <c r="O686">
        <v>96</v>
      </c>
      <c r="P686">
        <v>6.51</v>
      </c>
      <c r="Q686">
        <v>10.5</v>
      </c>
      <c r="R686">
        <v>1</v>
      </c>
      <c r="S686">
        <v>2.84</v>
      </c>
      <c r="T686">
        <v>1</v>
      </c>
    </row>
    <row r="687" spans="1:20" x14ac:dyDescent="0.3">
      <c r="A687">
        <v>686</v>
      </c>
      <c r="B687" t="s">
        <v>37</v>
      </c>
      <c r="C687">
        <v>128</v>
      </c>
      <c r="D687" t="s">
        <v>72</v>
      </c>
      <c r="E687" t="s">
        <v>74</v>
      </c>
      <c r="F687" t="s">
        <v>74</v>
      </c>
      <c r="G687">
        <v>0</v>
      </c>
      <c r="H687">
        <v>221</v>
      </c>
      <c r="I687">
        <v>109</v>
      </c>
      <c r="J687">
        <v>37.57</v>
      </c>
      <c r="K687">
        <v>219</v>
      </c>
      <c r="L687">
        <v>107</v>
      </c>
      <c r="M687">
        <v>18.62</v>
      </c>
      <c r="N687">
        <v>229.4</v>
      </c>
      <c r="O687">
        <v>113</v>
      </c>
      <c r="P687">
        <v>10.32</v>
      </c>
      <c r="Q687">
        <v>8.6</v>
      </c>
      <c r="R687">
        <v>5</v>
      </c>
      <c r="S687">
        <v>2.3199999999999998</v>
      </c>
      <c r="T687">
        <v>3</v>
      </c>
    </row>
    <row r="688" spans="1:20" x14ac:dyDescent="0.3">
      <c r="A688">
        <v>687</v>
      </c>
      <c r="B688" t="s">
        <v>21</v>
      </c>
      <c r="C688">
        <v>123</v>
      </c>
      <c r="D688" t="s">
        <v>71</v>
      </c>
      <c r="E688" t="s">
        <v>74</v>
      </c>
      <c r="F688" t="s">
        <v>74</v>
      </c>
      <c r="G688">
        <v>0</v>
      </c>
      <c r="H688">
        <v>132.6</v>
      </c>
      <c r="I688">
        <v>100</v>
      </c>
      <c r="J688">
        <v>22.54</v>
      </c>
      <c r="K688">
        <v>198.8</v>
      </c>
      <c r="L688">
        <v>102</v>
      </c>
      <c r="M688">
        <v>16.899999999999999</v>
      </c>
      <c r="N688">
        <v>168.9</v>
      </c>
      <c r="O688">
        <v>105</v>
      </c>
      <c r="P688">
        <v>7.6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688</v>
      </c>
      <c r="B689" t="s">
        <v>27</v>
      </c>
      <c r="C689">
        <v>84</v>
      </c>
      <c r="D689" t="s">
        <v>73</v>
      </c>
      <c r="E689" t="s">
        <v>74</v>
      </c>
      <c r="F689" t="s">
        <v>74</v>
      </c>
      <c r="G689">
        <v>0</v>
      </c>
      <c r="H689">
        <v>127.7</v>
      </c>
      <c r="I689">
        <v>81</v>
      </c>
      <c r="J689">
        <v>21.71</v>
      </c>
      <c r="K689">
        <v>188.4</v>
      </c>
      <c r="L689">
        <v>84</v>
      </c>
      <c r="M689">
        <v>16.010000000000002</v>
      </c>
      <c r="N689">
        <v>260</v>
      </c>
      <c r="O689">
        <v>125</v>
      </c>
      <c r="P689">
        <v>11.7</v>
      </c>
      <c r="Q689">
        <v>4.7</v>
      </c>
      <c r="R689">
        <v>6</v>
      </c>
      <c r="S689">
        <v>1.27</v>
      </c>
      <c r="T689">
        <v>1</v>
      </c>
    </row>
    <row r="690" spans="1:20" x14ac:dyDescent="0.3">
      <c r="A690">
        <v>689</v>
      </c>
      <c r="B690" t="s">
        <v>42</v>
      </c>
      <c r="C690">
        <v>124</v>
      </c>
      <c r="D690" t="s">
        <v>72</v>
      </c>
      <c r="E690" t="s">
        <v>74</v>
      </c>
      <c r="F690" t="s">
        <v>74</v>
      </c>
      <c r="G690">
        <v>0</v>
      </c>
      <c r="H690">
        <v>234.2</v>
      </c>
      <c r="I690">
        <v>110</v>
      </c>
      <c r="J690">
        <v>39.81</v>
      </c>
      <c r="K690">
        <v>199</v>
      </c>
      <c r="L690">
        <v>121</v>
      </c>
      <c r="M690">
        <v>16.920000000000002</v>
      </c>
      <c r="N690">
        <v>246.4</v>
      </c>
      <c r="O690">
        <v>135</v>
      </c>
      <c r="P690">
        <v>11.09</v>
      </c>
      <c r="Q690">
        <v>7.1</v>
      </c>
      <c r="R690">
        <v>4</v>
      </c>
      <c r="S690">
        <v>1.92</v>
      </c>
      <c r="T690">
        <v>0</v>
      </c>
    </row>
    <row r="691" spans="1:20" x14ac:dyDescent="0.3">
      <c r="A691">
        <v>690</v>
      </c>
      <c r="B691" t="s">
        <v>32</v>
      </c>
      <c r="C691">
        <v>162</v>
      </c>
      <c r="D691" t="s">
        <v>73</v>
      </c>
      <c r="E691" t="s">
        <v>74</v>
      </c>
      <c r="F691" t="s">
        <v>74</v>
      </c>
      <c r="G691">
        <v>0</v>
      </c>
      <c r="H691">
        <v>221.9</v>
      </c>
      <c r="I691">
        <v>66</v>
      </c>
      <c r="J691">
        <v>37.72</v>
      </c>
      <c r="K691">
        <v>112.7</v>
      </c>
      <c r="L691">
        <v>109</v>
      </c>
      <c r="M691">
        <v>9.58</v>
      </c>
      <c r="N691">
        <v>176.5</v>
      </c>
      <c r="O691">
        <v>141</v>
      </c>
      <c r="P691">
        <v>7.94</v>
      </c>
      <c r="Q691">
        <v>10.7</v>
      </c>
      <c r="R691">
        <v>6</v>
      </c>
      <c r="S691">
        <v>2.89</v>
      </c>
      <c r="T691">
        <v>1</v>
      </c>
    </row>
    <row r="692" spans="1:20" x14ac:dyDescent="0.3">
      <c r="A692">
        <v>691</v>
      </c>
      <c r="B692" t="s">
        <v>59</v>
      </c>
      <c r="C692">
        <v>82</v>
      </c>
      <c r="D692" t="s">
        <v>71</v>
      </c>
      <c r="E692" t="s">
        <v>74</v>
      </c>
      <c r="F692" t="s">
        <v>75</v>
      </c>
      <c r="G692">
        <v>23</v>
      </c>
      <c r="H692">
        <v>249.4</v>
      </c>
      <c r="I692">
        <v>117</v>
      </c>
      <c r="J692">
        <v>42.4</v>
      </c>
      <c r="K692">
        <v>195.8</v>
      </c>
      <c r="L692">
        <v>100</v>
      </c>
      <c r="M692">
        <v>16.64</v>
      </c>
      <c r="N692">
        <v>162.19999999999999</v>
      </c>
      <c r="O692">
        <v>94</v>
      </c>
      <c r="P692">
        <v>7.3</v>
      </c>
      <c r="Q692">
        <v>12.3</v>
      </c>
      <c r="R692">
        <v>2</v>
      </c>
      <c r="S692">
        <v>3.32</v>
      </c>
      <c r="T692">
        <v>1</v>
      </c>
    </row>
    <row r="693" spans="1:20" x14ac:dyDescent="0.3">
      <c r="A693">
        <v>692</v>
      </c>
      <c r="B693" t="s">
        <v>20</v>
      </c>
      <c r="C693">
        <v>158</v>
      </c>
      <c r="D693" t="s">
        <v>71</v>
      </c>
      <c r="E693" t="s">
        <v>75</v>
      </c>
      <c r="F693" t="s">
        <v>74</v>
      </c>
      <c r="G693">
        <v>0</v>
      </c>
      <c r="H693">
        <v>200</v>
      </c>
      <c r="I693">
        <v>98</v>
      </c>
      <c r="J693">
        <v>34</v>
      </c>
      <c r="K693">
        <v>205.4</v>
      </c>
      <c r="L693">
        <v>106</v>
      </c>
      <c r="M693">
        <v>17.46</v>
      </c>
      <c r="N693">
        <v>323.7</v>
      </c>
      <c r="O693">
        <v>96</v>
      </c>
      <c r="P693">
        <v>14.57</v>
      </c>
      <c r="Q693">
        <v>8.9</v>
      </c>
      <c r="R693">
        <v>2</v>
      </c>
      <c r="S693">
        <v>2.4</v>
      </c>
      <c r="T693">
        <v>0</v>
      </c>
    </row>
    <row r="694" spans="1:20" x14ac:dyDescent="0.3">
      <c r="A694">
        <v>693</v>
      </c>
      <c r="B694" t="s">
        <v>30</v>
      </c>
      <c r="C694">
        <v>46</v>
      </c>
      <c r="D694" t="s">
        <v>72</v>
      </c>
      <c r="E694" t="s">
        <v>75</v>
      </c>
      <c r="F694" t="s">
        <v>75</v>
      </c>
      <c r="G694">
        <v>27</v>
      </c>
      <c r="H694">
        <v>170.9</v>
      </c>
      <c r="I694">
        <v>73</v>
      </c>
      <c r="J694">
        <v>29.05</v>
      </c>
      <c r="K694">
        <v>184.7</v>
      </c>
      <c r="L694">
        <v>77</v>
      </c>
      <c r="M694">
        <v>15.7</v>
      </c>
      <c r="N694">
        <v>130.80000000000001</v>
      </c>
      <c r="O694">
        <v>94</v>
      </c>
      <c r="P694">
        <v>5.89</v>
      </c>
      <c r="Q694">
        <v>6.1</v>
      </c>
      <c r="R694">
        <v>7</v>
      </c>
      <c r="S694">
        <v>1.65</v>
      </c>
      <c r="T694">
        <v>2</v>
      </c>
    </row>
    <row r="695" spans="1:20" x14ac:dyDescent="0.3">
      <c r="A695">
        <v>694</v>
      </c>
      <c r="B695" t="s">
        <v>67</v>
      </c>
      <c r="C695">
        <v>33</v>
      </c>
      <c r="D695" t="s">
        <v>71</v>
      </c>
      <c r="E695" t="s">
        <v>74</v>
      </c>
      <c r="F695" t="s">
        <v>74</v>
      </c>
      <c r="G695">
        <v>0</v>
      </c>
      <c r="H695">
        <v>200.5</v>
      </c>
      <c r="I695">
        <v>117</v>
      </c>
      <c r="J695">
        <v>34.090000000000003</v>
      </c>
      <c r="K695">
        <v>159.9</v>
      </c>
      <c r="L695">
        <v>111</v>
      </c>
      <c r="M695">
        <v>13.59</v>
      </c>
      <c r="N695">
        <v>196.2</v>
      </c>
      <c r="O695">
        <v>84</v>
      </c>
      <c r="P695">
        <v>8.83</v>
      </c>
      <c r="Q695">
        <v>16.3</v>
      </c>
      <c r="R695">
        <v>6</v>
      </c>
      <c r="S695">
        <v>4.4000000000000004</v>
      </c>
      <c r="T695">
        <v>3</v>
      </c>
    </row>
    <row r="696" spans="1:20" x14ac:dyDescent="0.3">
      <c r="A696">
        <v>695</v>
      </c>
      <c r="B696" t="s">
        <v>32</v>
      </c>
      <c r="C696">
        <v>76</v>
      </c>
      <c r="D696" t="s">
        <v>71</v>
      </c>
      <c r="E696" t="s">
        <v>74</v>
      </c>
      <c r="F696" t="s">
        <v>74</v>
      </c>
      <c r="G696">
        <v>0</v>
      </c>
      <c r="H696">
        <v>168.4</v>
      </c>
      <c r="I696">
        <v>74</v>
      </c>
      <c r="J696">
        <v>28.63</v>
      </c>
      <c r="K696">
        <v>161</v>
      </c>
      <c r="L696">
        <v>83</v>
      </c>
      <c r="M696">
        <v>13.69</v>
      </c>
      <c r="N696">
        <v>147.4</v>
      </c>
      <c r="O696">
        <v>117</v>
      </c>
      <c r="P696">
        <v>6.63</v>
      </c>
      <c r="Q696">
        <v>8</v>
      </c>
      <c r="R696">
        <v>4</v>
      </c>
      <c r="S696">
        <v>2.16</v>
      </c>
      <c r="T696">
        <v>1</v>
      </c>
    </row>
    <row r="697" spans="1:20" x14ac:dyDescent="0.3">
      <c r="A697">
        <v>696</v>
      </c>
      <c r="B697" t="s">
        <v>23</v>
      </c>
      <c r="C697">
        <v>67</v>
      </c>
      <c r="D697" t="s">
        <v>73</v>
      </c>
      <c r="E697" t="s">
        <v>74</v>
      </c>
      <c r="F697" t="s">
        <v>75</v>
      </c>
      <c r="G697">
        <v>33</v>
      </c>
      <c r="H697">
        <v>127.5</v>
      </c>
      <c r="I697">
        <v>126</v>
      </c>
      <c r="J697">
        <v>21.68</v>
      </c>
      <c r="K697">
        <v>296.10000000000002</v>
      </c>
      <c r="L697">
        <v>129</v>
      </c>
      <c r="M697">
        <v>25.17</v>
      </c>
      <c r="N697">
        <v>200.9</v>
      </c>
      <c r="O697">
        <v>91</v>
      </c>
      <c r="P697">
        <v>9.0399999999999991</v>
      </c>
      <c r="Q697">
        <v>13</v>
      </c>
      <c r="R697">
        <v>3</v>
      </c>
      <c r="S697">
        <v>3.51</v>
      </c>
      <c r="T697">
        <v>1</v>
      </c>
    </row>
    <row r="698" spans="1:20" x14ac:dyDescent="0.3">
      <c r="A698">
        <v>697</v>
      </c>
      <c r="B698" t="s">
        <v>61</v>
      </c>
      <c r="C698">
        <v>43</v>
      </c>
      <c r="D698" t="s">
        <v>72</v>
      </c>
      <c r="E698" t="s">
        <v>74</v>
      </c>
      <c r="F698" t="s">
        <v>74</v>
      </c>
      <c r="G698">
        <v>0</v>
      </c>
      <c r="H698">
        <v>203.5</v>
      </c>
      <c r="I698">
        <v>125</v>
      </c>
      <c r="J698">
        <v>34.6</v>
      </c>
      <c r="K698">
        <v>116.4</v>
      </c>
      <c r="L698">
        <v>92</v>
      </c>
      <c r="M698">
        <v>9.89</v>
      </c>
      <c r="N698">
        <v>184.4</v>
      </c>
      <c r="O698">
        <v>118</v>
      </c>
      <c r="P698">
        <v>8.3000000000000007</v>
      </c>
      <c r="Q698">
        <v>13.6</v>
      </c>
      <c r="R698">
        <v>5</v>
      </c>
      <c r="S698">
        <v>3.67</v>
      </c>
      <c r="T698">
        <v>1</v>
      </c>
    </row>
    <row r="699" spans="1:20" x14ac:dyDescent="0.3">
      <c r="A699">
        <v>698</v>
      </c>
      <c r="B699" t="s">
        <v>33</v>
      </c>
      <c r="C699">
        <v>102</v>
      </c>
      <c r="D699" t="s">
        <v>71</v>
      </c>
      <c r="E699" t="s">
        <v>75</v>
      </c>
      <c r="F699" t="s">
        <v>74</v>
      </c>
      <c r="G699">
        <v>0</v>
      </c>
      <c r="H699">
        <v>78.400000000000006</v>
      </c>
      <c r="I699">
        <v>117</v>
      </c>
      <c r="J699">
        <v>13.33</v>
      </c>
      <c r="K699">
        <v>214.7</v>
      </c>
      <c r="L699">
        <v>113</v>
      </c>
      <c r="M699">
        <v>18.25</v>
      </c>
      <c r="N699">
        <v>119.5</v>
      </c>
      <c r="O699">
        <v>75</v>
      </c>
      <c r="P699">
        <v>5.38</v>
      </c>
      <c r="Q699">
        <v>7.2</v>
      </c>
      <c r="R699">
        <v>5</v>
      </c>
      <c r="S699">
        <v>1.94</v>
      </c>
      <c r="T699">
        <v>0</v>
      </c>
    </row>
    <row r="700" spans="1:20" x14ac:dyDescent="0.3">
      <c r="A700">
        <v>699</v>
      </c>
      <c r="B700" t="s">
        <v>28</v>
      </c>
      <c r="C700">
        <v>136</v>
      </c>
      <c r="D700" t="s">
        <v>71</v>
      </c>
      <c r="E700" t="s">
        <v>75</v>
      </c>
      <c r="F700" t="s">
        <v>75</v>
      </c>
      <c r="G700">
        <v>22</v>
      </c>
      <c r="H700">
        <v>160.30000000000001</v>
      </c>
      <c r="I700">
        <v>115</v>
      </c>
      <c r="J700">
        <v>27.25</v>
      </c>
      <c r="K700">
        <v>273.2</v>
      </c>
      <c r="L700">
        <v>88</v>
      </c>
      <c r="M700">
        <v>23.22</v>
      </c>
      <c r="N700">
        <v>203.2</v>
      </c>
      <c r="O700">
        <v>89</v>
      </c>
      <c r="P700">
        <v>9.14</v>
      </c>
      <c r="Q700">
        <v>11.7</v>
      </c>
      <c r="R700">
        <v>2</v>
      </c>
      <c r="S700">
        <v>3.16</v>
      </c>
      <c r="T700">
        <v>0</v>
      </c>
    </row>
    <row r="701" spans="1:20" x14ac:dyDescent="0.3">
      <c r="A701">
        <v>700</v>
      </c>
      <c r="B701" t="s">
        <v>60</v>
      </c>
      <c r="C701">
        <v>91</v>
      </c>
      <c r="D701" t="s">
        <v>72</v>
      </c>
      <c r="E701" t="s">
        <v>74</v>
      </c>
      <c r="F701" t="s">
        <v>74</v>
      </c>
      <c r="G701">
        <v>0</v>
      </c>
      <c r="H701">
        <v>172.5</v>
      </c>
      <c r="I701">
        <v>56</v>
      </c>
      <c r="J701">
        <v>29.33</v>
      </c>
      <c r="K701">
        <v>276.5</v>
      </c>
      <c r="L701">
        <v>70</v>
      </c>
      <c r="M701">
        <v>23.5</v>
      </c>
      <c r="N701">
        <v>180.9</v>
      </c>
      <c r="O701">
        <v>90</v>
      </c>
      <c r="P701">
        <v>8.14</v>
      </c>
      <c r="Q701">
        <v>6.9</v>
      </c>
      <c r="R701">
        <v>2</v>
      </c>
      <c r="S701">
        <v>1.86</v>
      </c>
      <c r="T701">
        <v>3</v>
      </c>
    </row>
    <row r="702" spans="1:20" x14ac:dyDescent="0.3">
      <c r="A702">
        <v>701</v>
      </c>
      <c r="B702" t="s">
        <v>31</v>
      </c>
      <c r="C702">
        <v>67</v>
      </c>
      <c r="D702" t="s">
        <v>71</v>
      </c>
      <c r="E702" t="s">
        <v>74</v>
      </c>
      <c r="F702" t="s">
        <v>74</v>
      </c>
      <c r="G702">
        <v>0</v>
      </c>
      <c r="H702">
        <v>166.6</v>
      </c>
      <c r="I702">
        <v>102</v>
      </c>
      <c r="J702">
        <v>28.32</v>
      </c>
      <c r="K702">
        <v>226.3</v>
      </c>
      <c r="L702">
        <v>110</v>
      </c>
      <c r="M702">
        <v>19.239999999999998</v>
      </c>
      <c r="N702">
        <v>147.19999999999999</v>
      </c>
      <c r="O702">
        <v>121</v>
      </c>
      <c r="P702">
        <v>6.62</v>
      </c>
      <c r="Q702">
        <v>9.1</v>
      </c>
      <c r="R702">
        <v>6</v>
      </c>
      <c r="S702">
        <v>2.46</v>
      </c>
      <c r="T702">
        <v>3</v>
      </c>
    </row>
    <row r="703" spans="1:20" x14ac:dyDescent="0.3">
      <c r="A703">
        <v>702</v>
      </c>
      <c r="B703" t="s">
        <v>42</v>
      </c>
      <c r="C703">
        <v>43</v>
      </c>
      <c r="D703" t="s">
        <v>72</v>
      </c>
      <c r="E703" t="s">
        <v>74</v>
      </c>
      <c r="F703" t="s">
        <v>75</v>
      </c>
      <c r="G703">
        <v>24</v>
      </c>
      <c r="H703">
        <v>207</v>
      </c>
      <c r="I703">
        <v>109</v>
      </c>
      <c r="J703">
        <v>35.19</v>
      </c>
      <c r="K703">
        <v>181.7</v>
      </c>
      <c r="L703">
        <v>100</v>
      </c>
      <c r="M703">
        <v>15.44</v>
      </c>
      <c r="N703">
        <v>148.69999999999999</v>
      </c>
      <c r="O703">
        <v>111</v>
      </c>
      <c r="P703">
        <v>6.69</v>
      </c>
      <c r="Q703">
        <v>5.7</v>
      </c>
      <c r="R703">
        <v>6</v>
      </c>
      <c r="S703">
        <v>1.54</v>
      </c>
      <c r="T703">
        <v>1</v>
      </c>
    </row>
    <row r="704" spans="1:20" x14ac:dyDescent="0.3">
      <c r="A704">
        <v>703</v>
      </c>
      <c r="B704" t="s">
        <v>62</v>
      </c>
      <c r="C704">
        <v>71</v>
      </c>
      <c r="D704" t="s">
        <v>71</v>
      </c>
      <c r="E704" t="s">
        <v>74</v>
      </c>
      <c r="F704" t="s">
        <v>75</v>
      </c>
      <c r="G704">
        <v>27</v>
      </c>
      <c r="H704">
        <v>151.19999999999999</v>
      </c>
      <c r="I704">
        <v>118</v>
      </c>
      <c r="J704">
        <v>25.7</v>
      </c>
      <c r="K704">
        <v>228</v>
      </c>
      <c r="L704">
        <v>82</v>
      </c>
      <c r="M704">
        <v>19.38</v>
      </c>
      <c r="N704">
        <v>169.8</v>
      </c>
      <c r="O704">
        <v>113</v>
      </c>
      <c r="P704">
        <v>7.64</v>
      </c>
      <c r="Q704">
        <v>5.6</v>
      </c>
      <c r="R704">
        <v>17</v>
      </c>
      <c r="S704">
        <v>1.51</v>
      </c>
      <c r="T704">
        <v>0</v>
      </c>
    </row>
    <row r="705" spans="1:20" x14ac:dyDescent="0.3">
      <c r="A705">
        <v>704</v>
      </c>
      <c r="B705" t="s">
        <v>41</v>
      </c>
      <c r="C705">
        <v>124</v>
      </c>
      <c r="D705" t="s">
        <v>72</v>
      </c>
      <c r="E705" t="s">
        <v>74</v>
      </c>
      <c r="F705" t="s">
        <v>74</v>
      </c>
      <c r="G705">
        <v>0</v>
      </c>
      <c r="H705">
        <v>178.8</v>
      </c>
      <c r="I705">
        <v>64</v>
      </c>
      <c r="J705">
        <v>30.4</v>
      </c>
      <c r="K705">
        <v>226</v>
      </c>
      <c r="L705">
        <v>118</v>
      </c>
      <c r="M705">
        <v>19.21</v>
      </c>
      <c r="N705">
        <v>240.5</v>
      </c>
      <c r="O705">
        <v>89</v>
      </c>
      <c r="P705">
        <v>10.82</v>
      </c>
      <c r="Q705">
        <v>5.5</v>
      </c>
      <c r="R705">
        <v>4</v>
      </c>
      <c r="S705">
        <v>1.49</v>
      </c>
      <c r="T705">
        <v>2</v>
      </c>
    </row>
    <row r="706" spans="1:20" x14ac:dyDescent="0.3">
      <c r="A706">
        <v>705</v>
      </c>
      <c r="B706" t="s">
        <v>66</v>
      </c>
      <c r="C706">
        <v>172</v>
      </c>
      <c r="D706" t="s">
        <v>71</v>
      </c>
      <c r="E706" t="s">
        <v>74</v>
      </c>
      <c r="F706" t="s">
        <v>74</v>
      </c>
      <c r="G706">
        <v>0</v>
      </c>
      <c r="H706">
        <v>136</v>
      </c>
      <c r="I706">
        <v>90</v>
      </c>
      <c r="J706">
        <v>23.12</v>
      </c>
      <c r="K706">
        <v>184</v>
      </c>
      <c r="L706">
        <v>89</v>
      </c>
      <c r="M706">
        <v>15.64</v>
      </c>
      <c r="N706">
        <v>137.5</v>
      </c>
      <c r="O706">
        <v>48</v>
      </c>
      <c r="P706">
        <v>6.19</v>
      </c>
      <c r="Q706">
        <v>5.5</v>
      </c>
      <c r="R706">
        <v>3</v>
      </c>
      <c r="S706">
        <v>1.49</v>
      </c>
      <c r="T706">
        <v>0</v>
      </c>
    </row>
    <row r="707" spans="1:20" x14ac:dyDescent="0.3">
      <c r="A707">
        <v>706</v>
      </c>
      <c r="B707" t="s">
        <v>30</v>
      </c>
      <c r="C707">
        <v>120</v>
      </c>
      <c r="D707" t="s">
        <v>73</v>
      </c>
      <c r="E707" t="s">
        <v>74</v>
      </c>
      <c r="F707" t="s">
        <v>74</v>
      </c>
      <c r="G707">
        <v>0</v>
      </c>
      <c r="H707">
        <v>169</v>
      </c>
      <c r="I707">
        <v>87</v>
      </c>
      <c r="J707">
        <v>28.73</v>
      </c>
      <c r="K707">
        <v>111.1</v>
      </c>
      <c r="L707">
        <v>93</v>
      </c>
      <c r="M707">
        <v>9.44</v>
      </c>
      <c r="N707">
        <v>118.7</v>
      </c>
      <c r="O707">
        <v>102</v>
      </c>
      <c r="P707">
        <v>5.34</v>
      </c>
      <c r="Q707">
        <v>12.2</v>
      </c>
      <c r="R707">
        <v>3</v>
      </c>
      <c r="S707">
        <v>3.29</v>
      </c>
      <c r="T707">
        <v>3</v>
      </c>
    </row>
    <row r="708" spans="1:20" x14ac:dyDescent="0.3">
      <c r="A708">
        <v>707</v>
      </c>
      <c r="B708" t="s">
        <v>55</v>
      </c>
      <c r="C708">
        <v>105</v>
      </c>
      <c r="D708" t="s">
        <v>73</v>
      </c>
      <c r="E708" t="s">
        <v>74</v>
      </c>
      <c r="F708" t="s">
        <v>74</v>
      </c>
      <c r="G708">
        <v>0</v>
      </c>
      <c r="H708">
        <v>104.2</v>
      </c>
      <c r="I708">
        <v>75</v>
      </c>
      <c r="J708">
        <v>17.71</v>
      </c>
      <c r="K708">
        <v>272.89999999999998</v>
      </c>
      <c r="L708">
        <v>91</v>
      </c>
      <c r="M708">
        <v>23.2</v>
      </c>
      <c r="N708">
        <v>187.2</v>
      </c>
      <c r="O708">
        <v>107</v>
      </c>
      <c r="P708">
        <v>8.42</v>
      </c>
      <c r="Q708">
        <v>9.1999999999999993</v>
      </c>
      <c r="R708">
        <v>2</v>
      </c>
      <c r="S708">
        <v>2.48</v>
      </c>
      <c r="T708">
        <v>1</v>
      </c>
    </row>
    <row r="709" spans="1:20" x14ac:dyDescent="0.3">
      <c r="A709">
        <v>708</v>
      </c>
      <c r="B709" t="s">
        <v>70</v>
      </c>
      <c r="C709">
        <v>122</v>
      </c>
      <c r="D709" t="s">
        <v>71</v>
      </c>
      <c r="E709" t="s">
        <v>74</v>
      </c>
      <c r="F709" t="s">
        <v>74</v>
      </c>
      <c r="G709">
        <v>0</v>
      </c>
      <c r="H709">
        <v>273.8</v>
      </c>
      <c r="I709">
        <v>94</v>
      </c>
      <c r="J709">
        <v>46.55</v>
      </c>
      <c r="K709">
        <v>237.1</v>
      </c>
      <c r="L709">
        <v>131</v>
      </c>
      <c r="M709">
        <v>20.149999999999999</v>
      </c>
      <c r="N709">
        <v>295.89999999999998</v>
      </c>
      <c r="O709">
        <v>89</v>
      </c>
      <c r="P709">
        <v>13.32</v>
      </c>
      <c r="Q709">
        <v>10.4</v>
      </c>
      <c r="R709">
        <v>2</v>
      </c>
      <c r="S709">
        <v>2.81</v>
      </c>
      <c r="T709">
        <v>3</v>
      </c>
    </row>
    <row r="710" spans="1:20" x14ac:dyDescent="0.3">
      <c r="A710">
        <v>709</v>
      </c>
      <c r="B710" t="s">
        <v>21</v>
      </c>
      <c r="C710">
        <v>152</v>
      </c>
      <c r="D710" t="s">
        <v>73</v>
      </c>
      <c r="E710" t="s">
        <v>74</v>
      </c>
      <c r="F710" t="s">
        <v>74</v>
      </c>
      <c r="G710">
        <v>0</v>
      </c>
      <c r="H710">
        <v>142.80000000000001</v>
      </c>
      <c r="I710">
        <v>106</v>
      </c>
      <c r="J710">
        <v>24.28</v>
      </c>
      <c r="K710">
        <v>230.5</v>
      </c>
      <c r="L710">
        <v>87</v>
      </c>
      <c r="M710">
        <v>19.59</v>
      </c>
      <c r="N710">
        <v>212.8</v>
      </c>
      <c r="O710">
        <v>74</v>
      </c>
      <c r="P710">
        <v>9.58</v>
      </c>
      <c r="Q710">
        <v>7.2</v>
      </c>
      <c r="R710">
        <v>8</v>
      </c>
      <c r="S710">
        <v>1.94</v>
      </c>
      <c r="T710">
        <v>0</v>
      </c>
    </row>
    <row r="711" spans="1:20" x14ac:dyDescent="0.3">
      <c r="A711">
        <v>710</v>
      </c>
      <c r="B711" t="s">
        <v>56</v>
      </c>
      <c r="C711">
        <v>60</v>
      </c>
      <c r="D711" t="s">
        <v>73</v>
      </c>
      <c r="E711" t="s">
        <v>74</v>
      </c>
      <c r="F711" t="s">
        <v>75</v>
      </c>
      <c r="G711">
        <v>43</v>
      </c>
      <c r="H711">
        <v>179.9</v>
      </c>
      <c r="I711">
        <v>100</v>
      </c>
      <c r="J711">
        <v>30.58</v>
      </c>
      <c r="K711">
        <v>245.1</v>
      </c>
      <c r="L711">
        <v>71</v>
      </c>
      <c r="M711">
        <v>20.83</v>
      </c>
      <c r="N711">
        <v>225.7</v>
      </c>
      <c r="O711">
        <v>114</v>
      </c>
      <c r="P711">
        <v>10.16</v>
      </c>
      <c r="Q711">
        <v>11.4</v>
      </c>
      <c r="R711">
        <v>4</v>
      </c>
      <c r="S711">
        <v>3.08</v>
      </c>
      <c r="T711">
        <v>2</v>
      </c>
    </row>
    <row r="712" spans="1:20" x14ac:dyDescent="0.3">
      <c r="A712">
        <v>711</v>
      </c>
      <c r="B712" t="s">
        <v>44</v>
      </c>
      <c r="C712">
        <v>51</v>
      </c>
      <c r="D712" t="s">
        <v>71</v>
      </c>
      <c r="E712" t="s">
        <v>74</v>
      </c>
      <c r="F712" t="s">
        <v>74</v>
      </c>
      <c r="G712">
        <v>0</v>
      </c>
      <c r="H712">
        <v>86.4</v>
      </c>
      <c r="I712">
        <v>102</v>
      </c>
      <c r="J712">
        <v>14.69</v>
      </c>
      <c r="K712">
        <v>202.1</v>
      </c>
      <c r="L712">
        <v>113</v>
      </c>
      <c r="M712">
        <v>17.18</v>
      </c>
      <c r="N712">
        <v>113</v>
      </c>
      <c r="O712">
        <v>84</v>
      </c>
      <c r="P712">
        <v>5.09</v>
      </c>
      <c r="Q712">
        <v>11.9</v>
      </c>
      <c r="R712">
        <v>6</v>
      </c>
      <c r="S712">
        <v>3.21</v>
      </c>
      <c r="T712">
        <v>2</v>
      </c>
    </row>
    <row r="713" spans="1:20" x14ac:dyDescent="0.3">
      <c r="A713">
        <v>712</v>
      </c>
      <c r="B713" t="s">
        <v>57</v>
      </c>
      <c r="C713">
        <v>39</v>
      </c>
      <c r="D713" t="s">
        <v>71</v>
      </c>
      <c r="E713" t="s">
        <v>74</v>
      </c>
      <c r="F713" t="s">
        <v>74</v>
      </c>
      <c r="G713">
        <v>0</v>
      </c>
      <c r="H713">
        <v>196.2</v>
      </c>
      <c r="I713">
        <v>105</v>
      </c>
      <c r="J713">
        <v>33.35</v>
      </c>
      <c r="K713">
        <v>306.8</v>
      </c>
      <c r="L713">
        <v>111</v>
      </c>
      <c r="M713">
        <v>26.08</v>
      </c>
      <c r="N713">
        <v>201.5</v>
      </c>
      <c r="O713">
        <v>110</v>
      </c>
      <c r="P713">
        <v>9.07</v>
      </c>
      <c r="Q713">
        <v>6.9</v>
      </c>
      <c r="R713">
        <v>11</v>
      </c>
      <c r="S713">
        <v>1.86</v>
      </c>
      <c r="T713">
        <v>0</v>
      </c>
    </row>
    <row r="714" spans="1:20" x14ac:dyDescent="0.3">
      <c r="A714">
        <v>713</v>
      </c>
      <c r="B714" t="s">
        <v>60</v>
      </c>
      <c r="C714">
        <v>126</v>
      </c>
      <c r="D714" t="s">
        <v>71</v>
      </c>
      <c r="E714" t="s">
        <v>74</v>
      </c>
      <c r="F714" t="s">
        <v>74</v>
      </c>
      <c r="G714">
        <v>0</v>
      </c>
      <c r="H714">
        <v>97</v>
      </c>
      <c r="I714">
        <v>96</v>
      </c>
      <c r="J714">
        <v>16.489999999999998</v>
      </c>
      <c r="K714">
        <v>213.1</v>
      </c>
      <c r="L714">
        <v>79</v>
      </c>
      <c r="M714">
        <v>18.11</v>
      </c>
      <c r="N714">
        <v>322.2</v>
      </c>
      <c r="O714">
        <v>79</v>
      </c>
      <c r="P714">
        <v>14.5</v>
      </c>
      <c r="Q714">
        <v>10.8</v>
      </c>
      <c r="R714">
        <v>3</v>
      </c>
      <c r="S714">
        <v>2.92</v>
      </c>
      <c r="T714">
        <v>5</v>
      </c>
    </row>
    <row r="715" spans="1:20" x14ac:dyDescent="0.3">
      <c r="A715">
        <v>714</v>
      </c>
      <c r="B715" t="s">
        <v>48</v>
      </c>
      <c r="C715">
        <v>148</v>
      </c>
      <c r="D715" t="s">
        <v>71</v>
      </c>
      <c r="E715" t="s">
        <v>74</v>
      </c>
      <c r="F715" t="s">
        <v>74</v>
      </c>
      <c r="G715">
        <v>0</v>
      </c>
      <c r="H715">
        <v>168.7</v>
      </c>
      <c r="I715">
        <v>125</v>
      </c>
      <c r="J715">
        <v>28.68</v>
      </c>
      <c r="K715">
        <v>208.5</v>
      </c>
      <c r="L715">
        <v>79</v>
      </c>
      <c r="M715">
        <v>17.72</v>
      </c>
      <c r="N715">
        <v>184.1</v>
      </c>
      <c r="O715">
        <v>86</v>
      </c>
      <c r="P715">
        <v>8.2799999999999994</v>
      </c>
      <c r="Q715">
        <v>6.8</v>
      </c>
      <c r="R715">
        <v>6</v>
      </c>
      <c r="S715">
        <v>1.84</v>
      </c>
      <c r="T715">
        <v>2</v>
      </c>
    </row>
    <row r="716" spans="1:20" x14ac:dyDescent="0.3">
      <c r="A716">
        <v>715</v>
      </c>
      <c r="B716" t="s">
        <v>27</v>
      </c>
      <c r="C716">
        <v>84</v>
      </c>
      <c r="D716" t="s">
        <v>71</v>
      </c>
      <c r="E716" t="s">
        <v>74</v>
      </c>
      <c r="F716" t="s">
        <v>74</v>
      </c>
      <c r="G716">
        <v>0</v>
      </c>
      <c r="H716">
        <v>172.3</v>
      </c>
      <c r="I716">
        <v>92</v>
      </c>
      <c r="J716">
        <v>29.29</v>
      </c>
      <c r="K716">
        <v>224.2</v>
      </c>
      <c r="L716">
        <v>96</v>
      </c>
      <c r="M716">
        <v>19.059999999999999</v>
      </c>
      <c r="N716">
        <v>223.4</v>
      </c>
      <c r="O716">
        <v>100</v>
      </c>
      <c r="P716">
        <v>10.050000000000001</v>
      </c>
      <c r="Q716">
        <v>9.6999999999999993</v>
      </c>
      <c r="R716">
        <v>1</v>
      </c>
      <c r="S716">
        <v>2.62</v>
      </c>
      <c r="T716">
        <v>2</v>
      </c>
    </row>
    <row r="717" spans="1:20" x14ac:dyDescent="0.3">
      <c r="A717">
        <v>716</v>
      </c>
      <c r="B717" t="s">
        <v>24</v>
      </c>
      <c r="C717">
        <v>67</v>
      </c>
      <c r="D717" t="s">
        <v>73</v>
      </c>
      <c r="E717" t="s">
        <v>74</v>
      </c>
      <c r="F717" t="s">
        <v>74</v>
      </c>
      <c r="G717">
        <v>0</v>
      </c>
      <c r="H717">
        <v>144.69999999999999</v>
      </c>
      <c r="I717">
        <v>91</v>
      </c>
      <c r="J717">
        <v>24.6</v>
      </c>
      <c r="K717">
        <v>219.6</v>
      </c>
      <c r="L717">
        <v>106</v>
      </c>
      <c r="M717">
        <v>18.670000000000002</v>
      </c>
      <c r="N717">
        <v>233.5</v>
      </c>
      <c r="O717">
        <v>98</v>
      </c>
      <c r="P717">
        <v>10.51</v>
      </c>
      <c r="Q717">
        <v>12.6</v>
      </c>
      <c r="R717">
        <v>8</v>
      </c>
      <c r="S717">
        <v>3.4</v>
      </c>
      <c r="T717">
        <v>1</v>
      </c>
    </row>
    <row r="718" spans="1:20" x14ac:dyDescent="0.3">
      <c r="A718">
        <v>717</v>
      </c>
      <c r="B718" t="s">
        <v>51</v>
      </c>
      <c r="C718">
        <v>104</v>
      </c>
      <c r="D718" t="s">
        <v>72</v>
      </c>
      <c r="E718" t="s">
        <v>74</v>
      </c>
      <c r="F718" t="s">
        <v>75</v>
      </c>
      <c r="G718">
        <v>44</v>
      </c>
      <c r="H718">
        <v>163.19999999999999</v>
      </c>
      <c r="I718">
        <v>69</v>
      </c>
      <c r="J718">
        <v>27.74</v>
      </c>
      <c r="K718">
        <v>271.7</v>
      </c>
      <c r="L718">
        <v>107</v>
      </c>
      <c r="M718">
        <v>23.09</v>
      </c>
      <c r="N718">
        <v>175.6</v>
      </c>
      <c r="O718">
        <v>109</v>
      </c>
      <c r="P718">
        <v>7.9</v>
      </c>
      <c r="Q718">
        <v>9.9</v>
      </c>
      <c r="R718">
        <v>2</v>
      </c>
      <c r="S718">
        <v>2.67</v>
      </c>
      <c r="T718">
        <v>3</v>
      </c>
    </row>
    <row r="719" spans="1:20" x14ac:dyDescent="0.3">
      <c r="A719">
        <v>718</v>
      </c>
      <c r="B719" t="s">
        <v>26</v>
      </c>
      <c r="C719">
        <v>76</v>
      </c>
      <c r="D719" t="s">
        <v>72</v>
      </c>
      <c r="E719" t="s">
        <v>74</v>
      </c>
      <c r="F719" t="s">
        <v>75</v>
      </c>
      <c r="G719">
        <v>17</v>
      </c>
      <c r="H719">
        <v>234.9</v>
      </c>
      <c r="I719">
        <v>111</v>
      </c>
      <c r="J719">
        <v>39.93</v>
      </c>
      <c r="K719">
        <v>255.4</v>
      </c>
      <c r="L719">
        <v>143</v>
      </c>
      <c r="M719">
        <v>21.71</v>
      </c>
      <c r="N719">
        <v>194.6</v>
      </c>
      <c r="O719">
        <v>80</v>
      </c>
      <c r="P719">
        <v>8.76</v>
      </c>
      <c r="Q719">
        <v>15.4</v>
      </c>
      <c r="R719">
        <v>3</v>
      </c>
      <c r="S719">
        <v>4.16</v>
      </c>
      <c r="T719">
        <v>1</v>
      </c>
    </row>
    <row r="720" spans="1:20" x14ac:dyDescent="0.3">
      <c r="A720">
        <v>719</v>
      </c>
      <c r="B720" t="s">
        <v>56</v>
      </c>
      <c r="C720">
        <v>69</v>
      </c>
      <c r="D720" t="s">
        <v>73</v>
      </c>
      <c r="E720" t="s">
        <v>74</v>
      </c>
      <c r="F720" t="s">
        <v>75</v>
      </c>
      <c r="G720">
        <v>33</v>
      </c>
      <c r="H720">
        <v>170.2</v>
      </c>
      <c r="I720">
        <v>113</v>
      </c>
      <c r="J720">
        <v>28.93</v>
      </c>
      <c r="K720">
        <v>192.4</v>
      </c>
      <c r="L720">
        <v>69</v>
      </c>
      <c r="M720">
        <v>16.350000000000001</v>
      </c>
      <c r="N720">
        <v>112</v>
      </c>
      <c r="O720">
        <v>108</v>
      </c>
      <c r="P720">
        <v>5.04</v>
      </c>
      <c r="Q720">
        <v>13</v>
      </c>
      <c r="R720">
        <v>1</v>
      </c>
      <c r="S720">
        <v>3.51</v>
      </c>
      <c r="T720">
        <v>2</v>
      </c>
    </row>
    <row r="721" spans="1:20" x14ac:dyDescent="0.3">
      <c r="A721">
        <v>720</v>
      </c>
      <c r="B721" t="s">
        <v>48</v>
      </c>
      <c r="C721">
        <v>126</v>
      </c>
      <c r="D721" t="s">
        <v>71</v>
      </c>
      <c r="E721" t="s">
        <v>74</v>
      </c>
      <c r="F721" t="s">
        <v>74</v>
      </c>
      <c r="G721">
        <v>0</v>
      </c>
      <c r="H721">
        <v>284</v>
      </c>
      <c r="I721">
        <v>92</v>
      </c>
      <c r="J721">
        <v>48.28</v>
      </c>
      <c r="K721">
        <v>199.7</v>
      </c>
      <c r="L721">
        <v>78</v>
      </c>
      <c r="M721">
        <v>16.97</v>
      </c>
      <c r="N721">
        <v>203.4</v>
      </c>
      <c r="O721">
        <v>141</v>
      </c>
      <c r="P721">
        <v>9.15</v>
      </c>
      <c r="Q721">
        <v>6.6</v>
      </c>
      <c r="R721">
        <v>2</v>
      </c>
      <c r="S721">
        <v>1.78</v>
      </c>
      <c r="T721">
        <v>1</v>
      </c>
    </row>
    <row r="722" spans="1:20" x14ac:dyDescent="0.3">
      <c r="A722">
        <v>721</v>
      </c>
      <c r="B722" t="s">
        <v>36</v>
      </c>
      <c r="C722">
        <v>103</v>
      </c>
      <c r="D722" t="s">
        <v>73</v>
      </c>
      <c r="E722" t="s">
        <v>74</v>
      </c>
      <c r="F722" t="s">
        <v>74</v>
      </c>
      <c r="G722">
        <v>0</v>
      </c>
      <c r="H722">
        <v>170.6</v>
      </c>
      <c r="I722">
        <v>79</v>
      </c>
      <c r="J722">
        <v>29</v>
      </c>
      <c r="K722">
        <v>144.80000000000001</v>
      </c>
      <c r="L722">
        <v>126</v>
      </c>
      <c r="M722">
        <v>12.31</v>
      </c>
      <c r="N722">
        <v>193.6</v>
      </c>
      <c r="O722">
        <v>102</v>
      </c>
      <c r="P722">
        <v>8.7100000000000009</v>
      </c>
      <c r="Q722">
        <v>6</v>
      </c>
      <c r="R722">
        <v>3</v>
      </c>
      <c r="S722">
        <v>1.62</v>
      </c>
      <c r="T722">
        <v>0</v>
      </c>
    </row>
    <row r="723" spans="1:20" x14ac:dyDescent="0.3">
      <c r="A723">
        <v>722</v>
      </c>
      <c r="B723" t="s">
        <v>35</v>
      </c>
      <c r="C723">
        <v>121</v>
      </c>
      <c r="D723" t="s">
        <v>71</v>
      </c>
      <c r="E723" t="s">
        <v>74</v>
      </c>
      <c r="F723" t="s">
        <v>74</v>
      </c>
      <c r="G723">
        <v>0</v>
      </c>
      <c r="H723">
        <v>203.9</v>
      </c>
      <c r="I723">
        <v>126</v>
      </c>
      <c r="J723">
        <v>34.659999999999997</v>
      </c>
      <c r="K723">
        <v>267.3</v>
      </c>
      <c r="L723">
        <v>107</v>
      </c>
      <c r="M723">
        <v>22.72</v>
      </c>
      <c r="N723">
        <v>221.9</v>
      </c>
      <c r="O723">
        <v>72</v>
      </c>
      <c r="P723">
        <v>9.99</v>
      </c>
      <c r="Q723">
        <v>10.5</v>
      </c>
      <c r="R723">
        <v>2</v>
      </c>
      <c r="S723">
        <v>2.84</v>
      </c>
      <c r="T723">
        <v>3</v>
      </c>
    </row>
    <row r="724" spans="1:20" x14ac:dyDescent="0.3">
      <c r="A724">
        <v>723</v>
      </c>
      <c r="B724" t="s">
        <v>27</v>
      </c>
      <c r="C724">
        <v>56</v>
      </c>
      <c r="D724" t="s">
        <v>71</v>
      </c>
      <c r="E724" t="s">
        <v>74</v>
      </c>
      <c r="F724" t="s">
        <v>74</v>
      </c>
      <c r="G724">
        <v>0</v>
      </c>
      <c r="H724">
        <v>245.5</v>
      </c>
      <c r="I724">
        <v>39</v>
      </c>
      <c r="J724">
        <v>41.74</v>
      </c>
      <c r="K724">
        <v>231.8</v>
      </c>
      <c r="L724">
        <v>116</v>
      </c>
      <c r="M724">
        <v>19.7</v>
      </c>
      <c r="N724">
        <v>156.9</v>
      </c>
      <c r="O724">
        <v>68</v>
      </c>
      <c r="P724">
        <v>7.06</v>
      </c>
      <c r="Q724">
        <v>10.1</v>
      </c>
      <c r="R724">
        <v>10</v>
      </c>
      <c r="S724">
        <v>2.73</v>
      </c>
      <c r="T724">
        <v>5</v>
      </c>
    </row>
    <row r="725" spans="1:20" x14ac:dyDescent="0.3">
      <c r="A725">
        <v>724</v>
      </c>
      <c r="B725" t="s">
        <v>47</v>
      </c>
      <c r="C725">
        <v>96</v>
      </c>
      <c r="D725" t="s">
        <v>71</v>
      </c>
      <c r="E725" t="s">
        <v>74</v>
      </c>
      <c r="F725" t="s">
        <v>75</v>
      </c>
      <c r="G725">
        <v>28</v>
      </c>
      <c r="H725">
        <v>66.599999999999994</v>
      </c>
      <c r="I725">
        <v>147</v>
      </c>
      <c r="J725">
        <v>11.32</v>
      </c>
      <c r="K725">
        <v>297</v>
      </c>
      <c r="L725">
        <v>121</v>
      </c>
      <c r="M725">
        <v>25.25</v>
      </c>
      <c r="N725">
        <v>144.19999999999999</v>
      </c>
      <c r="O725">
        <v>106</v>
      </c>
      <c r="P725">
        <v>6.49</v>
      </c>
      <c r="Q725">
        <v>13</v>
      </c>
      <c r="R725">
        <v>3</v>
      </c>
      <c r="S725">
        <v>3.51</v>
      </c>
      <c r="T725">
        <v>2</v>
      </c>
    </row>
    <row r="726" spans="1:20" x14ac:dyDescent="0.3">
      <c r="A726">
        <v>725</v>
      </c>
      <c r="B726" t="s">
        <v>53</v>
      </c>
      <c r="C726">
        <v>90</v>
      </c>
      <c r="D726" t="s">
        <v>71</v>
      </c>
      <c r="E726" t="s">
        <v>74</v>
      </c>
      <c r="F726" t="s">
        <v>75</v>
      </c>
      <c r="G726">
        <v>32</v>
      </c>
      <c r="H726">
        <v>194</v>
      </c>
      <c r="I726">
        <v>83</v>
      </c>
      <c r="J726">
        <v>32.979999999999997</v>
      </c>
      <c r="K726">
        <v>151.69999999999999</v>
      </c>
      <c r="L726">
        <v>111</v>
      </c>
      <c r="M726">
        <v>12.89</v>
      </c>
      <c r="N726">
        <v>205.8</v>
      </c>
      <c r="O726">
        <v>111</v>
      </c>
      <c r="P726">
        <v>9.26</v>
      </c>
      <c r="Q726">
        <v>9.3000000000000007</v>
      </c>
      <c r="R726">
        <v>4</v>
      </c>
      <c r="S726">
        <v>2.5099999999999998</v>
      </c>
      <c r="T726">
        <v>1</v>
      </c>
    </row>
    <row r="727" spans="1:20" x14ac:dyDescent="0.3">
      <c r="A727">
        <v>726</v>
      </c>
      <c r="B727" t="s">
        <v>62</v>
      </c>
      <c r="C727">
        <v>112</v>
      </c>
      <c r="D727" t="s">
        <v>72</v>
      </c>
      <c r="E727" t="s">
        <v>74</v>
      </c>
      <c r="F727" t="s">
        <v>74</v>
      </c>
      <c r="G727">
        <v>0</v>
      </c>
      <c r="H727">
        <v>136.1</v>
      </c>
      <c r="I727">
        <v>95</v>
      </c>
      <c r="J727">
        <v>23.14</v>
      </c>
      <c r="K727">
        <v>163.80000000000001</v>
      </c>
      <c r="L727">
        <v>111</v>
      </c>
      <c r="M727">
        <v>13.92</v>
      </c>
      <c r="N727">
        <v>157.19999999999999</v>
      </c>
      <c r="O727">
        <v>118</v>
      </c>
      <c r="P727">
        <v>7.07</v>
      </c>
      <c r="Q727">
        <v>8.9</v>
      </c>
      <c r="R727">
        <v>5</v>
      </c>
      <c r="S727">
        <v>2.4</v>
      </c>
      <c r="T727">
        <v>1</v>
      </c>
    </row>
    <row r="728" spans="1:20" x14ac:dyDescent="0.3">
      <c r="A728">
        <v>727</v>
      </c>
      <c r="B728" t="s">
        <v>34</v>
      </c>
      <c r="C728">
        <v>14</v>
      </c>
      <c r="D728" t="s">
        <v>71</v>
      </c>
      <c r="E728" t="s">
        <v>74</v>
      </c>
      <c r="F728" t="s">
        <v>74</v>
      </c>
      <c r="G728">
        <v>0</v>
      </c>
      <c r="H728">
        <v>271.89999999999998</v>
      </c>
      <c r="I728">
        <v>104</v>
      </c>
      <c r="J728">
        <v>46.22</v>
      </c>
      <c r="K728">
        <v>171.4</v>
      </c>
      <c r="L728">
        <v>104</v>
      </c>
      <c r="M728">
        <v>14.57</v>
      </c>
      <c r="N728">
        <v>239.2</v>
      </c>
      <c r="O728">
        <v>111</v>
      </c>
      <c r="P728">
        <v>10.76</v>
      </c>
      <c r="Q728">
        <v>13.8</v>
      </c>
      <c r="R728">
        <v>4</v>
      </c>
      <c r="S728">
        <v>3.73</v>
      </c>
      <c r="T728">
        <v>2</v>
      </c>
    </row>
    <row r="729" spans="1:20" x14ac:dyDescent="0.3">
      <c r="A729">
        <v>728</v>
      </c>
      <c r="B729" t="s">
        <v>53</v>
      </c>
      <c r="C729">
        <v>95</v>
      </c>
      <c r="D729" t="s">
        <v>72</v>
      </c>
      <c r="E729" t="s">
        <v>74</v>
      </c>
      <c r="F729" t="s">
        <v>75</v>
      </c>
      <c r="G729">
        <v>44</v>
      </c>
      <c r="H729">
        <v>173.3</v>
      </c>
      <c r="I729">
        <v>114</v>
      </c>
      <c r="J729">
        <v>29.46</v>
      </c>
      <c r="K729">
        <v>152.30000000000001</v>
      </c>
      <c r="L729">
        <v>78</v>
      </c>
      <c r="M729">
        <v>12.95</v>
      </c>
      <c r="N729">
        <v>144.4</v>
      </c>
      <c r="O729">
        <v>118</v>
      </c>
      <c r="P729">
        <v>6.5</v>
      </c>
      <c r="Q729">
        <v>12.3</v>
      </c>
      <c r="R729">
        <v>3</v>
      </c>
      <c r="S729">
        <v>3.32</v>
      </c>
      <c r="T729">
        <v>2</v>
      </c>
    </row>
    <row r="730" spans="1:20" x14ac:dyDescent="0.3">
      <c r="A730">
        <v>729</v>
      </c>
      <c r="B730" t="s">
        <v>47</v>
      </c>
      <c r="C730">
        <v>78</v>
      </c>
      <c r="D730" t="s">
        <v>73</v>
      </c>
      <c r="E730" t="s">
        <v>74</v>
      </c>
      <c r="F730" t="s">
        <v>75</v>
      </c>
      <c r="G730">
        <v>28</v>
      </c>
      <c r="H730">
        <v>246</v>
      </c>
      <c r="I730">
        <v>136</v>
      </c>
      <c r="J730">
        <v>41.82</v>
      </c>
      <c r="K730">
        <v>147.5</v>
      </c>
      <c r="L730">
        <v>99</v>
      </c>
      <c r="M730">
        <v>12.54</v>
      </c>
      <c r="N730">
        <v>118.8</v>
      </c>
      <c r="O730">
        <v>99</v>
      </c>
      <c r="P730">
        <v>5.35</v>
      </c>
      <c r="Q730">
        <v>4</v>
      </c>
      <c r="R730">
        <v>2</v>
      </c>
      <c r="S730">
        <v>1.08</v>
      </c>
      <c r="T730">
        <v>2</v>
      </c>
    </row>
    <row r="731" spans="1:20" x14ac:dyDescent="0.3">
      <c r="A731">
        <v>730</v>
      </c>
      <c r="B731" t="s">
        <v>23</v>
      </c>
      <c r="C731">
        <v>122</v>
      </c>
      <c r="D731" t="s">
        <v>72</v>
      </c>
      <c r="E731" t="s">
        <v>74</v>
      </c>
      <c r="F731" t="s">
        <v>74</v>
      </c>
      <c r="G731">
        <v>0</v>
      </c>
      <c r="H731">
        <v>216.5</v>
      </c>
      <c r="I731">
        <v>60</v>
      </c>
      <c r="J731">
        <v>36.81</v>
      </c>
      <c r="K731">
        <v>250.3</v>
      </c>
      <c r="L731">
        <v>140</v>
      </c>
      <c r="M731">
        <v>21.28</v>
      </c>
      <c r="N731">
        <v>247</v>
      </c>
      <c r="O731">
        <v>99</v>
      </c>
      <c r="P731">
        <v>11.12</v>
      </c>
      <c r="Q731">
        <v>5.7</v>
      </c>
      <c r="R731">
        <v>6</v>
      </c>
      <c r="S731">
        <v>1.54</v>
      </c>
      <c r="T731">
        <v>2</v>
      </c>
    </row>
    <row r="732" spans="1:20" x14ac:dyDescent="0.3">
      <c r="A732">
        <v>731</v>
      </c>
      <c r="B732" t="s">
        <v>25</v>
      </c>
      <c r="C732">
        <v>85</v>
      </c>
      <c r="D732" t="s">
        <v>71</v>
      </c>
      <c r="E732" t="s">
        <v>74</v>
      </c>
      <c r="F732" t="s">
        <v>74</v>
      </c>
      <c r="G732">
        <v>0</v>
      </c>
      <c r="H732">
        <v>187</v>
      </c>
      <c r="I732">
        <v>95</v>
      </c>
      <c r="J732">
        <v>31.79</v>
      </c>
      <c r="K732">
        <v>163.6</v>
      </c>
      <c r="L732">
        <v>136</v>
      </c>
      <c r="M732">
        <v>13.91</v>
      </c>
      <c r="N732">
        <v>212.3</v>
      </c>
      <c r="O732">
        <v>105</v>
      </c>
      <c r="P732">
        <v>9.5500000000000007</v>
      </c>
      <c r="Q732">
        <v>7.9</v>
      </c>
      <c r="R732">
        <v>2</v>
      </c>
      <c r="S732">
        <v>2.13</v>
      </c>
      <c r="T732">
        <v>2</v>
      </c>
    </row>
    <row r="733" spans="1:20" x14ac:dyDescent="0.3">
      <c r="A733">
        <v>732</v>
      </c>
      <c r="B733" t="s">
        <v>50</v>
      </c>
      <c r="C733">
        <v>52</v>
      </c>
      <c r="D733" t="s">
        <v>71</v>
      </c>
      <c r="E733" t="s">
        <v>75</v>
      </c>
      <c r="F733" t="s">
        <v>75</v>
      </c>
      <c r="G733">
        <v>27</v>
      </c>
      <c r="H733">
        <v>207.5</v>
      </c>
      <c r="I733">
        <v>92</v>
      </c>
      <c r="J733">
        <v>35.28</v>
      </c>
      <c r="K733">
        <v>182.8</v>
      </c>
      <c r="L733">
        <v>92</v>
      </c>
      <c r="M733">
        <v>15.54</v>
      </c>
      <c r="N733">
        <v>189</v>
      </c>
      <c r="O733">
        <v>68</v>
      </c>
      <c r="P733">
        <v>8.5</v>
      </c>
      <c r="Q733">
        <v>9.8000000000000007</v>
      </c>
      <c r="R733">
        <v>3</v>
      </c>
      <c r="S733">
        <v>2.65</v>
      </c>
      <c r="T733">
        <v>2</v>
      </c>
    </row>
    <row r="734" spans="1:20" x14ac:dyDescent="0.3">
      <c r="A734">
        <v>733</v>
      </c>
      <c r="B734" t="s">
        <v>20</v>
      </c>
      <c r="C734">
        <v>136</v>
      </c>
      <c r="D734" t="s">
        <v>71</v>
      </c>
      <c r="E734" t="s">
        <v>74</v>
      </c>
      <c r="F734" t="s">
        <v>74</v>
      </c>
      <c r="G734">
        <v>0</v>
      </c>
      <c r="H734">
        <v>232.9</v>
      </c>
      <c r="I734">
        <v>119</v>
      </c>
      <c r="J734">
        <v>39.590000000000003</v>
      </c>
      <c r="K734">
        <v>191</v>
      </c>
      <c r="L734">
        <v>103</v>
      </c>
      <c r="M734">
        <v>16.239999999999998</v>
      </c>
      <c r="N734">
        <v>222.5</v>
      </c>
      <c r="O734">
        <v>59</v>
      </c>
      <c r="P734">
        <v>10.01</v>
      </c>
      <c r="Q734">
        <v>10.7</v>
      </c>
      <c r="R734">
        <v>3</v>
      </c>
      <c r="S734">
        <v>2.89</v>
      </c>
      <c r="T734">
        <v>0</v>
      </c>
    </row>
    <row r="735" spans="1:20" x14ac:dyDescent="0.3">
      <c r="A735">
        <v>734</v>
      </c>
      <c r="B735" t="s">
        <v>43</v>
      </c>
      <c r="C735">
        <v>139</v>
      </c>
      <c r="D735" t="s">
        <v>72</v>
      </c>
      <c r="E735" t="s">
        <v>74</v>
      </c>
      <c r="F735" t="s">
        <v>74</v>
      </c>
      <c r="G735">
        <v>0</v>
      </c>
      <c r="H735">
        <v>201.8</v>
      </c>
      <c r="I735">
        <v>121</v>
      </c>
      <c r="J735">
        <v>34.31</v>
      </c>
      <c r="K735">
        <v>238.6</v>
      </c>
      <c r="L735">
        <v>89</v>
      </c>
      <c r="M735">
        <v>20.28</v>
      </c>
      <c r="N735">
        <v>174.1</v>
      </c>
      <c r="O735">
        <v>151</v>
      </c>
      <c r="P735">
        <v>7.83</v>
      </c>
      <c r="Q735">
        <v>13.5</v>
      </c>
      <c r="R735">
        <v>4</v>
      </c>
      <c r="S735">
        <v>3.65</v>
      </c>
      <c r="T735">
        <v>1</v>
      </c>
    </row>
    <row r="736" spans="1:20" x14ac:dyDescent="0.3">
      <c r="A736">
        <v>735</v>
      </c>
      <c r="B736" t="s">
        <v>59</v>
      </c>
      <c r="C736">
        <v>122</v>
      </c>
      <c r="D736" t="s">
        <v>72</v>
      </c>
      <c r="E736" t="s">
        <v>74</v>
      </c>
      <c r="F736" t="s">
        <v>74</v>
      </c>
      <c r="G736">
        <v>0</v>
      </c>
      <c r="H736">
        <v>265.7</v>
      </c>
      <c r="I736">
        <v>130</v>
      </c>
      <c r="J736">
        <v>45.17</v>
      </c>
      <c r="K736">
        <v>47.3</v>
      </c>
      <c r="L736">
        <v>116</v>
      </c>
      <c r="M736">
        <v>4.0199999999999996</v>
      </c>
      <c r="N736">
        <v>140.30000000000001</v>
      </c>
      <c r="O736">
        <v>103</v>
      </c>
      <c r="P736">
        <v>6.31</v>
      </c>
      <c r="Q736">
        <v>8.6999999999999993</v>
      </c>
      <c r="R736">
        <v>1</v>
      </c>
      <c r="S736">
        <v>2.35</v>
      </c>
      <c r="T736">
        <v>3</v>
      </c>
    </row>
    <row r="737" spans="1:20" x14ac:dyDescent="0.3">
      <c r="A737">
        <v>736</v>
      </c>
      <c r="B737" t="s">
        <v>52</v>
      </c>
      <c r="C737">
        <v>155</v>
      </c>
      <c r="D737" t="s">
        <v>71</v>
      </c>
      <c r="E737" t="s">
        <v>74</v>
      </c>
      <c r="F737" t="s">
        <v>74</v>
      </c>
      <c r="G737">
        <v>0</v>
      </c>
      <c r="H737">
        <v>281.60000000000002</v>
      </c>
      <c r="I737">
        <v>103</v>
      </c>
      <c r="J737">
        <v>47.87</v>
      </c>
      <c r="K737">
        <v>152.69999999999999</v>
      </c>
      <c r="L737">
        <v>82</v>
      </c>
      <c r="M737">
        <v>12.98</v>
      </c>
      <c r="N737">
        <v>196.8</v>
      </c>
      <c r="O737">
        <v>86</v>
      </c>
      <c r="P737">
        <v>8.86</v>
      </c>
      <c r="Q737">
        <v>7.4</v>
      </c>
      <c r="R737">
        <v>3</v>
      </c>
      <c r="S737">
        <v>2</v>
      </c>
      <c r="T737">
        <v>2</v>
      </c>
    </row>
    <row r="738" spans="1:20" x14ac:dyDescent="0.3">
      <c r="A738">
        <v>737</v>
      </c>
      <c r="B738" t="s">
        <v>64</v>
      </c>
      <c r="C738">
        <v>152</v>
      </c>
      <c r="D738" t="s">
        <v>73</v>
      </c>
      <c r="E738" t="s">
        <v>74</v>
      </c>
      <c r="F738" t="s">
        <v>74</v>
      </c>
      <c r="G738">
        <v>0</v>
      </c>
      <c r="H738">
        <v>298.10000000000002</v>
      </c>
      <c r="I738">
        <v>113</v>
      </c>
      <c r="J738">
        <v>50.68</v>
      </c>
      <c r="K738">
        <v>228</v>
      </c>
      <c r="L738">
        <v>119</v>
      </c>
      <c r="M738">
        <v>19.38</v>
      </c>
      <c r="N738">
        <v>228.1</v>
      </c>
      <c r="O738">
        <v>98</v>
      </c>
      <c r="P738">
        <v>10.26</v>
      </c>
      <c r="Q738">
        <v>8.1999999999999993</v>
      </c>
      <c r="R738">
        <v>4</v>
      </c>
      <c r="S738">
        <v>2.21</v>
      </c>
      <c r="T738">
        <v>4</v>
      </c>
    </row>
    <row r="739" spans="1:20" x14ac:dyDescent="0.3">
      <c r="A739">
        <v>738</v>
      </c>
      <c r="B739" t="s">
        <v>47</v>
      </c>
      <c r="C739">
        <v>71</v>
      </c>
      <c r="D739" t="s">
        <v>71</v>
      </c>
      <c r="E739" t="s">
        <v>74</v>
      </c>
      <c r="F739" t="s">
        <v>74</v>
      </c>
      <c r="G739">
        <v>0</v>
      </c>
      <c r="H739">
        <v>232.7</v>
      </c>
      <c r="I739">
        <v>97</v>
      </c>
      <c r="J739">
        <v>39.56</v>
      </c>
      <c r="K739">
        <v>208.2</v>
      </c>
      <c r="L739">
        <v>85</v>
      </c>
      <c r="M739">
        <v>17.7</v>
      </c>
      <c r="N739">
        <v>194.3</v>
      </c>
      <c r="O739">
        <v>113</v>
      </c>
      <c r="P739">
        <v>8.74</v>
      </c>
      <c r="Q739">
        <v>10.199999999999999</v>
      </c>
      <c r="R739">
        <v>7</v>
      </c>
      <c r="S739">
        <v>2.75</v>
      </c>
      <c r="T739">
        <v>1</v>
      </c>
    </row>
    <row r="740" spans="1:20" x14ac:dyDescent="0.3">
      <c r="A740">
        <v>739</v>
      </c>
      <c r="B740" t="s">
        <v>36</v>
      </c>
      <c r="C740">
        <v>110</v>
      </c>
      <c r="D740" t="s">
        <v>73</v>
      </c>
      <c r="E740" t="s">
        <v>74</v>
      </c>
      <c r="F740" t="s">
        <v>74</v>
      </c>
      <c r="G740">
        <v>0</v>
      </c>
      <c r="H740">
        <v>272.5</v>
      </c>
      <c r="I740">
        <v>113</v>
      </c>
      <c r="J740">
        <v>46.33</v>
      </c>
      <c r="K740">
        <v>288.89999999999998</v>
      </c>
      <c r="L740">
        <v>113</v>
      </c>
      <c r="M740">
        <v>24.56</v>
      </c>
      <c r="N740">
        <v>172.4</v>
      </c>
      <c r="O740">
        <v>96</v>
      </c>
      <c r="P740">
        <v>7.76</v>
      </c>
      <c r="Q740">
        <v>10.1</v>
      </c>
      <c r="R740">
        <v>5</v>
      </c>
      <c r="S740">
        <v>2.73</v>
      </c>
      <c r="T740">
        <v>2</v>
      </c>
    </row>
    <row r="741" spans="1:20" x14ac:dyDescent="0.3">
      <c r="A741">
        <v>740</v>
      </c>
      <c r="B741" t="s">
        <v>57</v>
      </c>
      <c r="C741">
        <v>109</v>
      </c>
      <c r="D741" t="s">
        <v>71</v>
      </c>
      <c r="E741" t="s">
        <v>74</v>
      </c>
      <c r="F741" t="s">
        <v>74</v>
      </c>
      <c r="G741">
        <v>0</v>
      </c>
      <c r="H741">
        <v>136.19999999999999</v>
      </c>
      <c r="I741">
        <v>103</v>
      </c>
      <c r="J741">
        <v>23.15</v>
      </c>
      <c r="K741">
        <v>177.8</v>
      </c>
      <c r="L741">
        <v>132</v>
      </c>
      <c r="M741">
        <v>15.11</v>
      </c>
      <c r="N741">
        <v>263.39999999999998</v>
      </c>
      <c r="O741">
        <v>135</v>
      </c>
      <c r="P741">
        <v>11.85</v>
      </c>
      <c r="Q741">
        <v>8.3000000000000007</v>
      </c>
      <c r="R741">
        <v>3</v>
      </c>
      <c r="S741">
        <v>2.2400000000000002</v>
      </c>
      <c r="T741">
        <v>1</v>
      </c>
    </row>
    <row r="742" spans="1:20" x14ac:dyDescent="0.3">
      <c r="A742">
        <v>741</v>
      </c>
      <c r="B742" t="s">
        <v>44</v>
      </c>
      <c r="C742">
        <v>122</v>
      </c>
      <c r="D742" t="s">
        <v>73</v>
      </c>
      <c r="E742" t="s">
        <v>74</v>
      </c>
      <c r="F742" t="s">
        <v>74</v>
      </c>
      <c r="G742">
        <v>0</v>
      </c>
      <c r="H742">
        <v>189.9</v>
      </c>
      <c r="I742">
        <v>87</v>
      </c>
      <c r="J742">
        <v>32.28</v>
      </c>
      <c r="K742">
        <v>193.9</v>
      </c>
      <c r="L742">
        <v>118</v>
      </c>
      <c r="M742">
        <v>16.48</v>
      </c>
      <c r="N742">
        <v>177.4</v>
      </c>
      <c r="O742">
        <v>114</v>
      </c>
      <c r="P742">
        <v>7.98</v>
      </c>
      <c r="Q742">
        <v>15.6</v>
      </c>
      <c r="R742">
        <v>2</v>
      </c>
      <c r="S742">
        <v>4.21</v>
      </c>
      <c r="T742">
        <v>0</v>
      </c>
    </row>
    <row r="743" spans="1:20" x14ac:dyDescent="0.3">
      <c r="A743">
        <v>742</v>
      </c>
      <c r="B743" t="s">
        <v>47</v>
      </c>
      <c r="C743">
        <v>121</v>
      </c>
      <c r="D743" t="s">
        <v>73</v>
      </c>
      <c r="E743" t="s">
        <v>74</v>
      </c>
      <c r="F743" t="s">
        <v>74</v>
      </c>
      <c r="G743">
        <v>0</v>
      </c>
      <c r="H743">
        <v>245.9</v>
      </c>
      <c r="I743">
        <v>113</v>
      </c>
      <c r="J743">
        <v>41.8</v>
      </c>
      <c r="K743">
        <v>210.8</v>
      </c>
      <c r="L743">
        <v>94</v>
      </c>
      <c r="M743">
        <v>17.920000000000002</v>
      </c>
      <c r="N743">
        <v>187.9</v>
      </c>
      <c r="O743">
        <v>108</v>
      </c>
      <c r="P743">
        <v>8.4600000000000009</v>
      </c>
      <c r="Q743">
        <v>10.4</v>
      </c>
      <c r="R743">
        <v>8</v>
      </c>
      <c r="S743">
        <v>2.81</v>
      </c>
      <c r="T743">
        <v>1</v>
      </c>
    </row>
    <row r="744" spans="1:20" x14ac:dyDescent="0.3">
      <c r="A744">
        <v>743</v>
      </c>
      <c r="B744" t="s">
        <v>46</v>
      </c>
      <c r="C744">
        <v>41</v>
      </c>
      <c r="D744" t="s">
        <v>73</v>
      </c>
      <c r="E744" t="s">
        <v>74</v>
      </c>
      <c r="F744" t="s">
        <v>75</v>
      </c>
      <c r="G744">
        <v>43</v>
      </c>
      <c r="H744">
        <v>158.9</v>
      </c>
      <c r="I744">
        <v>96</v>
      </c>
      <c r="J744">
        <v>27.01</v>
      </c>
      <c r="K744">
        <v>280.39999999999998</v>
      </c>
      <c r="L744">
        <v>117</v>
      </c>
      <c r="M744">
        <v>23.83</v>
      </c>
      <c r="N744">
        <v>216.5</v>
      </c>
      <c r="O744">
        <v>97</v>
      </c>
      <c r="P744">
        <v>9.74</v>
      </c>
      <c r="Q744">
        <v>10.8</v>
      </c>
      <c r="R744">
        <v>4</v>
      </c>
      <c r="S744">
        <v>2.92</v>
      </c>
      <c r="T744">
        <v>2</v>
      </c>
    </row>
    <row r="745" spans="1:20" x14ac:dyDescent="0.3">
      <c r="A745">
        <v>744</v>
      </c>
      <c r="B745" t="s">
        <v>65</v>
      </c>
      <c r="C745">
        <v>102</v>
      </c>
      <c r="D745" t="s">
        <v>72</v>
      </c>
      <c r="E745" t="s">
        <v>74</v>
      </c>
      <c r="F745" t="s">
        <v>74</v>
      </c>
      <c r="G745">
        <v>0</v>
      </c>
      <c r="H745">
        <v>145.80000000000001</v>
      </c>
      <c r="I745">
        <v>59</v>
      </c>
      <c r="J745">
        <v>24.79</v>
      </c>
      <c r="K745">
        <v>223.1</v>
      </c>
      <c r="L745">
        <v>109</v>
      </c>
      <c r="M745">
        <v>18.96</v>
      </c>
      <c r="N745">
        <v>219.2</v>
      </c>
      <c r="O745">
        <v>104</v>
      </c>
      <c r="P745">
        <v>9.86</v>
      </c>
      <c r="Q745">
        <v>9.8000000000000007</v>
      </c>
      <c r="R745">
        <v>3</v>
      </c>
      <c r="S745">
        <v>2.65</v>
      </c>
      <c r="T745">
        <v>0</v>
      </c>
    </row>
    <row r="746" spans="1:20" x14ac:dyDescent="0.3">
      <c r="A746">
        <v>745</v>
      </c>
      <c r="B746" t="s">
        <v>62</v>
      </c>
      <c r="C746">
        <v>73</v>
      </c>
      <c r="D746" t="s">
        <v>71</v>
      </c>
      <c r="E746" t="s">
        <v>74</v>
      </c>
      <c r="F746" t="s">
        <v>74</v>
      </c>
      <c r="G746">
        <v>0</v>
      </c>
      <c r="H746">
        <v>184.7</v>
      </c>
      <c r="I746">
        <v>109</v>
      </c>
      <c r="J746">
        <v>31.4</v>
      </c>
      <c r="K746">
        <v>161.30000000000001</v>
      </c>
      <c r="L746">
        <v>108</v>
      </c>
      <c r="M746">
        <v>13.71</v>
      </c>
      <c r="N746">
        <v>148.80000000000001</v>
      </c>
      <c r="O746">
        <v>103</v>
      </c>
      <c r="P746">
        <v>6.7</v>
      </c>
      <c r="Q746">
        <v>11.3</v>
      </c>
      <c r="R746">
        <v>4</v>
      </c>
      <c r="S746">
        <v>3.05</v>
      </c>
      <c r="T746">
        <v>2</v>
      </c>
    </row>
    <row r="747" spans="1:20" x14ac:dyDescent="0.3">
      <c r="A747">
        <v>746</v>
      </c>
      <c r="B747" t="s">
        <v>27</v>
      </c>
      <c r="C747">
        <v>130</v>
      </c>
      <c r="D747" t="s">
        <v>71</v>
      </c>
      <c r="E747" t="s">
        <v>74</v>
      </c>
      <c r="F747" t="s">
        <v>74</v>
      </c>
      <c r="G747">
        <v>0</v>
      </c>
      <c r="H747">
        <v>119.4</v>
      </c>
      <c r="I747">
        <v>99</v>
      </c>
      <c r="J747">
        <v>20.3</v>
      </c>
      <c r="K747">
        <v>226.3</v>
      </c>
      <c r="L747">
        <v>97</v>
      </c>
      <c r="M747">
        <v>19.239999999999998</v>
      </c>
      <c r="N747">
        <v>202.7</v>
      </c>
      <c r="O747">
        <v>111</v>
      </c>
      <c r="P747">
        <v>9.1199999999999992</v>
      </c>
      <c r="Q747">
        <v>11.3</v>
      </c>
      <c r="R747">
        <v>7</v>
      </c>
      <c r="S747">
        <v>3.05</v>
      </c>
      <c r="T747">
        <v>0</v>
      </c>
    </row>
    <row r="748" spans="1:20" x14ac:dyDescent="0.3">
      <c r="A748">
        <v>747</v>
      </c>
      <c r="B748" t="s">
        <v>41</v>
      </c>
      <c r="C748">
        <v>73</v>
      </c>
      <c r="D748" t="s">
        <v>73</v>
      </c>
      <c r="E748" t="s">
        <v>74</v>
      </c>
      <c r="F748" t="s">
        <v>74</v>
      </c>
      <c r="G748">
        <v>0</v>
      </c>
      <c r="H748">
        <v>177.2</v>
      </c>
      <c r="I748">
        <v>118</v>
      </c>
      <c r="J748">
        <v>30.12</v>
      </c>
      <c r="K748">
        <v>270.5</v>
      </c>
      <c r="L748">
        <v>84</v>
      </c>
      <c r="M748">
        <v>22.99</v>
      </c>
      <c r="N748">
        <v>241.8</v>
      </c>
      <c r="O748">
        <v>112</v>
      </c>
      <c r="P748">
        <v>10.88</v>
      </c>
      <c r="Q748">
        <v>12.3</v>
      </c>
      <c r="R748">
        <v>2</v>
      </c>
      <c r="S748">
        <v>3.32</v>
      </c>
      <c r="T748">
        <v>3</v>
      </c>
    </row>
    <row r="749" spans="1:20" x14ac:dyDescent="0.3">
      <c r="A749">
        <v>748</v>
      </c>
      <c r="B749" t="s">
        <v>65</v>
      </c>
      <c r="C749">
        <v>152</v>
      </c>
      <c r="D749" t="s">
        <v>71</v>
      </c>
      <c r="E749" t="s">
        <v>74</v>
      </c>
      <c r="F749" t="s">
        <v>74</v>
      </c>
      <c r="G749">
        <v>0</v>
      </c>
      <c r="H749">
        <v>184.2</v>
      </c>
      <c r="I749">
        <v>90</v>
      </c>
      <c r="J749">
        <v>31.31</v>
      </c>
      <c r="K749">
        <v>256.8</v>
      </c>
      <c r="L749">
        <v>73</v>
      </c>
      <c r="M749">
        <v>21.83</v>
      </c>
      <c r="N749">
        <v>213.6</v>
      </c>
      <c r="O749">
        <v>113</v>
      </c>
      <c r="P749">
        <v>9.61</v>
      </c>
      <c r="Q749">
        <v>14.7</v>
      </c>
      <c r="R749">
        <v>2</v>
      </c>
      <c r="S749">
        <v>3.97</v>
      </c>
      <c r="T749">
        <v>3</v>
      </c>
    </row>
    <row r="750" spans="1:20" x14ac:dyDescent="0.3">
      <c r="A750">
        <v>749</v>
      </c>
      <c r="B750" t="s">
        <v>63</v>
      </c>
      <c r="C750">
        <v>61</v>
      </c>
      <c r="D750" t="s">
        <v>71</v>
      </c>
      <c r="E750" t="s">
        <v>74</v>
      </c>
      <c r="F750" t="s">
        <v>74</v>
      </c>
      <c r="G750">
        <v>0</v>
      </c>
      <c r="H750">
        <v>140.6</v>
      </c>
      <c r="I750">
        <v>89</v>
      </c>
      <c r="J750">
        <v>23.9</v>
      </c>
      <c r="K750">
        <v>172.8</v>
      </c>
      <c r="L750">
        <v>128</v>
      </c>
      <c r="M750">
        <v>14.69</v>
      </c>
      <c r="N750">
        <v>212.4</v>
      </c>
      <c r="O750">
        <v>97</v>
      </c>
      <c r="P750">
        <v>9.56</v>
      </c>
      <c r="Q750">
        <v>13.6</v>
      </c>
      <c r="R750">
        <v>4</v>
      </c>
      <c r="S750">
        <v>3.67</v>
      </c>
      <c r="T750">
        <v>1</v>
      </c>
    </row>
    <row r="751" spans="1:20" x14ac:dyDescent="0.3">
      <c r="A751">
        <v>750</v>
      </c>
      <c r="B751" t="s">
        <v>63</v>
      </c>
      <c r="C751">
        <v>109</v>
      </c>
      <c r="D751" t="s">
        <v>72</v>
      </c>
      <c r="E751" t="s">
        <v>74</v>
      </c>
      <c r="F751" t="s">
        <v>74</v>
      </c>
      <c r="G751">
        <v>0</v>
      </c>
      <c r="H751">
        <v>188.8</v>
      </c>
      <c r="I751">
        <v>67</v>
      </c>
      <c r="J751">
        <v>32.1</v>
      </c>
      <c r="K751">
        <v>171.7</v>
      </c>
      <c r="L751">
        <v>92</v>
      </c>
      <c r="M751">
        <v>14.59</v>
      </c>
      <c r="N751">
        <v>224.4</v>
      </c>
      <c r="O751">
        <v>89</v>
      </c>
      <c r="P751">
        <v>10.1</v>
      </c>
      <c r="Q751">
        <v>8.5</v>
      </c>
      <c r="R751">
        <v>6</v>
      </c>
      <c r="S751">
        <v>2.2999999999999998</v>
      </c>
      <c r="T7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51"/>
  <sheetViews>
    <sheetView workbookViewId="0">
      <selection activeCell="B2" sqref="B2"/>
    </sheetView>
  </sheetViews>
  <sheetFormatPr defaultRowHeight="14.4" x14ac:dyDescent="0.3"/>
  <cols>
    <col min="2" max="2" width="16" customWidth="1"/>
    <col min="3" max="3" width="11.6640625" customWidth="1"/>
    <col min="4" max="4" width="18.33203125" customWidth="1"/>
    <col min="5" max="5" width="16.5546875" customWidth="1"/>
    <col min="6" max="6" width="24.109375" customWidth="1"/>
    <col min="7" max="7" width="18.6640625" customWidth="1"/>
    <col min="8" max="8" width="15.44140625" customWidth="1"/>
    <col min="9" max="9" width="17.5546875" customWidth="1"/>
    <col min="10" max="10" width="18.5546875" customWidth="1"/>
    <col min="11" max="11" width="15.33203125" customWidth="1"/>
    <col min="12" max="12" width="17.44140625" customWidth="1"/>
    <col min="13" max="13" width="19.88671875" customWidth="1"/>
    <col min="14" max="14" width="16.6640625" customWidth="1"/>
    <col min="15" max="15" width="18.77734375" customWidth="1"/>
    <col min="16" max="16" width="18.21875" customWidth="1"/>
    <col min="17" max="17" width="15" customWidth="1"/>
    <col min="18" max="18" width="17.109375" customWidth="1"/>
    <col min="19" max="19" width="29.77734375" customWidth="1"/>
  </cols>
  <sheetData>
    <row r="1" spans="1:20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76</v>
      </c>
    </row>
    <row r="2" spans="1:20" x14ac:dyDescent="0.3">
      <c r="A2" t="s">
        <v>61</v>
      </c>
      <c r="B2">
        <v>107</v>
      </c>
      <c r="C2" t="s">
        <v>71</v>
      </c>
      <c r="D2" t="s">
        <v>74</v>
      </c>
      <c r="E2" t="s">
        <v>75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74</v>
      </c>
    </row>
    <row r="3" spans="1:20" x14ac:dyDescent="0.3">
      <c r="A3" t="s">
        <v>28</v>
      </c>
      <c r="B3">
        <v>137</v>
      </c>
      <c r="C3" t="s">
        <v>71</v>
      </c>
      <c r="D3" t="s">
        <v>74</v>
      </c>
      <c r="E3" t="s">
        <v>74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74</v>
      </c>
    </row>
    <row r="4" spans="1:20" x14ac:dyDescent="0.3">
      <c r="A4" t="s">
        <v>61</v>
      </c>
      <c r="B4">
        <v>84</v>
      </c>
      <c r="C4" t="s">
        <v>73</v>
      </c>
      <c r="D4" t="s">
        <v>75</v>
      </c>
      <c r="E4" t="s">
        <v>74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74</v>
      </c>
    </row>
    <row r="5" spans="1:20" x14ac:dyDescent="0.3">
      <c r="A5" t="s">
        <v>44</v>
      </c>
      <c r="B5">
        <v>75</v>
      </c>
      <c r="C5" t="s">
        <v>71</v>
      </c>
      <c r="D5" t="s">
        <v>75</v>
      </c>
      <c r="E5" t="s">
        <v>74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74</v>
      </c>
    </row>
    <row r="6" spans="1:20" x14ac:dyDescent="0.3">
      <c r="A6" t="s">
        <v>36</v>
      </c>
      <c r="B6">
        <v>121</v>
      </c>
      <c r="C6" t="s">
        <v>72</v>
      </c>
      <c r="D6" t="s">
        <v>74</v>
      </c>
      <c r="E6" t="s">
        <v>75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74</v>
      </c>
    </row>
    <row r="7" spans="1:20" x14ac:dyDescent="0.3">
      <c r="A7" t="s">
        <v>37</v>
      </c>
      <c r="B7">
        <v>147</v>
      </c>
      <c r="C7" t="s">
        <v>71</v>
      </c>
      <c r="D7" t="s">
        <v>75</v>
      </c>
      <c r="E7" t="s">
        <v>74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74</v>
      </c>
    </row>
    <row r="8" spans="1:20" x14ac:dyDescent="0.3">
      <c r="A8" t="s">
        <v>26</v>
      </c>
      <c r="B8">
        <v>117</v>
      </c>
      <c r="C8" t="s">
        <v>73</v>
      </c>
      <c r="D8" t="s">
        <v>74</v>
      </c>
      <c r="E8" t="s">
        <v>74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74</v>
      </c>
    </row>
    <row r="9" spans="1:20" x14ac:dyDescent="0.3">
      <c r="A9" t="s">
        <v>65</v>
      </c>
      <c r="B9">
        <v>141</v>
      </c>
      <c r="C9" t="s">
        <v>71</v>
      </c>
      <c r="D9" t="s">
        <v>75</v>
      </c>
      <c r="E9" t="s">
        <v>75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74</v>
      </c>
    </row>
    <row r="10" spans="1:20" x14ac:dyDescent="0.3">
      <c r="A10" t="s">
        <v>51</v>
      </c>
      <c r="B10">
        <v>65</v>
      </c>
      <c r="C10" t="s">
        <v>71</v>
      </c>
      <c r="D10" t="s">
        <v>74</v>
      </c>
      <c r="E10" t="s">
        <v>74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75</v>
      </c>
    </row>
    <row r="11" spans="1:20" x14ac:dyDescent="0.3">
      <c r="A11" t="s">
        <v>55</v>
      </c>
      <c r="B11">
        <v>74</v>
      </c>
      <c r="C11" t="s">
        <v>71</v>
      </c>
      <c r="D11" t="s">
        <v>74</v>
      </c>
      <c r="E11" t="s">
        <v>74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74</v>
      </c>
    </row>
    <row r="12" spans="1:20" x14ac:dyDescent="0.3">
      <c r="A12" t="s">
        <v>22</v>
      </c>
      <c r="B12">
        <v>168</v>
      </c>
      <c r="C12" t="s">
        <v>73</v>
      </c>
      <c r="D12" t="s">
        <v>74</v>
      </c>
      <c r="E12" t="s">
        <v>74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74</v>
      </c>
    </row>
    <row r="13" spans="1:20" x14ac:dyDescent="0.3">
      <c r="A13" t="s">
        <v>57</v>
      </c>
      <c r="B13">
        <v>95</v>
      </c>
      <c r="C13" t="s">
        <v>72</v>
      </c>
      <c r="D13" t="s">
        <v>74</v>
      </c>
      <c r="E13" t="s">
        <v>74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74</v>
      </c>
    </row>
    <row r="14" spans="1:20" x14ac:dyDescent="0.3">
      <c r="A14" t="s">
        <v>38</v>
      </c>
      <c r="B14">
        <v>161</v>
      </c>
      <c r="C14" t="s">
        <v>71</v>
      </c>
      <c r="D14" t="s">
        <v>74</v>
      </c>
      <c r="E14" t="s">
        <v>74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75</v>
      </c>
    </row>
    <row r="15" spans="1:20" x14ac:dyDescent="0.3">
      <c r="A15" t="s">
        <v>29</v>
      </c>
      <c r="B15">
        <v>85</v>
      </c>
      <c r="C15" t="s">
        <v>73</v>
      </c>
      <c r="D15" t="s">
        <v>74</v>
      </c>
      <c r="E15" t="s">
        <v>75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74</v>
      </c>
    </row>
    <row r="16" spans="1:20" x14ac:dyDescent="0.3">
      <c r="A16" t="s">
        <v>50</v>
      </c>
      <c r="B16">
        <v>76</v>
      </c>
      <c r="C16" t="s">
        <v>72</v>
      </c>
      <c r="D16" t="s">
        <v>74</v>
      </c>
      <c r="E16" t="s">
        <v>75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74</v>
      </c>
    </row>
    <row r="17" spans="1:20" x14ac:dyDescent="0.3">
      <c r="A17" t="s">
        <v>34</v>
      </c>
      <c r="B17">
        <v>73</v>
      </c>
      <c r="C17" t="s">
        <v>71</v>
      </c>
      <c r="D17" t="s">
        <v>74</v>
      </c>
      <c r="E17" t="s">
        <v>74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74</v>
      </c>
    </row>
    <row r="18" spans="1:20" x14ac:dyDescent="0.3">
      <c r="A18" t="s">
        <v>39</v>
      </c>
      <c r="B18">
        <v>147</v>
      </c>
      <c r="C18" t="s">
        <v>71</v>
      </c>
      <c r="D18" t="s">
        <v>74</v>
      </c>
      <c r="E18" t="s">
        <v>74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74</v>
      </c>
    </row>
    <row r="19" spans="1:20" x14ac:dyDescent="0.3">
      <c r="A19" t="s">
        <v>33</v>
      </c>
      <c r="B19">
        <v>77</v>
      </c>
      <c r="C19" t="s">
        <v>73</v>
      </c>
      <c r="D19" t="s">
        <v>74</v>
      </c>
      <c r="E19" t="s">
        <v>74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75</v>
      </c>
    </row>
    <row r="20" spans="1:20" x14ac:dyDescent="0.3">
      <c r="A20" t="s">
        <v>48</v>
      </c>
      <c r="B20">
        <v>130</v>
      </c>
      <c r="C20" t="s">
        <v>71</v>
      </c>
      <c r="D20" t="s">
        <v>74</v>
      </c>
      <c r="E20" t="s">
        <v>74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74</v>
      </c>
    </row>
    <row r="21" spans="1:20" x14ac:dyDescent="0.3">
      <c r="A21" t="s">
        <v>43</v>
      </c>
      <c r="B21">
        <v>111</v>
      </c>
      <c r="C21" t="s">
        <v>71</v>
      </c>
      <c r="D21" t="s">
        <v>74</v>
      </c>
      <c r="E21" t="s">
        <v>74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74</v>
      </c>
    </row>
    <row r="22" spans="1:20" x14ac:dyDescent="0.3">
      <c r="A22" t="s">
        <v>50</v>
      </c>
      <c r="B22">
        <v>132</v>
      </c>
      <c r="C22" t="s">
        <v>72</v>
      </c>
      <c r="D22" t="s">
        <v>74</v>
      </c>
      <c r="E22" t="s">
        <v>74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74</v>
      </c>
    </row>
    <row r="23" spans="1:20" x14ac:dyDescent="0.3">
      <c r="A23" t="s">
        <v>30</v>
      </c>
      <c r="B23">
        <v>57</v>
      </c>
      <c r="C23" t="s">
        <v>73</v>
      </c>
      <c r="D23" t="s">
        <v>74</v>
      </c>
      <c r="E23" t="s">
        <v>75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74</v>
      </c>
    </row>
    <row r="24" spans="1:20" x14ac:dyDescent="0.3">
      <c r="A24" t="s">
        <v>57</v>
      </c>
      <c r="B24">
        <v>54</v>
      </c>
      <c r="C24" t="s">
        <v>73</v>
      </c>
      <c r="D24" t="s">
        <v>74</v>
      </c>
      <c r="E24" t="s">
        <v>74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74</v>
      </c>
    </row>
    <row r="25" spans="1:20" x14ac:dyDescent="0.3">
      <c r="A25" t="s">
        <v>37</v>
      </c>
      <c r="B25">
        <v>20</v>
      </c>
      <c r="C25" t="s">
        <v>71</v>
      </c>
      <c r="D25" t="s">
        <v>74</v>
      </c>
      <c r="E25" t="s">
        <v>74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74</v>
      </c>
    </row>
    <row r="26" spans="1:20" x14ac:dyDescent="0.3">
      <c r="A26" t="s">
        <v>67</v>
      </c>
      <c r="B26">
        <v>49</v>
      </c>
      <c r="C26" t="s">
        <v>72</v>
      </c>
      <c r="D26" t="s">
        <v>74</v>
      </c>
      <c r="E26" t="s">
        <v>74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74</v>
      </c>
    </row>
    <row r="27" spans="1:20" x14ac:dyDescent="0.3">
      <c r="A27" t="s">
        <v>46</v>
      </c>
      <c r="B27">
        <v>75</v>
      </c>
      <c r="C27" t="s">
        <v>72</v>
      </c>
      <c r="D27" t="s">
        <v>74</v>
      </c>
      <c r="E27" t="s">
        <v>74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74</v>
      </c>
    </row>
    <row r="28" spans="1:20" x14ac:dyDescent="0.3">
      <c r="A28" t="s">
        <v>48</v>
      </c>
      <c r="B28">
        <v>12</v>
      </c>
      <c r="C28" t="s">
        <v>73</v>
      </c>
      <c r="D28" t="s">
        <v>74</v>
      </c>
      <c r="E28" t="s">
        <v>74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75</v>
      </c>
    </row>
    <row r="29" spans="1:20" x14ac:dyDescent="0.3">
      <c r="A29" t="s">
        <v>44</v>
      </c>
      <c r="B29">
        <v>57</v>
      </c>
      <c r="C29" t="s">
        <v>73</v>
      </c>
      <c r="D29" t="s">
        <v>74</v>
      </c>
      <c r="E29" t="s">
        <v>75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74</v>
      </c>
    </row>
    <row r="30" spans="1:20" x14ac:dyDescent="0.3">
      <c r="A30" t="s">
        <v>35</v>
      </c>
      <c r="B30">
        <v>36</v>
      </c>
      <c r="C30" t="s">
        <v>73</v>
      </c>
      <c r="D30" t="s">
        <v>74</v>
      </c>
      <c r="E30" t="s">
        <v>75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74</v>
      </c>
    </row>
    <row r="31" spans="1:20" x14ac:dyDescent="0.3">
      <c r="A31" t="s">
        <v>36</v>
      </c>
      <c r="B31">
        <v>78</v>
      </c>
      <c r="C31" t="s">
        <v>71</v>
      </c>
      <c r="D31" t="s">
        <v>74</v>
      </c>
      <c r="E31" t="s">
        <v>74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74</v>
      </c>
    </row>
    <row r="32" spans="1:20" x14ac:dyDescent="0.3">
      <c r="A32" t="s">
        <v>35</v>
      </c>
      <c r="B32">
        <v>136</v>
      </c>
      <c r="C32" t="s">
        <v>71</v>
      </c>
      <c r="D32" t="s">
        <v>75</v>
      </c>
      <c r="E32" t="s">
        <v>75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74</v>
      </c>
    </row>
    <row r="33" spans="1:20" x14ac:dyDescent="0.3">
      <c r="A33" t="s">
        <v>27</v>
      </c>
      <c r="B33">
        <v>98</v>
      </c>
      <c r="C33" t="s">
        <v>73</v>
      </c>
      <c r="D33" t="s">
        <v>74</v>
      </c>
      <c r="E33" t="s">
        <v>74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74</v>
      </c>
    </row>
    <row r="34" spans="1:20" x14ac:dyDescent="0.3">
      <c r="A34" t="s">
        <v>49</v>
      </c>
      <c r="B34">
        <v>135</v>
      </c>
      <c r="C34" t="s">
        <v>73</v>
      </c>
      <c r="D34" t="s">
        <v>75</v>
      </c>
      <c r="E34" t="s">
        <v>75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75</v>
      </c>
    </row>
    <row r="35" spans="1:20" x14ac:dyDescent="0.3">
      <c r="A35" t="s">
        <v>62</v>
      </c>
      <c r="B35">
        <v>34</v>
      </c>
      <c r="C35" t="s">
        <v>72</v>
      </c>
      <c r="D35" t="s">
        <v>74</v>
      </c>
      <c r="E35" t="s">
        <v>74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74</v>
      </c>
    </row>
    <row r="36" spans="1:20" x14ac:dyDescent="0.3">
      <c r="A36" t="s">
        <v>29</v>
      </c>
      <c r="B36">
        <v>160</v>
      </c>
      <c r="C36" t="s">
        <v>71</v>
      </c>
      <c r="D36" t="s">
        <v>74</v>
      </c>
      <c r="E36" t="s">
        <v>74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74</v>
      </c>
    </row>
    <row r="37" spans="1:20" x14ac:dyDescent="0.3">
      <c r="A37" t="s">
        <v>31</v>
      </c>
      <c r="B37">
        <v>64</v>
      </c>
      <c r="C37" t="s">
        <v>72</v>
      </c>
      <c r="D37" t="s">
        <v>74</v>
      </c>
      <c r="E37" t="s">
        <v>74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74</v>
      </c>
    </row>
    <row r="38" spans="1:20" x14ac:dyDescent="0.3">
      <c r="A38" t="s">
        <v>58</v>
      </c>
      <c r="B38">
        <v>59</v>
      </c>
      <c r="C38" t="s">
        <v>73</v>
      </c>
      <c r="D38" t="s">
        <v>74</v>
      </c>
      <c r="E38" t="s">
        <v>75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74</v>
      </c>
    </row>
    <row r="39" spans="1:20" x14ac:dyDescent="0.3">
      <c r="A39" t="s">
        <v>40</v>
      </c>
      <c r="B39">
        <v>65</v>
      </c>
      <c r="C39" t="s">
        <v>71</v>
      </c>
      <c r="D39" t="s">
        <v>74</v>
      </c>
      <c r="E39" t="s">
        <v>74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74</v>
      </c>
    </row>
    <row r="40" spans="1:20" x14ac:dyDescent="0.3">
      <c r="A40" t="s">
        <v>45</v>
      </c>
      <c r="B40">
        <v>142</v>
      </c>
      <c r="C40" t="s">
        <v>73</v>
      </c>
      <c r="D40" t="s">
        <v>74</v>
      </c>
      <c r="E40" t="s">
        <v>74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74</v>
      </c>
    </row>
    <row r="41" spans="1:20" x14ac:dyDescent="0.3">
      <c r="A41" t="s">
        <v>30</v>
      </c>
      <c r="B41">
        <v>97</v>
      </c>
      <c r="C41" t="s">
        <v>71</v>
      </c>
      <c r="D41" t="s">
        <v>74</v>
      </c>
      <c r="E41" t="s">
        <v>75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74</v>
      </c>
    </row>
    <row r="42" spans="1:20" x14ac:dyDescent="0.3">
      <c r="A42" t="s">
        <v>22</v>
      </c>
      <c r="B42">
        <v>52</v>
      </c>
      <c r="C42" t="s">
        <v>73</v>
      </c>
      <c r="D42" t="s">
        <v>74</v>
      </c>
      <c r="E42" t="s">
        <v>74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74</v>
      </c>
    </row>
    <row r="43" spans="1:20" x14ac:dyDescent="0.3">
      <c r="A43" t="s">
        <v>51</v>
      </c>
      <c r="B43">
        <v>60</v>
      </c>
      <c r="C43" t="s">
        <v>73</v>
      </c>
      <c r="D43" t="s">
        <v>74</v>
      </c>
      <c r="E43" t="s">
        <v>74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74</v>
      </c>
    </row>
    <row r="44" spans="1:20" x14ac:dyDescent="0.3">
      <c r="A44" t="s">
        <v>50</v>
      </c>
      <c r="B44">
        <v>10</v>
      </c>
      <c r="C44" t="s">
        <v>73</v>
      </c>
      <c r="D44" t="s">
        <v>74</v>
      </c>
      <c r="E44" t="s">
        <v>74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74</v>
      </c>
    </row>
    <row r="45" spans="1:20" x14ac:dyDescent="0.3">
      <c r="A45" t="s">
        <v>42</v>
      </c>
      <c r="B45">
        <v>96</v>
      </c>
      <c r="C45" t="s">
        <v>71</v>
      </c>
      <c r="D45" t="s">
        <v>74</v>
      </c>
      <c r="E45" t="s">
        <v>74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74</v>
      </c>
    </row>
    <row r="46" spans="1:20" x14ac:dyDescent="0.3">
      <c r="A46" t="s">
        <v>51</v>
      </c>
      <c r="B46">
        <v>81</v>
      </c>
      <c r="C46" t="s">
        <v>73</v>
      </c>
      <c r="D46" t="s">
        <v>74</v>
      </c>
      <c r="E46" t="s">
        <v>74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74</v>
      </c>
    </row>
    <row r="47" spans="1:20" x14ac:dyDescent="0.3">
      <c r="A47" t="s">
        <v>33</v>
      </c>
      <c r="B47">
        <v>141</v>
      </c>
      <c r="C47" t="s">
        <v>71</v>
      </c>
      <c r="D47" t="s">
        <v>74</v>
      </c>
      <c r="E47" t="s">
        <v>74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74</v>
      </c>
    </row>
    <row r="48" spans="1:20" x14ac:dyDescent="0.3">
      <c r="A48" t="s">
        <v>33</v>
      </c>
      <c r="B48">
        <v>121</v>
      </c>
      <c r="C48" t="s">
        <v>73</v>
      </c>
      <c r="D48" t="s">
        <v>74</v>
      </c>
      <c r="E48" t="s">
        <v>75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75</v>
      </c>
    </row>
    <row r="49" spans="1:20" x14ac:dyDescent="0.3">
      <c r="A49" t="s">
        <v>44</v>
      </c>
      <c r="B49">
        <v>125</v>
      </c>
      <c r="C49" t="s">
        <v>73</v>
      </c>
      <c r="D49" t="s">
        <v>74</v>
      </c>
      <c r="E49" t="s">
        <v>74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74</v>
      </c>
    </row>
    <row r="50" spans="1:20" x14ac:dyDescent="0.3">
      <c r="A50" t="s">
        <v>29</v>
      </c>
      <c r="B50">
        <v>174</v>
      </c>
      <c r="C50" t="s">
        <v>73</v>
      </c>
      <c r="D50" t="s">
        <v>74</v>
      </c>
      <c r="E50" t="s">
        <v>74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74</v>
      </c>
    </row>
    <row r="51" spans="1:20" x14ac:dyDescent="0.3">
      <c r="A51" t="s">
        <v>60</v>
      </c>
      <c r="B51">
        <v>116</v>
      </c>
      <c r="C51" t="s">
        <v>71</v>
      </c>
      <c r="D51" t="s">
        <v>74</v>
      </c>
      <c r="E51" t="s">
        <v>75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74</v>
      </c>
    </row>
    <row r="52" spans="1:20" x14ac:dyDescent="0.3">
      <c r="A52" t="s">
        <v>56</v>
      </c>
      <c r="B52">
        <v>149</v>
      </c>
      <c r="C52" t="s">
        <v>73</v>
      </c>
      <c r="D52" t="s">
        <v>74</v>
      </c>
      <c r="E52" t="s">
        <v>75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74</v>
      </c>
    </row>
    <row r="53" spans="1:20" x14ac:dyDescent="0.3">
      <c r="A53" t="s">
        <v>66</v>
      </c>
      <c r="B53">
        <v>38</v>
      </c>
      <c r="C53" t="s">
        <v>73</v>
      </c>
      <c r="D53" t="s">
        <v>74</v>
      </c>
      <c r="E53" t="s">
        <v>74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74</v>
      </c>
    </row>
    <row r="54" spans="1:20" x14ac:dyDescent="0.3">
      <c r="A54" t="s">
        <v>41</v>
      </c>
      <c r="B54">
        <v>40</v>
      </c>
      <c r="C54" t="s">
        <v>71</v>
      </c>
      <c r="D54" t="s">
        <v>74</v>
      </c>
      <c r="E54" t="s">
        <v>75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74</v>
      </c>
    </row>
    <row r="55" spans="1:20" x14ac:dyDescent="0.3">
      <c r="A55" t="s">
        <v>30</v>
      </c>
      <c r="B55">
        <v>43</v>
      </c>
      <c r="C55" t="s">
        <v>71</v>
      </c>
      <c r="D55" t="s">
        <v>75</v>
      </c>
      <c r="E55" t="s">
        <v>74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74</v>
      </c>
    </row>
    <row r="56" spans="1:20" x14ac:dyDescent="0.3">
      <c r="A56" t="s">
        <v>32</v>
      </c>
      <c r="B56">
        <v>113</v>
      </c>
      <c r="C56" t="s">
        <v>73</v>
      </c>
      <c r="D56" t="s">
        <v>75</v>
      </c>
      <c r="E56" t="s">
        <v>74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74</v>
      </c>
    </row>
    <row r="57" spans="1:20" x14ac:dyDescent="0.3">
      <c r="A57" t="s">
        <v>42</v>
      </c>
      <c r="B57">
        <v>126</v>
      </c>
      <c r="C57" t="s">
        <v>73</v>
      </c>
      <c r="D57" t="s">
        <v>74</v>
      </c>
      <c r="E57" t="s">
        <v>74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74</v>
      </c>
    </row>
    <row r="58" spans="1:20" x14ac:dyDescent="0.3">
      <c r="A58" t="s">
        <v>34</v>
      </c>
      <c r="B58">
        <v>150</v>
      </c>
      <c r="C58" t="s">
        <v>72</v>
      </c>
      <c r="D58" t="s">
        <v>74</v>
      </c>
      <c r="E58" t="s">
        <v>74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75</v>
      </c>
    </row>
    <row r="59" spans="1:20" x14ac:dyDescent="0.3">
      <c r="A59" t="s">
        <v>28</v>
      </c>
      <c r="B59">
        <v>138</v>
      </c>
      <c r="C59" t="s">
        <v>73</v>
      </c>
      <c r="D59" t="s">
        <v>74</v>
      </c>
      <c r="E59" t="s">
        <v>74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74</v>
      </c>
    </row>
    <row r="60" spans="1:20" x14ac:dyDescent="0.3">
      <c r="A60" t="s">
        <v>32</v>
      </c>
      <c r="B60">
        <v>162</v>
      </c>
      <c r="C60" t="s">
        <v>72</v>
      </c>
      <c r="D60" t="s">
        <v>74</v>
      </c>
      <c r="E60" t="s">
        <v>75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74</v>
      </c>
    </row>
    <row r="61" spans="1:20" x14ac:dyDescent="0.3">
      <c r="A61" t="s">
        <v>52</v>
      </c>
      <c r="B61">
        <v>147</v>
      </c>
      <c r="C61" t="s">
        <v>72</v>
      </c>
      <c r="D61" t="s">
        <v>74</v>
      </c>
      <c r="E61" t="s">
        <v>74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74</v>
      </c>
    </row>
    <row r="62" spans="1:20" x14ac:dyDescent="0.3">
      <c r="A62" t="s">
        <v>68</v>
      </c>
      <c r="B62">
        <v>90</v>
      </c>
      <c r="C62" t="s">
        <v>71</v>
      </c>
      <c r="D62" t="s">
        <v>74</v>
      </c>
      <c r="E62" t="s">
        <v>74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74</v>
      </c>
    </row>
    <row r="63" spans="1:20" x14ac:dyDescent="0.3">
      <c r="A63" t="s">
        <v>67</v>
      </c>
      <c r="B63">
        <v>85</v>
      </c>
      <c r="C63" t="s">
        <v>71</v>
      </c>
      <c r="D63" t="s">
        <v>74</v>
      </c>
      <c r="E63" t="s">
        <v>74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74</v>
      </c>
    </row>
    <row r="64" spans="1:20" x14ac:dyDescent="0.3">
      <c r="A64" t="s">
        <v>32</v>
      </c>
      <c r="B64">
        <v>50</v>
      </c>
      <c r="C64" t="s">
        <v>71</v>
      </c>
      <c r="D64" t="s">
        <v>74</v>
      </c>
      <c r="E64" t="s">
        <v>74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74</v>
      </c>
    </row>
    <row r="65" spans="1:20" x14ac:dyDescent="0.3">
      <c r="A65" t="s">
        <v>63</v>
      </c>
      <c r="B65">
        <v>82</v>
      </c>
      <c r="C65" t="s">
        <v>71</v>
      </c>
      <c r="D65" t="s">
        <v>74</v>
      </c>
      <c r="E65" t="s">
        <v>74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75</v>
      </c>
    </row>
    <row r="66" spans="1:20" x14ac:dyDescent="0.3">
      <c r="A66" t="s">
        <v>38</v>
      </c>
      <c r="B66">
        <v>144</v>
      </c>
      <c r="C66" t="s">
        <v>73</v>
      </c>
      <c r="D66" t="s">
        <v>74</v>
      </c>
      <c r="E66" t="s">
        <v>74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75</v>
      </c>
    </row>
    <row r="67" spans="1:20" x14ac:dyDescent="0.3">
      <c r="A67" t="s">
        <v>32</v>
      </c>
      <c r="B67">
        <v>46</v>
      </c>
      <c r="C67" t="s">
        <v>71</v>
      </c>
      <c r="D67" t="s">
        <v>74</v>
      </c>
      <c r="E67" t="s">
        <v>74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74</v>
      </c>
    </row>
    <row r="68" spans="1:20" x14ac:dyDescent="0.3">
      <c r="A68" t="s">
        <v>49</v>
      </c>
      <c r="B68">
        <v>70</v>
      </c>
      <c r="C68" t="s">
        <v>73</v>
      </c>
      <c r="D68" t="s">
        <v>74</v>
      </c>
      <c r="E68" t="s">
        <v>74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74</v>
      </c>
    </row>
    <row r="69" spans="1:20" x14ac:dyDescent="0.3">
      <c r="A69" t="s">
        <v>65</v>
      </c>
      <c r="B69">
        <v>144</v>
      </c>
      <c r="C69" t="s">
        <v>71</v>
      </c>
      <c r="D69" t="s">
        <v>74</v>
      </c>
      <c r="E69" t="s">
        <v>74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74</v>
      </c>
    </row>
    <row r="70" spans="1:20" x14ac:dyDescent="0.3">
      <c r="A70" t="s">
        <v>58</v>
      </c>
      <c r="B70">
        <v>116</v>
      </c>
      <c r="C70" t="s">
        <v>71</v>
      </c>
      <c r="D70" t="s">
        <v>75</v>
      </c>
      <c r="E70" t="s">
        <v>74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74</v>
      </c>
    </row>
    <row r="71" spans="1:20" x14ac:dyDescent="0.3">
      <c r="A71" t="s">
        <v>27</v>
      </c>
      <c r="B71">
        <v>70</v>
      </c>
      <c r="C71" t="s">
        <v>71</v>
      </c>
      <c r="D71" t="s">
        <v>74</v>
      </c>
      <c r="E71" t="s">
        <v>75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74</v>
      </c>
    </row>
    <row r="72" spans="1:20" x14ac:dyDescent="0.3">
      <c r="A72" t="s">
        <v>23</v>
      </c>
      <c r="B72">
        <v>128</v>
      </c>
      <c r="C72" t="s">
        <v>72</v>
      </c>
      <c r="D72" t="s">
        <v>74</v>
      </c>
      <c r="E72" t="s">
        <v>75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74</v>
      </c>
    </row>
    <row r="73" spans="1:20" x14ac:dyDescent="0.3">
      <c r="A73" t="s">
        <v>51</v>
      </c>
      <c r="B73">
        <v>94</v>
      </c>
      <c r="C73" t="s">
        <v>73</v>
      </c>
      <c r="D73" t="s">
        <v>74</v>
      </c>
      <c r="E73" t="s">
        <v>74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75</v>
      </c>
    </row>
    <row r="74" spans="1:20" x14ac:dyDescent="0.3">
      <c r="A74" t="s">
        <v>65</v>
      </c>
      <c r="B74">
        <v>111</v>
      </c>
      <c r="C74" t="s">
        <v>72</v>
      </c>
      <c r="D74" t="s">
        <v>74</v>
      </c>
      <c r="E74" t="s">
        <v>74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74</v>
      </c>
    </row>
    <row r="75" spans="1:20" x14ac:dyDescent="0.3">
      <c r="A75" t="s">
        <v>70</v>
      </c>
      <c r="B75">
        <v>74</v>
      </c>
      <c r="C75" t="s">
        <v>71</v>
      </c>
      <c r="D75" t="s">
        <v>74</v>
      </c>
      <c r="E75" t="s">
        <v>75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74</v>
      </c>
    </row>
    <row r="76" spans="1:20" x14ac:dyDescent="0.3">
      <c r="A76" t="s">
        <v>28</v>
      </c>
      <c r="B76">
        <v>128</v>
      </c>
      <c r="C76" t="s">
        <v>71</v>
      </c>
      <c r="D76" t="s">
        <v>74</v>
      </c>
      <c r="E76" t="s">
        <v>74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75</v>
      </c>
    </row>
    <row r="77" spans="1:20" x14ac:dyDescent="0.3">
      <c r="A77" t="s">
        <v>63</v>
      </c>
      <c r="B77">
        <v>82</v>
      </c>
      <c r="C77" t="s">
        <v>72</v>
      </c>
      <c r="D77" t="s">
        <v>74</v>
      </c>
      <c r="E77" t="s">
        <v>74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74</v>
      </c>
    </row>
    <row r="78" spans="1:20" x14ac:dyDescent="0.3">
      <c r="A78" t="s">
        <v>26</v>
      </c>
      <c r="B78">
        <v>155</v>
      </c>
      <c r="C78" t="s">
        <v>71</v>
      </c>
      <c r="D78" t="s">
        <v>74</v>
      </c>
      <c r="E78" t="s">
        <v>74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75</v>
      </c>
    </row>
    <row r="79" spans="1:20" x14ac:dyDescent="0.3">
      <c r="A79" t="s">
        <v>62</v>
      </c>
      <c r="B79">
        <v>80</v>
      </c>
      <c r="C79" t="s">
        <v>71</v>
      </c>
      <c r="D79" t="s">
        <v>74</v>
      </c>
      <c r="E79" t="s">
        <v>74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74</v>
      </c>
    </row>
    <row r="80" spans="1:20" x14ac:dyDescent="0.3">
      <c r="A80" t="s">
        <v>59</v>
      </c>
      <c r="B80">
        <v>78</v>
      </c>
      <c r="C80" t="s">
        <v>71</v>
      </c>
      <c r="D80" t="s">
        <v>74</v>
      </c>
      <c r="E80" t="s">
        <v>74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74</v>
      </c>
    </row>
    <row r="81" spans="1:20" x14ac:dyDescent="0.3">
      <c r="A81" t="s">
        <v>48</v>
      </c>
      <c r="B81">
        <v>90</v>
      </c>
      <c r="C81" t="s">
        <v>71</v>
      </c>
      <c r="D81" t="s">
        <v>74</v>
      </c>
      <c r="E81" t="s">
        <v>74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74</v>
      </c>
    </row>
    <row r="82" spans="1:20" x14ac:dyDescent="0.3">
      <c r="A82" t="s">
        <v>57</v>
      </c>
      <c r="B82">
        <v>73</v>
      </c>
      <c r="C82" t="s">
        <v>71</v>
      </c>
      <c r="D82" t="s">
        <v>74</v>
      </c>
      <c r="E82" t="s">
        <v>74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74</v>
      </c>
    </row>
    <row r="83" spans="1:20" x14ac:dyDescent="0.3">
      <c r="A83" t="s">
        <v>48</v>
      </c>
      <c r="B83">
        <v>99</v>
      </c>
      <c r="C83" t="s">
        <v>71</v>
      </c>
      <c r="D83" t="s">
        <v>74</v>
      </c>
      <c r="E83" t="s">
        <v>74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74</v>
      </c>
    </row>
    <row r="84" spans="1:20" x14ac:dyDescent="0.3">
      <c r="A84" t="s">
        <v>53</v>
      </c>
      <c r="B84">
        <v>120</v>
      </c>
      <c r="C84" t="s">
        <v>73</v>
      </c>
      <c r="D84" t="s">
        <v>74</v>
      </c>
      <c r="E84" t="s">
        <v>74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75</v>
      </c>
    </row>
    <row r="85" spans="1:20" x14ac:dyDescent="0.3">
      <c r="A85" t="s">
        <v>29</v>
      </c>
      <c r="B85">
        <v>77</v>
      </c>
      <c r="C85" t="s">
        <v>71</v>
      </c>
      <c r="D85" t="s">
        <v>74</v>
      </c>
      <c r="E85" t="s">
        <v>74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75</v>
      </c>
    </row>
    <row r="86" spans="1:20" x14ac:dyDescent="0.3">
      <c r="A86" t="s">
        <v>22</v>
      </c>
      <c r="B86">
        <v>98</v>
      </c>
      <c r="C86" t="s">
        <v>72</v>
      </c>
      <c r="D86" t="s">
        <v>74</v>
      </c>
      <c r="E86" t="s">
        <v>75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74</v>
      </c>
    </row>
    <row r="87" spans="1:20" x14ac:dyDescent="0.3">
      <c r="A87" t="s">
        <v>36</v>
      </c>
      <c r="B87">
        <v>108</v>
      </c>
      <c r="C87" t="s">
        <v>71</v>
      </c>
      <c r="D87" t="s">
        <v>74</v>
      </c>
      <c r="E87" t="s">
        <v>74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74</v>
      </c>
    </row>
    <row r="88" spans="1:20" x14ac:dyDescent="0.3">
      <c r="A88" t="s">
        <v>70</v>
      </c>
      <c r="B88">
        <v>95</v>
      </c>
      <c r="C88" t="s">
        <v>73</v>
      </c>
      <c r="D88" t="s">
        <v>74</v>
      </c>
      <c r="E88" t="s">
        <v>74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74</v>
      </c>
    </row>
    <row r="89" spans="1:20" x14ac:dyDescent="0.3">
      <c r="A89" t="s">
        <v>51</v>
      </c>
      <c r="B89">
        <v>122</v>
      </c>
      <c r="C89" t="s">
        <v>73</v>
      </c>
      <c r="D89" t="s">
        <v>74</v>
      </c>
      <c r="E89" t="s">
        <v>74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74</v>
      </c>
    </row>
    <row r="90" spans="1:20" x14ac:dyDescent="0.3">
      <c r="A90" t="s">
        <v>48</v>
      </c>
      <c r="B90">
        <v>95</v>
      </c>
      <c r="C90" t="s">
        <v>73</v>
      </c>
      <c r="D90" t="s">
        <v>74</v>
      </c>
      <c r="E90" t="s">
        <v>74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74</v>
      </c>
    </row>
    <row r="91" spans="1:20" x14ac:dyDescent="0.3">
      <c r="A91" t="s">
        <v>40</v>
      </c>
      <c r="B91">
        <v>36</v>
      </c>
      <c r="C91" t="s">
        <v>72</v>
      </c>
      <c r="D91" t="s">
        <v>74</v>
      </c>
      <c r="E91" t="s">
        <v>75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74</v>
      </c>
    </row>
    <row r="92" spans="1:20" x14ac:dyDescent="0.3">
      <c r="A92" t="s">
        <v>52</v>
      </c>
      <c r="B92">
        <v>93</v>
      </c>
      <c r="C92" t="s">
        <v>72</v>
      </c>
      <c r="D92" t="s">
        <v>74</v>
      </c>
      <c r="E92" t="s">
        <v>75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74</v>
      </c>
    </row>
    <row r="93" spans="1:20" x14ac:dyDescent="0.3">
      <c r="A93" t="s">
        <v>42</v>
      </c>
      <c r="B93">
        <v>157</v>
      </c>
      <c r="C93" t="s">
        <v>73</v>
      </c>
      <c r="D93" t="s">
        <v>74</v>
      </c>
      <c r="E93" t="s">
        <v>74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74</v>
      </c>
    </row>
    <row r="94" spans="1:20" x14ac:dyDescent="0.3">
      <c r="A94" t="s">
        <v>40</v>
      </c>
      <c r="B94">
        <v>120</v>
      </c>
      <c r="C94" t="s">
        <v>73</v>
      </c>
      <c r="D94" t="s">
        <v>74</v>
      </c>
      <c r="E94" t="s">
        <v>74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74</v>
      </c>
    </row>
    <row r="95" spans="1:20" x14ac:dyDescent="0.3">
      <c r="A95" t="s">
        <v>21</v>
      </c>
      <c r="B95">
        <v>98</v>
      </c>
      <c r="C95" t="s">
        <v>73</v>
      </c>
      <c r="D95" t="s">
        <v>74</v>
      </c>
      <c r="E95" t="s">
        <v>74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74</v>
      </c>
    </row>
    <row r="96" spans="1:20" x14ac:dyDescent="0.3">
      <c r="A96" t="s">
        <v>45</v>
      </c>
      <c r="B96">
        <v>125</v>
      </c>
      <c r="C96" t="s">
        <v>73</v>
      </c>
      <c r="D96" t="s">
        <v>74</v>
      </c>
      <c r="E96" t="s">
        <v>74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74</v>
      </c>
    </row>
    <row r="97" spans="1:20" x14ac:dyDescent="0.3">
      <c r="A97" t="s">
        <v>48</v>
      </c>
      <c r="B97">
        <v>63</v>
      </c>
      <c r="C97" t="s">
        <v>71</v>
      </c>
      <c r="D97" t="s">
        <v>74</v>
      </c>
      <c r="E97" t="s">
        <v>74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74</v>
      </c>
    </row>
    <row r="98" spans="1:20" x14ac:dyDescent="0.3">
      <c r="A98" t="s">
        <v>59</v>
      </c>
      <c r="B98">
        <v>36</v>
      </c>
      <c r="C98" t="s">
        <v>72</v>
      </c>
      <c r="D98" t="s">
        <v>75</v>
      </c>
      <c r="E98" t="s">
        <v>75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75</v>
      </c>
    </row>
    <row r="99" spans="1:20" x14ac:dyDescent="0.3">
      <c r="A99" t="s">
        <v>28</v>
      </c>
      <c r="B99">
        <v>64</v>
      </c>
      <c r="C99" t="s">
        <v>72</v>
      </c>
      <c r="D99" t="s">
        <v>74</v>
      </c>
      <c r="E99" t="s">
        <v>74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74</v>
      </c>
    </row>
    <row r="100" spans="1:20" x14ac:dyDescent="0.3">
      <c r="A100" t="s">
        <v>68</v>
      </c>
      <c r="B100">
        <v>74</v>
      </c>
      <c r="C100" t="s">
        <v>71</v>
      </c>
      <c r="D100" t="s">
        <v>74</v>
      </c>
      <c r="E100" t="s">
        <v>74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75</v>
      </c>
    </row>
    <row r="101" spans="1:20" x14ac:dyDescent="0.3">
      <c r="A101" t="s">
        <v>24</v>
      </c>
      <c r="B101">
        <v>46</v>
      </c>
      <c r="C101" t="s">
        <v>73</v>
      </c>
      <c r="D101" t="s">
        <v>74</v>
      </c>
      <c r="E101" t="s">
        <v>74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74</v>
      </c>
    </row>
    <row r="102" spans="1:20" x14ac:dyDescent="0.3">
      <c r="A102" t="s">
        <v>34</v>
      </c>
      <c r="B102">
        <v>41</v>
      </c>
      <c r="C102" t="s">
        <v>73</v>
      </c>
      <c r="D102" t="s">
        <v>74</v>
      </c>
      <c r="E102" t="s">
        <v>75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74</v>
      </c>
    </row>
    <row r="103" spans="1:20" x14ac:dyDescent="0.3">
      <c r="A103" t="s">
        <v>49</v>
      </c>
      <c r="B103">
        <v>121</v>
      </c>
      <c r="C103" t="s">
        <v>72</v>
      </c>
      <c r="D103" t="s">
        <v>74</v>
      </c>
      <c r="E103" t="s">
        <v>74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74</v>
      </c>
    </row>
    <row r="104" spans="1:20" x14ac:dyDescent="0.3">
      <c r="A104" t="s">
        <v>53</v>
      </c>
      <c r="B104">
        <v>193</v>
      </c>
      <c r="C104" t="s">
        <v>71</v>
      </c>
      <c r="D104" t="s">
        <v>74</v>
      </c>
      <c r="E104" t="s">
        <v>74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74</v>
      </c>
    </row>
    <row r="105" spans="1:20" x14ac:dyDescent="0.3">
      <c r="A105" t="s">
        <v>68</v>
      </c>
      <c r="B105">
        <v>130</v>
      </c>
      <c r="C105" t="s">
        <v>72</v>
      </c>
      <c r="D105" t="s">
        <v>74</v>
      </c>
      <c r="E105" t="s">
        <v>74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74</v>
      </c>
    </row>
    <row r="106" spans="1:20" x14ac:dyDescent="0.3">
      <c r="A106" t="s">
        <v>48</v>
      </c>
      <c r="B106">
        <v>85</v>
      </c>
      <c r="C106" t="s">
        <v>73</v>
      </c>
      <c r="D106" t="s">
        <v>74</v>
      </c>
      <c r="E106" t="s">
        <v>74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74</v>
      </c>
    </row>
    <row r="107" spans="1:20" x14ac:dyDescent="0.3">
      <c r="A107" t="s">
        <v>53</v>
      </c>
      <c r="B107">
        <v>162</v>
      </c>
      <c r="C107" t="s">
        <v>71</v>
      </c>
      <c r="D107" t="s">
        <v>74</v>
      </c>
      <c r="E107" t="s">
        <v>74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75</v>
      </c>
    </row>
    <row r="108" spans="1:20" x14ac:dyDescent="0.3">
      <c r="A108" t="s">
        <v>53</v>
      </c>
      <c r="B108">
        <v>61</v>
      </c>
      <c r="C108" t="s">
        <v>72</v>
      </c>
      <c r="D108" t="s">
        <v>74</v>
      </c>
      <c r="E108" t="s">
        <v>75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75</v>
      </c>
    </row>
    <row r="109" spans="1:20" x14ac:dyDescent="0.3">
      <c r="A109" t="s">
        <v>34</v>
      </c>
      <c r="B109">
        <v>92</v>
      </c>
      <c r="C109" t="s">
        <v>73</v>
      </c>
      <c r="D109" t="s">
        <v>74</v>
      </c>
      <c r="E109" t="s">
        <v>74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74</v>
      </c>
    </row>
    <row r="110" spans="1:20" x14ac:dyDescent="0.3">
      <c r="A110" t="s">
        <v>24</v>
      </c>
      <c r="B110">
        <v>90</v>
      </c>
      <c r="C110" t="s">
        <v>71</v>
      </c>
      <c r="D110" t="s">
        <v>74</v>
      </c>
      <c r="E110" t="s">
        <v>74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74</v>
      </c>
    </row>
    <row r="111" spans="1:20" x14ac:dyDescent="0.3">
      <c r="A111" t="s">
        <v>60</v>
      </c>
      <c r="B111">
        <v>75</v>
      </c>
      <c r="C111" t="s">
        <v>73</v>
      </c>
      <c r="D111" t="s">
        <v>74</v>
      </c>
      <c r="E111" t="s">
        <v>74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74</v>
      </c>
    </row>
    <row r="112" spans="1:20" x14ac:dyDescent="0.3">
      <c r="A112" t="s">
        <v>28</v>
      </c>
      <c r="B112">
        <v>78</v>
      </c>
      <c r="C112" t="s">
        <v>71</v>
      </c>
      <c r="D112" t="s">
        <v>74</v>
      </c>
      <c r="E112" t="s">
        <v>74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74</v>
      </c>
    </row>
    <row r="113" spans="1:20" x14ac:dyDescent="0.3">
      <c r="A113" t="s">
        <v>34</v>
      </c>
      <c r="B113">
        <v>82</v>
      </c>
      <c r="C113" t="s">
        <v>73</v>
      </c>
      <c r="D113" t="s">
        <v>74</v>
      </c>
      <c r="E113" t="s">
        <v>74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74</v>
      </c>
    </row>
    <row r="114" spans="1:20" x14ac:dyDescent="0.3">
      <c r="A114" t="s">
        <v>62</v>
      </c>
      <c r="B114">
        <v>163</v>
      </c>
      <c r="C114" t="s">
        <v>73</v>
      </c>
      <c r="D114" t="s">
        <v>74</v>
      </c>
      <c r="E114" t="s">
        <v>74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74</v>
      </c>
    </row>
    <row r="115" spans="1:20" x14ac:dyDescent="0.3">
      <c r="A115" t="s">
        <v>21</v>
      </c>
      <c r="B115">
        <v>91</v>
      </c>
      <c r="C115" t="s">
        <v>72</v>
      </c>
      <c r="D115" t="s">
        <v>75</v>
      </c>
      <c r="E115" t="s">
        <v>74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74</v>
      </c>
    </row>
    <row r="116" spans="1:20" x14ac:dyDescent="0.3">
      <c r="A116" t="s">
        <v>35</v>
      </c>
      <c r="B116">
        <v>127</v>
      </c>
      <c r="C116" t="s">
        <v>72</v>
      </c>
      <c r="D116" t="s">
        <v>74</v>
      </c>
      <c r="E116" t="s">
        <v>75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74</v>
      </c>
    </row>
    <row r="117" spans="1:20" x14ac:dyDescent="0.3">
      <c r="A117" t="s">
        <v>68</v>
      </c>
      <c r="B117">
        <v>113</v>
      </c>
      <c r="C117" t="s">
        <v>71</v>
      </c>
      <c r="D117" t="s">
        <v>74</v>
      </c>
      <c r="E117" t="s">
        <v>75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74</v>
      </c>
    </row>
    <row r="118" spans="1:20" x14ac:dyDescent="0.3">
      <c r="A118" t="s">
        <v>45</v>
      </c>
      <c r="B118">
        <v>110</v>
      </c>
      <c r="C118" t="s">
        <v>72</v>
      </c>
      <c r="D118" t="s">
        <v>74</v>
      </c>
      <c r="E118" t="s">
        <v>74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74</v>
      </c>
    </row>
    <row r="119" spans="1:20" x14ac:dyDescent="0.3">
      <c r="A119" t="s">
        <v>49</v>
      </c>
      <c r="B119">
        <v>120</v>
      </c>
      <c r="C119" t="s">
        <v>71</v>
      </c>
      <c r="D119" t="s">
        <v>74</v>
      </c>
      <c r="E119" t="s">
        <v>75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74</v>
      </c>
    </row>
    <row r="120" spans="1:20" x14ac:dyDescent="0.3">
      <c r="A120" t="s">
        <v>40</v>
      </c>
      <c r="B120">
        <v>157</v>
      </c>
      <c r="C120" t="s">
        <v>71</v>
      </c>
      <c r="D120" t="s">
        <v>74</v>
      </c>
      <c r="E120" t="s">
        <v>75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74</v>
      </c>
    </row>
    <row r="121" spans="1:20" x14ac:dyDescent="0.3">
      <c r="A121" t="s">
        <v>23</v>
      </c>
      <c r="B121">
        <v>103</v>
      </c>
      <c r="C121" t="s">
        <v>72</v>
      </c>
      <c r="D121" t="s">
        <v>74</v>
      </c>
      <c r="E121" t="s">
        <v>74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74</v>
      </c>
    </row>
    <row r="122" spans="1:20" x14ac:dyDescent="0.3">
      <c r="A122" t="s">
        <v>23</v>
      </c>
      <c r="B122">
        <v>117</v>
      </c>
      <c r="C122" t="s">
        <v>73</v>
      </c>
      <c r="D122" t="s">
        <v>75</v>
      </c>
      <c r="E122" t="s">
        <v>74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75</v>
      </c>
    </row>
    <row r="123" spans="1:20" x14ac:dyDescent="0.3">
      <c r="A123" t="s">
        <v>26</v>
      </c>
      <c r="B123">
        <v>121</v>
      </c>
      <c r="C123" t="s">
        <v>73</v>
      </c>
      <c r="D123" t="s">
        <v>74</v>
      </c>
      <c r="E123" t="s">
        <v>74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74</v>
      </c>
    </row>
    <row r="124" spans="1:20" x14ac:dyDescent="0.3">
      <c r="A124" t="s">
        <v>55</v>
      </c>
      <c r="B124">
        <v>145</v>
      </c>
      <c r="C124" t="s">
        <v>73</v>
      </c>
      <c r="D124" t="s">
        <v>74</v>
      </c>
      <c r="E124" t="s">
        <v>75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74</v>
      </c>
    </row>
    <row r="125" spans="1:20" x14ac:dyDescent="0.3">
      <c r="A125" t="s">
        <v>22</v>
      </c>
      <c r="B125">
        <v>113</v>
      </c>
      <c r="C125" t="s">
        <v>73</v>
      </c>
      <c r="D125" t="s">
        <v>74</v>
      </c>
      <c r="E125" t="s">
        <v>74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74</v>
      </c>
    </row>
    <row r="126" spans="1:20" x14ac:dyDescent="0.3">
      <c r="A126" t="s">
        <v>24</v>
      </c>
      <c r="B126">
        <v>117</v>
      </c>
      <c r="C126" t="s">
        <v>71</v>
      </c>
      <c r="D126" t="s">
        <v>74</v>
      </c>
      <c r="E126" t="s">
        <v>74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74</v>
      </c>
    </row>
    <row r="127" spans="1:20" x14ac:dyDescent="0.3">
      <c r="A127" t="s">
        <v>61</v>
      </c>
      <c r="B127">
        <v>65</v>
      </c>
      <c r="C127" t="s">
        <v>73</v>
      </c>
      <c r="D127" t="s">
        <v>74</v>
      </c>
      <c r="E127" t="s">
        <v>74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74</v>
      </c>
    </row>
    <row r="128" spans="1:20" x14ac:dyDescent="0.3">
      <c r="A128" t="s">
        <v>55</v>
      </c>
      <c r="B128">
        <v>56</v>
      </c>
      <c r="C128" t="s">
        <v>71</v>
      </c>
      <c r="D128" t="s">
        <v>74</v>
      </c>
      <c r="E128" t="s">
        <v>74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74</v>
      </c>
    </row>
    <row r="129" spans="1:20" x14ac:dyDescent="0.3">
      <c r="A129" t="s">
        <v>44</v>
      </c>
      <c r="B129">
        <v>96</v>
      </c>
      <c r="C129" t="s">
        <v>71</v>
      </c>
      <c r="D129" t="s">
        <v>74</v>
      </c>
      <c r="E129" t="s">
        <v>74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74</v>
      </c>
    </row>
    <row r="130" spans="1:20" x14ac:dyDescent="0.3">
      <c r="A130" t="s">
        <v>26</v>
      </c>
      <c r="B130">
        <v>151</v>
      </c>
      <c r="C130" t="s">
        <v>73</v>
      </c>
      <c r="D130" t="s">
        <v>74</v>
      </c>
      <c r="E130" t="s">
        <v>74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74</v>
      </c>
    </row>
    <row r="131" spans="1:20" x14ac:dyDescent="0.3">
      <c r="A131" t="s">
        <v>61</v>
      </c>
      <c r="B131">
        <v>83</v>
      </c>
      <c r="C131" t="s">
        <v>71</v>
      </c>
      <c r="D131" t="s">
        <v>74</v>
      </c>
      <c r="E131" t="s">
        <v>74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75</v>
      </c>
    </row>
    <row r="132" spans="1:20" x14ac:dyDescent="0.3">
      <c r="A132" t="s">
        <v>50</v>
      </c>
      <c r="B132">
        <v>139</v>
      </c>
      <c r="C132" t="s">
        <v>72</v>
      </c>
      <c r="D132" t="s">
        <v>74</v>
      </c>
      <c r="E132" t="s">
        <v>75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74</v>
      </c>
    </row>
    <row r="133" spans="1:20" x14ac:dyDescent="0.3">
      <c r="A133" t="s">
        <v>37</v>
      </c>
      <c r="B133">
        <v>6</v>
      </c>
      <c r="C133" t="s">
        <v>72</v>
      </c>
      <c r="D133" t="s">
        <v>74</v>
      </c>
      <c r="E133" t="s">
        <v>74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74</v>
      </c>
    </row>
    <row r="134" spans="1:20" x14ac:dyDescent="0.3">
      <c r="A134" t="s">
        <v>39</v>
      </c>
      <c r="B134">
        <v>115</v>
      </c>
      <c r="C134" t="s">
        <v>72</v>
      </c>
      <c r="D134" t="s">
        <v>74</v>
      </c>
      <c r="E134" t="s">
        <v>75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74</v>
      </c>
    </row>
    <row r="135" spans="1:20" x14ac:dyDescent="0.3">
      <c r="A135" t="s">
        <v>50</v>
      </c>
      <c r="B135">
        <v>141</v>
      </c>
      <c r="C135" t="s">
        <v>71</v>
      </c>
      <c r="D135" t="s">
        <v>74</v>
      </c>
      <c r="E135" t="s">
        <v>74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74</v>
      </c>
    </row>
    <row r="136" spans="1:20" x14ac:dyDescent="0.3">
      <c r="A136" t="s">
        <v>40</v>
      </c>
      <c r="B136">
        <v>62</v>
      </c>
      <c r="C136" t="s">
        <v>71</v>
      </c>
      <c r="D136" t="s">
        <v>74</v>
      </c>
      <c r="E136" t="s">
        <v>74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74</v>
      </c>
    </row>
    <row r="137" spans="1:20" x14ac:dyDescent="0.3">
      <c r="A137" t="s">
        <v>27</v>
      </c>
      <c r="B137">
        <v>185</v>
      </c>
      <c r="C137" t="s">
        <v>72</v>
      </c>
      <c r="D137" t="s">
        <v>74</v>
      </c>
      <c r="E137" t="s">
        <v>75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74</v>
      </c>
    </row>
    <row r="138" spans="1:20" x14ac:dyDescent="0.3">
      <c r="A138" t="s">
        <v>63</v>
      </c>
      <c r="B138">
        <v>148</v>
      </c>
      <c r="C138" t="s">
        <v>71</v>
      </c>
      <c r="D138" t="s">
        <v>74</v>
      </c>
      <c r="E138" t="s">
        <v>74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74</v>
      </c>
    </row>
    <row r="139" spans="1:20" x14ac:dyDescent="0.3">
      <c r="A139" t="s">
        <v>48</v>
      </c>
      <c r="B139">
        <v>94</v>
      </c>
      <c r="C139" t="s">
        <v>73</v>
      </c>
      <c r="D139" t="s">
        <v>74</v>
      </c>
      <c r="E139" t="s">
        <v>75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74</v>
      </c>
    </row>
    <row r="140" spans="1:20" x14ac:dyDescent="0.3">
      <c r="A140" t="s">
        <v>21</v>
      </c>
      <c r="B140">
        <v>32</v>
      </c>
      <c r="C140" t="s">
        <v>72</v>
      </c>
      <c r="D140" t="s">
        <v>74</v>
      </c>
      <c r="E140" t="s">
        <v>74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74</v>
      </c>
    </row>
    <row r="141" spans="1:20" x14ac:dyDescent="0.3">
      <c r="A141" t="s">
        <v>33</v>
      </c>
      <c r="B141">
        <v>68</v>
      </c>
      <c r="C141" t="s">
        <v>73</v>
      </c>
      <c r="D141" t="s">
        <v>74</v>
      </c>
      <c r="E141" t="s">
        <v>74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74</v>
      </c>
    </row>
    <row r="142" spans="1:20" x14ac:dyDescent="0.3">
      <c r="A142" t="s">
        <v>52</v>
      </c>
      <c r="B142">
        <v>25</v>
      </c>
      <c r="C142" t="s">
        <v>71</v>
      </c>
      <c r="D142" t="s">
        <v>74</v>
      </c>
      <c r="E142" t="s">
        <v>74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74</v>
      </c>
    </row>
    <row r="143" spans="1:20" x14ac:dyDescent="0.3">
      <c r="A143" t="s">
        <v>58</v>
      </c>
      <c r="B143">
        <v>65</v>
      </c>
      <c r="C143" t="s">
        <v>71</v>
      </c>
      <c r="D143" t="s">
        <v>74</v>
      </c>
      <c r="E143" t="s">
        <v>74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74</v>
      </c>
    </row>
    <row r="144" spans="1:20" x14ac:dyDescent="0.3">
      <c r="A144" t="s">
        <v>26</v>
      </c>
      <c r="B144">
        <v>179</v>
      </c>
      <c r="C144" t="s">
        <v>73</v>
      </c>
      <c r="D144" t="s">
        <v>74</v>
      </c>
      <c r="E144" t="s">
        <v>74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74</v>
      </c>
    </row>
    <row r="145" spans="1:20" x14ac:dyDescent="0.3">
      <c r="A145" t="s">
        <v>24</v>
      </c>
      <c r="B145">
        <v>94</v>
      </c>
      <c r="C145" t="s">
        <v>71</v>
      </c>
      <c r="D145" t="s">
        <v>74</v>
      </c>
      <c r="E145" t="s">
        <v>74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74</v>
      </c>
    </row>
    <row r="146" spans="1:20" x14ac:dyDescent="0.3">
      <c r="A146" t="s">
        <v>32</v>
      </c>
      <c r="B146">
        <v>62</v>
      </c>
      <c r="C146" t="s">
        <v>71</v>
      </c>
      <c r="D146" t="s">
        <v>74</v>
      </c>
      <c r="E146" t="s">
        <v>74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74</v>
      </c>
    </row>
    <row r="147" spans="1:20" x14ac:dyDescent="0.3">
      <c r="A147" t="s">
        <v>62</v>
      </c>
      <c r="B147">
        <v>116</v>
      </c>
      <c r="C147" t="s">
        <v>73</v>
      </c>
      <c r="D147" t="s">
        <v>74</v>
      </c>
      <c r="E147" t="s">
        <v>74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74</v>
      </c>
    </row>
    <row r="148" spans="1:20" x14ac:dyDescent="0.3">
      <c r="A148" t="s">
        <v>20</v>
      </c>
      <c r="B148">
        <v>70</v>
      </c>
      <c r="C148" t="s">
        <v>73</v>
      </c>
      <c r="D148" t="s">
        <v>74</v>
      </c>
      <c r="E148" t="s">
        <v>74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74</v>
      </c>
    </row>
    <row r="149" spans="1:20" x14ac:dyDescent="0.3">
      <c r="A149" t="s">
        <v>65</v>
      </c>
      <c r="B149">
        <v>94</v>
      </c>
      <c r="C149" t="s">
        <v>72</v>
      </c>
      <c r="D149" t="s">
        <v>75</v>
      </c>
      <c r="E149" t="s">
        <v>75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74</v>
      </c>
    </row>
    <row r="150" spans="1:20" x14ac:dyDescent="0.3">
      <c r="A150" t="s">
        <v>35</v>
      </c>
      <c r="B150">
        <v>126</v>
      </c>
      <c r="C150" t="s">
        <v>71</v>
      </c>
      <c r="D150" t="s">
        <v>74</v>
      </c>
      <c r="E150" t="s">
        <v>74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75</v>
      </c>
    </row>
    <row r="151" spans="1:20" x14ac:dyDescent="0.3">
      <c r="A151" t="s">
        <v>38</v>
      </c>
      <c r="B151">
        <v>67</v>
      </c>
      <c r="C151" t="s">
        <v>73</v>
      </c>
      <c r="D151" t="s">
        <v>74</v>
      </c>
      <c r="E151" t="s">
        <v>75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74</v>
      </c>
    </row>
    <row r="152" spans="1:20" x14ac:dyDescent="0.3">
      <c r="A152" t="s">
        <v>46</v>
      </c>
      <c r="B152">
        <v>19</v>
      </c>
      <c r="C152" t="s">
        <v>73</v>
      </c>
      <c r="D152" t="s">
        <v>74</v>
      </c>
      <c r="E152" t="s">
        <v>74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74</v>
      </c>
    </row>
    <row r="153" spans="1:20" x14ac:dyDescent="0.3">
      <c r="A153" t="s">
        <v>50</v>
      </c>
      <c r="B153">
        <v>170</v>
      </c>
      <c r="C153" t="s">
        <v>72</v>
      </c>
      <c r="D153" t="s">
        <v>75</v>
      </c>
      <c r="E153" t="s">
        <v>74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74</v>
      </c>
    </row>
    <row r="154" spans="1:20" x14ac:dyDescent="0.3">
      <c r="A154" t="s">
        <v>52</v>
      </c>
      <c r="B154">
        <v>73</v>
      </c>
      <c r="C154" t="s">
        <v>71</v>
      </c>
      <c r="D154" t="s">
        <v>74</v>
      </c>
      <c r="E154" t="s">
        <v>74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74</v>
      </c>
    </row>
    <row r="155" spans="1:20" x14ac:dyDescent="0.3">
      <c r="A155" t="s">
        <v>38</v>
      </c>
      <c r="B155">
        <v>106</v>
      </c>
      <c r="C155" t="s">
        <v>73</v>
      </c>
      <c r="D155" t="s">
        <v>74</v>
      </c>
      <c r="E155" t="s">
        <v>74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74</v>
      </c>
    </row>
    <row r="156" spans="1:20" x14ac:dyDescent="0.3">
      <c r="A156" t="s">
        <v>48</v>
      </c>
      <c r="B156">
        <v>93</v>
      </c>
      <c r="C156" t="s">
        <v>71</v>
      </c>
      <c r="D156" t="s">
        <v>74</v>
      </c>
      <c r="E156" t="s">
        <v>74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74</v>
      </c>
    </row>
    <row r="157" spans="1:20" x14ac:dyDescent="0.3">
      <c r="A157" t="s">
        <v>41</v>
      </c>
      <c r="B157">
        <v>51</v>
      </c>
      <c r="C157" t="s">
        <v>73</v>
      </c>
      <c r="D157" t="s">
        <v>74</v>
      </c>
      <c r="E157" t="s">
        <v>74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74</v>
      </c>
    </row>
    <row r="158" spans="1:20" x14ac:dyDescent="0.3">
      <c r="A158" t="s">
        <v>34</v>
      </c>
      <c r="B158">
        <v>130</v>
      </c>
      <c r="C158" t="s">
        <v>71</v>
      </c>
      <c r="D158" t="s">
        <v>74</v>
      </c>
      <c r="E158" t="s">
        <v>74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74</v>
      </c>
    </row>
    <row r="159" spans="1:20" x14ac:dyDescent="0.3">
      <c r="A159" t="s">
        <v>70</v>
      </c>
      <c r="B159">
        <v>80</v>
      </c>
      <c r="C159" t="s">
        <v>73</v>
      </c>
      <c r="D159" t="s">
        <v>74</v>
      </c>
      <c r="E159" t="s">
        <v>74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74</v>
      </c>
    </row>
    <row r="160" spans="1:20" x14ac:dyDescent="0.3">
      <c r="A160" t="s">
        <v>57</v>
      </c>
      <c r="B160">
        <v>94</v>
      </c>
      <c r="C160" t="s">
        <v>71</v>
      </c>
      <c r="D160" t="s">
        <v>74</v>
      </c>
      <c r="E160" t="s">
        <v>74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74</v>
      </c>
    </row>
    <row r="161" spans="1:20" x14ac:dyDescent="0.3">
      <c r="A161" t="s">
        <v>44</v>
      </c>
      <c r="B161">
        <v>118</v>
      </c>
      <c r="C161" t="s">
        <v>73</v>
      </c>
      <c r="D161" t="s">
        <v>74</v>
      </c>
      <c r="E161" t="s">
        <v>75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74</v>
      </c>
    </row>
    <row r="162" spans="1:20" x14ac:dyDescent="0.3">
      <c r="A162" t="s">
        <v>49</v>
      </c>
      <c r="B162">
        <v>117</v>
      </c>
      <c r="C162" t="s">
        <v>71</v>
      </c>
      <c r="D162" t="s">
        <v>74</v>
      </c>
      <c r="E162" t="s">
        <v>75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74</v>
      </c>
    </row>
    <row r="163" spans="1:20" x14ac:dyDescent="0.3">
      <c r="A163" t="s">
        <v>69</v>
      </c>
      <c r="B163">
        <v>78</v>
      </c>
      <c r="C163" t="s">
        <v>71</v>
      </c>
      <c r="D163" t="s">
        <v>74</v>
      </c>
      <c r="E163" t="s">
        <v>74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74</v>
      </c>
    </row>
    <row r="164" spans="1:20" x14ac:dyDescent="0.3">
      <c r="A164" t="s">
        <v>34</v>
      </c>
      <c r="B164">
        <v>208</v>
      </c>
      <c r="C164" t="s">
        <v>72</v>
      </c>
      <c r="D164" t="s">
        <v>74</v>
      </c>
      <c r="E164" t="s">
        <v>74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75</v>
      </c>
    </row>
    <row r="165" spans="1:20" x14ac:dyDescent="0.3">
      <c r="A165" t="s">
        <v>59</v>
      </c>
      <c r="B165">
        <v>131</v>
      </c>
      <c r="C165" t="s">
        <v>72</v>
      </c>
      <c r="D165" t="s">
        <v>75</v>
      </c>
      <c r="E165" t="s">
        <v>75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75</v>
      </c>
    </row>
    <row r="166" spans="1:20" x14ac:dyDescent="0.3">
      <c r="A166" t="s">
        <v>63</v>
      </c>
      <c r="B166">
        <v>63</v>
      </c>
      <c r="C166" t="s">
        <v>73</v>
      </c>
      <c r="D166" t="s">
        <v>74</v>
      </c>
      <c r="E166" t="s">
        <v>74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74</v>
      </c>
    </row>
    <row r="167" spans="1:20" x14ac:dyDescent="0.3">
      <c r="A167" t="s">
        <v>32</v>
      </c>
      <c r="B167">
        <v>53</v>
      </c>
      <c r="C167" t="s">
        <v>71</v>
      </c>
      <c r="D167" t="s">
        <v>74</v>
      </c>
      <c r="E167" t="s">
        <v>75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74</v>
      </c>
    </row>
    <row r="168" spans="1:20" x14ac:dyDescent="0.3">
      <c r="A168" t="s">
        <v>45</v>
      </c>
      <c r="B168">
        <v>62</v>
      </c>
      <c r="C168" t="s">
        <v>73</v>
      </c>
      <c r="D168" t="s">
        <v>74</v>
      </c>
      <c r="E168" t="s">
        <v>74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74</v>
      </c>
    </row>
    <row r="169" spans="1:20" x14ac:dyDescent="0.3">
      <c r="A169" t="s">
        <v>49</v>
      </c>
      <c r="B169">
        <v>97</v>
      </c>
      <c r="C169" t="s">
        <v>71</v>
      </c>
      <c r="D169" t="s">
        <v>74</v>
      </c>
      <c r="E169" t="s">
        <v>74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74</v>
      </c>
    </row>
    <row r="170" spans="1:20" x14ac:dyDescent="0.3">
      <c r="A170" t="s">
        <v>40</v>
      </c>
      <c r="B170">
        <v>105</v>
      </c>
      <c r="C170" t="s">
        <v>72</v>
      </c>
      <c r="D170" t="s">
        <v>74</v>
      </c>
      <c r="E170" t="s">
        <v>74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74</v>
      </c>
    </row>
    <row r="171" spans="1:20" x14ac:dyDescent="0.3">
      <c r="A171" t="s">
        <v>41</v>
      </c>
      <c r="B171">
        <v>157</v>
      </c>
      <c r="C171" t="s">
        <v>71</v>
      </c>
      <c r="D171" t="s">
        <v>74</v>
      </c>
      <c r="E171" t="s">
        <v>74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74</v>
      </c>
    </row>
    <row r="172" spans="1:20" x14ac:dyDescent="0.3">
      <c r="A172" t="s">
        <v>37</v>
      </c>
      <c r="B172">
        <v>66</v>
      </c>
      <c r="C172" t="s">
        <v>71</v>
      </c>
      <c r="D172" t="s">
        <v>74</v>
      </c>
      <c r="E172" t="s">
        <v>75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74</v>
      </c>
    </row>
    <row r="173" spans="1:20" x14ac:dyDescent="0.3">
      <c r="A173" t="s">
        <v>51</v>
      </c>
      <c r="B173">
        <v>122</v>
      </c>
      <c r="C173" t="s">
        <v>71</v>
      </c>
      <c r="D173" t="s">
        <v>74</v>
      </c>
      <c r="E173" t="s">
        <v>74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74</v>
      </c>
    </row>
    <row r="174" spans="1:20" x14ac:dyDescent="0.3">
      <c r="A174" t="s">
        <v>58</v>
      </c>
      <c r="B174">
        <v>38</v>
      </c>
      <c r="C174" t="s">
        <v>71</v>
      </c>
      <c r="D174" t="s">
        <v>74</v>
      </c>
      <c r="E174" t="s">
        <v>74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74</v>
      </c>
    </row>
    <row r="175" spans="1:20" x14ac:dyDescent="0.3">
      <c r="A175" t="s">
        <v>49</v>
      </c>
      <c r="B175">
        <v>106</v>
      </c>
      <c r="C175" t="s">
        <v>72</v>
      </c>
      <c r="D175" t="s">
        <v>74</v>
      </c>
      <c r="E175" t="s">
        <v>74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74</v>
      </c>
    </row>
    <row r="176" spans="1:20" x14ac:dyDescent="0.3">
      <c r="A176" t="s">
        <v>55</v>
      </c>
      <c r="B176">
        <v>99</v>
      </c>
      <c r="C176" t="s">
        <v>72</v>
      </c>
      <c r="D176" t="s">
        <v>74</v>
      </c>
      <c r="E176" t="s">
        <v>74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74</v>
      </c>
    </row>
    <row r="177" spans="1:20" x14ac:dyDescent="0.3">
      <c r="A177" t="s">
        <v>26</v>
      </c>
      <c r="B177">
        <v>99</v>
      </c>
      <c r="C177" t="s">
        <v>71</v>
      </c>
      <c r="D177" t="s">
        <v>74</v>
      </c>
      <c r="E177" t="s">
        <v>74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74</v>
      </c>
    </row>
    <row r="178" spans="1:20" x14ac:dyDescent="0.3">
      <c r="A178" t="s">
        <v>48</v>
      </c>
      <c r="B178">
        <v>144</v>
      </c>
      <c r="C178" t="s">
        <v>72</v>
      </c>
      <c r="D178" t="s">
        <v>75</v>
      </c>
      <c r="E178" t="s">
        <v>74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74</v>
      </c>
    </row>
    <row r="179" spans="1:20" x14ac:dyDescent="0.3">
      <c r="A179" t="s">
        <v>26</v>
      </c>
      <c r="B179">
        <v>93</v>
      </c>
      <c r="C179" t="s">
        <v>71</v>
      </c>
      <c r="D179" t="s">
        <v>74</v>
      </c>
      <c r="E179" t="s">
        <v>74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74</v>
      </c>
    </row>
    <row r="180" spans="1:20" x14ac:dyDescent="0.3">
      <c r="A180" t="s">
        <v>39</v>
      </c>
      <c r="B180">
        <v>120</v>
      </c>
      <c r="C180" t="s">
        <v>71</v>
      </c>
      <c r="D180" t="s">
        <v>74</v>
      </c>
      <c r="E180" t="s">
        <v>74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74</v>
      </c>
    </row>
    <row r="181" spans="1:20" x14ac:dyDescent="0.3">
      <c r="A181" t="s">
        <v>21</v>
      </c>
      <c r="B181">
        <v>106</v>
      </c>
      <c r="C181" t="s">
        <v>71</v>
      </c>
      <c r="D181" t="s">
        <v>74</v>
      </c>
      <c r="E181" t="s">
        <v>74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74</v>
      </c>
    </row>
    <row r="182" spans="1:20" x14ac:dyDescent="0.3">
      <c r="A182" t="s">
        <v>41</v>
      </c>
      <c r="B182">
        <v>81</v>
      </c>
      <c r="C182" t="s">
        <v>71</v>
      </c>
      <c r="D182" t="s">
        <v>74</v>
      </c>
      <c r="E182" t="s">
        <v>74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74</v>
      </c>
    </row>
    <row r="183" spans="1:20" x14ac:dyDescent="0.3">
      <c r="A183" t="s">
        <v>69</v>
      </c>
      <c r="B183">
        <v>127</v>
      </c>
      <c r="C183" t="s">
        <v>73</v>
      </c>
      <c r="D183" t="s">
        <v>74</v>
      </c>
      <c r="E183" t="s">
        <v>75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74</v>
      </c>
    </row>
    <row r="184" spans="1:20" x14ac:dyDescent="0.3">
      <c r="A184" t="s">
        <v>53</v>
      </c>
      <c r="B184">
        <v>65</v>
      </c>
      <c r="C184" t="s">
        <v>71</v>
      </c>
      <c r="D184" t="s">
        <v>74</v>
      </c>
      <c r="E184" t="s">
        <v>74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74</v>
      </c>
    </row>
    <row r="185" spans="1:20" x14ac:dyDescent="0.3">
      <c r="A185" t="s">
        <v>59</v>
      </c>
      <c r="B185">
        <v>35</v>
      </c>
      <c r="C185" t="s">
        <v>73</v>
      </c>
      <c r="D185" t="s">
        <v>74</v>
      </c>
      <c r="E185" t="s">
        <v>74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74</v>
      </c>
    </row>
    <row r="186" spans="1:20" x14ac:dyDescent="0.3">
      <c r="A186" t="s">
        <v>44</v>
      </c>
      <c r="B186">
        <v>88</v>
      </c>
      <c r="C186" t="s">
        <v>73</v>
      </c>
      <c r="D186" t="s">
        <v>74</v>
      </c>
      <c r="E186" t="s">
        <v>74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74</v>
      </c>
    </row>
    <row r="187" spans="1:20" x14ac:dyDescent="0.3">
      <c r="A187" t="s">
        <v>51</v>
      </c>
      <c r="B187">
        <v>65</v>
      </c>
      <c r="C187" t="s">
        <v>71</v>
      </c>
      <c r="D187" t="s">
        <v>74</v>
      </c>
      <c r="E187" t="s">
        <v>74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74</v>
      </c>
    </row>
    <row r="188" spans="1:20" x14ac:dyDescent="0.3">
      <c r="A188" t="s">
        <v>37</v>
      </c>
      <c r="B188">
        <v>123</v>
      </c>
      <c r="C188" t="s">
        <v>71</v>
      </c>
      <c r="D188" t="s">
        <v>74</v>
      </c>
      <c r="E188" t="s">
        <v>74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74</v>
      </c>
    </row>
    <row r="189" spans="1:20" x14ac:dyDescent="0.3">
      <c r="A189" t="s">
        <v>22</v>
      </c>
      <c r="B189">
        <v>126</v>
      </c>
      <c r="C189" t="s">
        <v>73</v>
      </c>
      <c r="D189" t="s">
        <v>74</v>
      </c>
      <c r="E189" t="s">
        <v>75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74</v>
      </c>
    </row>
    <row r="190" spans="1:20" x14ac:dyDescent="0.3">
      <c r="A190" t="s">
        <v>70</v>
      </c>
      <c r="B190">
        <v>45</v>
      </c>
      <c r="C190" t="s">
        <v>71</v>
      </c>
      <c r="D190" t="s">
        <v>74</v>
      </c>
      <c r="E190" t="s">
        <v>75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74</v>
      </c>
    </row>
    <row r="191" spans="1:20" x14ac:dyDescent="0.3">
      <c r="A191" t="s">
        <v>49</v>
      </c>
      <c r="B191">
        <v>93</v>
      </c>
      <c r="C191" t="s">
        <v>73</v>
      </c>
      <c r="D191" t="s">
        <v>75</v>
      </c>
      <c r="E191" t="s">
        <v>74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75</v>
      </c>
    </row>
    <row r="192" spans="1:20" x14ac:dyDescent="0.3">
      <c r="A192" t="s">
        <v>61</v>
      </c>
      <c r="B192">
        <v>63</v>
      </c>
      <c r="C192" t="s">
        <v>71</v>
      </c>
      <c r="D192" t="s">
        <v>75</v>
      </c>
      <c r="E192" t="s">
        <v>75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74</v>
      </c>
    </row>
    <row r="193" spans="1:20" x14ac:dyDescent="0.3">
      <c r="A193" t="s">
        <v>44</v>
      </c>
      <c r="B193">
        <v>100</v>
      </c>
      <c r="C193" t="s">
        <v>71</v>
      </c>
      <c r="D193" t="s">
        <v>74</v>
      </c>
      <c r="E193" t="s">
        <v>74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74</v>
      </c>
    </row>
    <row r="194" spans="1:20" x14ac:dyDescent="0.3">
      <c r="A194" t="s">
        <v>68</v>
      </c>
      <c r="B194">
        <v>53</v>
      </c>
      <c r="C194" t="s">
        <v>71</v>
      </c>
      <c r="D194" t="s">
        <v>74</v>
      </c>
      <c r="E194" t="s">
        <v>74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74</v>
      </c>
    </row>
    <row r="195" spans="1:20" x14ac:dyDescent="0.3">
      <c r="A195" t="s">
        <v>29</v>
      </c>
      <c r="B195">
        <v>92</v>
      </c>
      <c r="C195" t="s">
        <v>71</v>
      </c>
      <c r="D195" t="s">
        <v>75</v>
      </c>
      <c r="E195" t="s">
        <v>74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74</v>
      </c>
    </row>
    <row r="196" spans="1:20" x14ac:dyDescent="0.3">
      <c r="A196" t="s">
        <v>32</v>
      </c>
      <c r="B196">
        <v>139</v>
      </c>
      <c r="C196" t="s">
        <v>72</v>
      </c>
      <c r="D196" t="s">
        <v>74</v>
      </c>
      <c r="E196" t="s">
        <v>74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75</v>
      </c>
    </row>
    <row r="197" spans="1:20" x14ac:dyDescent="0.3">
      <c r="A197" t="s">
        <v>56</v>
      </c>
      <c r="B197">
        <v>110</v>
      </c>
      <c r="C197" t="s">
        <v>73</v>
      </c>
      <c r="D197" t="s">
        <v>74</v>
      </c>
      <c r="E197" t="s">
        <v>75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74</v>
      </c>
    </row>
    <row r="198" spans="1:20" x14ac:dyDescent="0.3">
      <c r="A198" t="s">
        <v>25</v>
      </c>
      <c r="B198">
        <v>110</v>
      </c>
      <c r="C198" t="s">
        <v>73</v>
      </c>
      <c r="D198" t="s">
        <v>74</v>
      </c>
      <c r="E198" t="s">
        <v>74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74</v>
      </c>
    </row>
    <row r="199" spans="1:20" x14ac:dyDescent="0.3">
      <c r="A199" t="s">
        <v>30</v>
      </c>
      <c r="B199">
        <v>215</v>
      </c>
      <c r="C199" t="s">
        <v>72</v>
      </c>
      <c r="D199" t="s">
        <v>74</v>
      </c>
      <c r="E199" t="s">
        <v>74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74</v>
      </c>
    </row>
    <row r="200" spans="1:20" x14ac:dyDescent="0.3">
      <c r="A200" t="s">
        <v>28</v>
      </c>
      <c r="B200">
        <v>138</v>
      </c>
      <c r="C200" t="s">
        <v>72</v>
      </c>
      <c r="D200" t="s">
        <v>74</v>
      </c>
      <c r="E200" t="s">
        <v>74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74</v>
      </c>
    </row>
    <row r="201" spans="1:20" x14ac:dyDescent="0.3">
      <c r="A201" t="s">
        <v>68</v>
      </c>
      <c r="B201">
        <v>137</v>
      </c>
      <c r="C201" t="s">
        <v>71</v>
      </c>
      <c r="D201" t="s">
        <v>75</v>
      </c>
      <c r="E201" t="s">
        <v>74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75</v>
      </c>
    </row>
    <row r="202" spans="1:20" x14ac:dyDescent="0.3">
      <c r="A202" t="s">
        <v>65</v>
      </c>
      <c r="B202">
        <v>85</v>
      </c>
      <c r="C202" t="s">
        <v>73</v>
      </c>
      <c r="D202" t="s">
        <v>74</v>
      </c>
      <c r="E202" t="s">
        <v>74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74</v>
      </c>
    </row>
    <row r="203" spans="1:20" x14ac:dyDescent="0.3">
      <c r="A203" t="s">
        <v>43</v>
      </c>
      <c r="B203">
        <v>22</v>
      </c>
      <c r="C203" t="s">
        <v>73</v>
      </c>
      <c r="D203" t="s">
        <v>74</v>
      </c>
      <c r="E203" t="s">
        <v>74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74</v>
      </c>
    </row>
    <row r="204" spans="1:20" x14ac:dyDescent="0.3">
      <c r="A204" t="s">
        <v>55</v>
      </c>
      <c r="B204">
        <v>107</v>
      </c>
      <c r="C204" t="s">
        <v>71</v>
      </c>
      <c r="D204" t="s">
        <v>74</v>
      </c>
      <c r="E204" t="s">
        <v>75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74</v>
      </c>
    </row>
    <row r="205" spans="1:20" x14ac:dyDescent="0.3">
      <c r="A205" t="s">
        <v>51</v>
      </c>
      <c r="B205">
        <v>51</v>
      </c>
      <c r="C205" t="s">
        <v>72</v>
      </c>
      <c r="D205" t="s">
        <v>74</v>
      </c>
      <c r="E205" t="s">
        <v>74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74</v>
      </c>
    </row>
    <row r="206" spans="1:20" x14ac:dyDescent="0.3">
      <c r="A206" t="s">
        <v>48</v>
      </c>
      <c r="B206">
        <v>94</v>
      </c>
      <c r="C206" t="s">
        <v>73</v>
      </c>
      <c r="D206" t="s">
        <v>74</v>
      </c>
      <c r="E206" t="s">
        <v>74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74</v>
      </c>
    </row>
    <row r="207" spans="1:20" x14ac:dyDescent="0.3">
      <c r="A207" t="s">
        <v>58</v>
      </c>
      <c r="B207">
        <v>33</v>
      </c>
      <c r="C207" t="s">
        <v>71</v>
      </c>
      <c r="D207" t="s">
        <v>74</v>
      </c>
      <c r="E207" t="s">
        <v>75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75</v>
      </c>
    </row>
    <row r="208" spans="1:20" x14ac:dyDescent="0.3">
      <c r="A208" t="s">
        <v>28</v>
      </c>
      <c r="B208">
        <v>106</v>
      </c>
      <c r="C208" t="s">
        <v>71</v>
      </c>
      <c r="D208" t="s">
        <v>74</v>
      </c>
      <c r="E208" t="s">
        <v>74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74</v>
      </c>
    </row>
    <row r="209" spans="1:20" x14ac:dyDescent="0.3">
      <c r="A209" t="s">
        <v>40</v>
      </c>
      <c r="B209">
        <v>86</v>
      </c>
      <c r="C209" t="s">
        <v>72</v>
      </c>
      <c r="D209" t="s">
        <v>74</v>
      </c>
      <c r="E209" t="s">
        <v>75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74</v>
      </c>
    </row>
    <row r="210" spans="1:20" x14ac:dyDescent="0.3">
      <c r="A210" t="s">
        <v>34</v>
      </c>
      <c r="B210">
        <v>97</v>
      </c>
      <c r="C210" t="s">
        <v>71</v>
      </c>
      <c r="D210" t="s">
        <v>75</v>
      </c>
      <c r="E210" t="s">
        <v>74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74</v>
      </c>
    </row>
    <row r="211" spans="1:20" x14ac:dyDescent="0.3">
      <c r="A211" t="s">
        <v>39</v>
      </c>
      <c r="B211">
        <v>106</v>
      </c>
      <c r="C211" t="s">
        <v>73</v>
      </c>
      <c r="D211" t="s">
        <v>74</v>
      </c>
      <c r="E211" t="s">
        <v>75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74</v>
      </c>
    </row>
    <row r="212" spans="1:20" x14ac:dyDescent="0.3">
      <c r="A212" t="s">
        <v>63</v>
      </c>
      <c r="B212">
        <v>108</v>
      </c>
      <c r="C212" t="s">
        <v>72</v>
      </c>
      <c r="D212" t="s">
        <v>74</v>
      </c>
      <c r="E212" t="s">
        <v>74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74</v>
      </c>
    </row>
    <row r="213" spans="1:20" x14ac:dyDescent="0.3">
      <c r="A213" t="s">
        <v>34</v>
      </c>
      <c r="B213">
        <v>114</v>
      </c>
      <c r="C213" t="s">
        <v>71</v>
      </c>
      <c r="D213" t="s">
        <v>74</v>
      </c>
      <c r="E213" t="s">
        <v>74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74</v>
      </c>
    </row>
    <row r="214" spans="1:20" x14ac:dyDescent="0.3">
      <c r="A214" t="s">
        <v>20</v>
      </c>
      <c r="B214">
        <v>92</v>
      </c>
      <c r="C214" t="s">
        <v>73</v>
      </c>
      <c r="D214" t="s">
        <v>75</v>
      </c>
      <c r="E214" t="s">
        <v>74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75</v>
      </c>
    </row>
    <row r="215" spans="1:20" x14ac:dyDescent="0.3">
      <c r="A215" t="s">
        <v>42</v>
      </c>
      <c r="B215">
        <v>59</v>
      </c>
      <c r="C215" t="s">
        <v>72</v>
      </c>
      <c r="D215" t="s">
        <v>74</v>
      </c>
      <c r="E215" t="s">
        <v>74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74</v>
      </c>
    </row>
    <row r="216" spans="1:20" x14ac:dyDescent="0.3">
      <c r="A216" t="s">
        <v>32</v>
      </c>
      <c r="B216">
        <v>24</v>
      </c>
      <c r="C216" t="s">
        <v>72</v>
      </c>
      <c r="D216" t="s">
        <v>74</v>
      </c>
      <c r="E216" t="s">
        <v>75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74</v>
      </c>
    </row>
    <row r="217" spans="1:20" x14ac:dyDescent="0.3">
      <c r="A217" t="s">
        <v>25</v>
      </c>
      <c r="B217">
        <v>151</v>
      </c>
      <c r="C217" t="s">
        <v>73</v>
      </c>
      <c r="D217" t="s">
        <v>74</v>
      </c>
      <c r="E217" t="s">
        <v>74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74</v>
      </c>
    </row>
    <row r="218" spans="1:20" x14ac:dyDescent="0.3">
      <c r="A218" t="s">
        <v>52</v>
      </c>
      <c r="B218">
        <v>117</v>
      </c>
      <c r="C218" t="s">
        <v>71</v>
      </c>
      <c r="D218" t="s">
        <v>74</v>
      </c>
      <c r="E218" t="s">
        <v>74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74</v>
      </c>
    </row>
    <row r="219" spans="1:20" x14ac:dyDescent="0.3">
      <c r="A219" t="s">
        <v>43</v>
      </c>
      <c r="B219">
        <v>78</v>
      </c>
      <c r="C219" t="s">
        <v>72</v>
      </c>
      <c r="D219" t="s">
        <v>74</v>
      </c>
      <c r="E219" t="s">
        <v>74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74</v>
      </c>
    </row>
    <row r="220" spans="1:20" x14ac:dyDescent="0.3">
      <c r="A220" t="s">
        <v>66</v>
      </c>
      <c r="B220">
        <v>155</v>
      </c>
      <c r="C220" t="s">
        <v>73</v>
      </c>
      <c r="D220" t="s">
        <v>74</v>
      </c>
      <c r="E220" t="s">
        <v>74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74</v>
      </c>
    </row>
    <row r="221" spans="1:20" x14ac:dyDescent="0.3">
      <c r="A221" t="s">
        <v>65</v>
      </c>
      <c r="B221">
        <v>114</v>
      </c>
      <c r="C221" t="s">
        <v>72</v>
      </c>
      <c r="D221" t="s">
        <v>74</v>
      </c>
      <c r="E221" t="s">
        <v>75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74</v>
      </c>
    </row>
    <row r="222" spans="1:20" x14ac:dyDescent="0.3">
      <c r="A222" t="s">
        <v>55</v>
      </c>
      <c r="B222">
        <v>114</v>
      </c>
      <c r="C222" t="s">
        <v>72</v>
      </c>
      <c r="D222" t="s">
        <v>74</v>
      </c>
      <c r="E222" t="s">
        <v>75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74</v>
      </c>
    </row>
    <row r="223" spans="1:20" x14ac:dyDescent="0.3">
      <c r="A223" t="s">
        <v>46</v>
      </c>
      <c r="B223">
        <v>119</v>
      </c>
      <c r="C223" t="s">
        <v>73</v>
      </c>
      <c r="D223" t="s">
        <v>74</v>
      </c>
      <c r="E223" t="s">
        <v>74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74</v>
      </c>
    </row>
    <row r="224" spans="1:20" x14ac:dyDescent="0.3">
      <c r="A224" t="s">
        <v>36</v>
      </c>
      <c r="B224">
        <v>118</v>
      </c>
      <c r="C224" t="s">
        <v>73</v>
      </c>
      <c r="D224" t="s">
        <v>75</v>
      </c>
      <c r="E224" t="s">
        <v>74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74</v>
      </c>
    </row>
    <row r="225" spans="1:20" x14ac:dyDescent="0.3">
      <c r="A225" t="s">
        <v>47</v>
      </c>
      <c r="B225">
        <v>101</v>
      </c>
      <c r="C225" t="s">
        <v>71</v>
      </c>
      <c r="D225" t="s">
        <v>74</v>
      </c>
      <c r="E225" t="s">
        <v>74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74</v>
      </c>
    </row>
    <row r="226" spans="1:20" x14ac:dyDescent="0.3">
      <c r="A226" t="s">
        <v>44</v>
      </c>
      <c r="B226">
        <v>117</v>
      </c>
      <c r="C226" t="s">
        <v>71</v>
      </c>
      <c r="D226" t="s">
        <v>74</v>
      </c>
      <c r="E226" t="s">
        <v>74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74</v>
      </c>
    </row>
    <row r="227" spans="1:20" x14ac:dyDescent="0.3">
      <c r="A227" t="s">
        <v>21</v>
      </c>
      <c r="B227">
        <v>49</v>
      </c>
      <c r="C227" t="s">
        <v>71</v>
      </c>
      <c r="D227" t="s">
        <v>74</v>
      </c>
      <c r="E227" t="s">
        <v>75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74</v>
      </c>
    </row>
    <row r="228" spans="1:20" x14ac:dyDescent="0.3">
      <c r="A228" t="s">
        <v>30</v>
      </c>
      <c r="B228">
        <v>139</v>
      </c>
      <c r="C228" t="s">
        <v>71</v>
      </c>
      <c r="D228" t="s">
        <v>74</v>
      </c>
      <c r="E228" t="s">
        <v>74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74</v>
      </c>
    </row>
    <row r="229" spans="1:20" x14ac:dyDescent="0.3">
      <c r="A229" t="s">
        <v>47</v>
      </c>
      <c r="B229">
        <v>92</v>
      </c>
      <c r="C229" t="s">
        <v>73</v>
      </c>
      <c r="D229" t="s">
        <v>74</v>
      </c>
      <c r="E229" t="s">
        <v>75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74</v>
      </c>
    </row>
    <row r="230" spans="1:20" x14ac:dyDescent="0.3">
      <c r="A230" t="s">
        <v>67</v>
      </c>
      <c r="B230">
        <v>148</v>
      </c>
      <c r="C230" t="s">
        <v>72</v>
      </c>
      <c r="D230" t="s">
        <v>75</v>
      </c>
      <c r="E230" t="s">
        <v>74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74</v>
      </c>
    </row>
    <row r="231" spans="1:20" x14ac:dyDescent="0.3">
      <c r="A231" t="s">
        <v>56</v>
      </c>
      <c r="B231">
        <v>144</v>
      </c>
      <c r="C231" t="s">
        <v>73</v>
      </c>
      <c r="D231" t="s">
        <v>74</v>
      </c>
      <c r="E231" t="s">
        <v>75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75</v>
      </c>
    </row>
    <row r="232" spans="1:20" x14ac:dyDescent="0.3">
      <c r="A232" t="s">
        <v>21</v>
      </c>
      <c r="B232">
        <v>131</v>
      </c>
      <c r="C232" t="s">
        <v>71</v>
      </c>
      <c r="D232" t="s">
        <v>74</v>
      </c>
      <c r="E232" t="s">
        <v>75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74</v>
      </c>
    </row>
    <row r="233" spans="1:20" x14ac:dyDescent="0.3">
      <c r="A233" t="s">
        <v>23</v>
      </c>
      <c r="B233">
        <v>146</v>
      </c>
      <c r="C233" t="s">
        <v>72</v>
      </c>
      <c r="D233" t="s">
        <v>75</v>
      </c>
      <c r="E233" t="s">
        <v>74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74</v>
      </c>
    </row>
    <row r="234" spans="1:20" x14ac:dyDescent="0.3">
      <c r="A234" t="s">
        <v>57</v>
      </c>
      <c r="B234">
        <v>143</v>
      </c>
      <c r="C234" t="s">
        <v>71</v>
      </c>
      <c r="D234" t="s">
        <v>74</v>
      </c>
      <c r="E234" t="s">
        <v>74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74</v>
      </c>
    </row>
    <row r="235" spans="1:20" x14ac:dyDescent="0.3">
      <c r="A235" t="s">
        <v>32</v>
      </c>
      <c r="B235">
        <v>81</v>
      </c>
      <c r="C235" t="s">
        <v>71</v>
      </c>
      <c r="D235" t="s">
        <v>74</v>
      </c>
      <c r="E235" t="s">
        <v>74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74</v>
      </c>
    </row>
    <row r="236" spans="1:20" x14ac:dyDescent="0.3">
      <c r="A236" t="s">
        <v>35</v>
      </c>
      <c r="B236">
        <v>48</v>
      </c>
      <c r="C236" t="s">
        <v>71</v>
      </c>
      <c r="D236" t="s">
        <v>74</v>
      </c>
      <c r="E236" t="s">
        <v>75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74</v>
      </c>
    </row>
    <row r="237" spans="1:20" x14ac:dyDescent="0.3">
      <c r="A237" t="s">
        <v>56</v>
      </c>
      <c r="B237">
        <v>145</v>
      </c>
      <c r="C237" t="s">
        <v>73</v>
      </c>
      <c r="D237" t="s">
        <v>74</v>
      </c>
      <c r="E237" t="s">
        <v>75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74</v>
      </c>
    </row>
    <row r="238" spans="1:20" x14ac:dyDescent="0.3">
      <c r="A238" t="s">
        <v>40</v>
      </c>
      <c r="B238">
        <v>137</v>
      </c>
      <c r="C238" t="s">
        <v>72</v>
      </c>
      <c r="D238" t="s">
        <v>74</v>
      </c>
      <c r="E238" t="s">
        <v>74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74</v>
      </c>
    </row>
    <row r="239" spans="1:20" x14ac:dyDescent="0.3">
      <c r="A239" t="s">
        <v>20</v>
      </c>
      <c r="B239">
        <v>137</v>
      </c>
      <c r="C239" t="s">
        <v>73</v>
      </c>
      <c r="D239" t="s">
        <v>74</v>
      </c>
      <c r="E239" t="s">
        <v>74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74</v>
      </c>
    </row>
    <row r="240" spans="1:20" x14ac:dyDescent="0.3">
      <c r="A240" t="s">
        <v>21</v>
      </c>
      <c r="B240">
        <v>167</v>
      </c>
      <c r="C240" t="s">
        <v>72</v>
      </c>
      <c r="D240" t="s">
        <v>74</v>
      </c>
      <c r="E240" t="s">
        <v>74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74</v>
      </c>
    </row>
    <row r="241" spans="1:20" x14ac:dyDescent="0.3">
      <c r="A241" t="s">
        <v>44</v>
      </c>
      <c r="B241">
        <v>89</v>
      </c>
      <c r="C241" t="s">
        <v>72</v>
      </c>
      <c r="D241" t="s">
        <v>74</v>
      </c>
      <c r="E241" t="s">
        <v>74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75</v>
      </c>
    </row>
    <row r="242" spans="1:20" x14ac:dyDescent="0.3">
      <c r="A242" t="s">
        <v>54</v>
      </c>
      <c r="B242">
        <v>199</v>
      </c>
      <c r="C242" t="s">
        <v>71</v>
      </c>
      <c r="D242" t="s">
        <v>74</v>
      </c>
      <c r="E242" t="s">
        <v>75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74</v>
      </c>
    </row>
    <row r="243" spans="1:20" x14ac:dyDescent="0.3">
      <c r="A243" t="s">
        <v>24</v>
      </c>
      <c r="B243">
        <v>132</v>
      </c>
      <c r="C243" t="s">
        <v>72</v>
      </c>
      <c r="D243" t="s">
        <v>74</v>
      </c>
      <c r="E243" t="s">
        <v>74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74</v>
      </c>
    </row>
    <row r="244" spans="1:20" x14ac:dyDescent="0.3">
      <c r="A244" t="s">
        <v>31</v>
      </c>
      <c r="B244">
        <v>94</v>
      </c>
      <c r="C244" t="s">
        <v>72</v>
      </c>
      <c r="D244" t="s">
        <v>74</v>
      </c>
      <c r="E244" t="s">
        <v>74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74</v>
      </c>
    </row>
    <row r="245" spans="1:20" x14ac:dyDescent="0.3">
      <c r="A245" t="s">
        <v>31</v>
      </c>
      <c r="B245">
        <v>96</v>
      </c>
      <c r="C245" t="s">
        <v>72</v>
      </c>
      <c r="D245" t="s">
        <v>74</v>
      </c>
      <c r="E245" t="s">
        <v>75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74</v>
      </c>
    </row>
    <row r="246" spans="1:20" x14ac:dyDescent="0.3">
      <c r="A246" t="s">
        <v>51</v>
      </c>
      <c r="B246">
        <v>166</v>
      </c>
      <c r="C246" t="s">
        <v>72</v>
      </c>
      <c r="D246" t="s">
        <v>74</v>
      </c>
      <c r="E246" t="s">
        <v>74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74</v>
      </c>
    </row>
    <row r="247" spans="1:20" x14ac:dyDescent="0.3">
      <c r="A247" t="s">
        <v>63</v>
      </c>
      <c r="B247">
        <v>74</v>
      </c>
      <c r="C247" t="s">
        <v>71</v>
      </c>
      <c r="D247" t="s">
        <v>74</v>
      </c>
      <c r="E247" t="s">
        <v>74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74</v>
      </c>
    </row>
    <row r="248" spans="1:20" x14ac:dyDescent="0.3">
      <c r="A248" t="s">
        <v>62</v>
      </c>
      <c r="B248">
        <v>36</v>
      </c>
      <c r="C248" t="s">
        <v>71</v>
      </c>
      <c r="D248" t="s">
        <v>74</v>
      </c>
      <c r="E248" t="s">
        <v>74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74</v>
      </c>
    </row>
    <row r="249" spans="1:20" x14ac:dyDescent="0.3">
      <c r="A249" t="s">
        <v>59</v>
      </c>
      <c r="B249">
        <v>113</v>
      </c>
      <c r="C249" t="s">
        <v>71</v>
      </c>
      <c r="D249" t="s">
        <v>74</v>
      </c>
      <c r="E249" t="s">
        <v>74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74</v>
      </c>
    </row>
    <row r="250" spans="1:20" x14ac:dyDescent="0.3">
      <c r="A250" t="s">
        <v>49</v>
      </c>
      <c r="B250">
        <v>67</v>
      </c>
      <c r="C250" t="s">
        <v>71</v>
      </c>
      <c r="D250" t="s">
        <v>74</v>
      </c>
      <c r="E250" t="s">
        <v>74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74</v>
      </c>
    </row>
    <row r="251" spans="1:20" x14ac:dyDescent="0.3">
      <c r="A251" t="s">
        <v>39</v>
      </c>
      <c r="B251">
        <v>127</v>
      </c>
      <c r="C251" t="s">
        <v>71</v>
      </c>
      <c r="D251" t="s">
        <v>74</v>
      </c>
      <c r="E251" t="s">
        <v>74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75</v>
      </c>
    </row>
    <row r="252" spans="1:20" x14ac:dyDescent="0.3">
      <c r="A252" t="s">
        <v>22</v>
      </c>
      <c r="B252">
        <v>158</v>
      </c>
      <c r="C252" t="s">
        <v>71</v>
      </c>
      <c r="D252" t="s">
        <v>74</v>
      </c>
      <c r="E252" t="s">
        <v>74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74</v>
      </c>
    </row>
    <row r="253" spans="1:20" x14ac:dyDescent="0.3">
      <c r="A253" t="s">
        <v>48</v>
      </c>
      <c r="B253">
        <v>136</v>
      </c>
      <c r="C253" t="s">
        <v>72</v>
      </c>
      <c r="D253" t="s">
        <v>74</v>
      </c>
      <c r="E253" t="s">
        <v>74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74</v>
      </c>
    </row>
    <row r="254" spans="1:20" x14ac:dyDescent="0.3">
      <c r="A254" t="s">
        <v>37</v>
      </c>
      <c r="B254">
        <v>196</v>
      </c>
      <c r="C254" t="s">
        <v>71</v>
      </c>
      <c r="D254" t="s">
        <v>74</v>
      </c>
      <c r="E254" t="s">
        <v>74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74</v>
      </c>
    </row>
    <row r="255" spans="1:20" x14ac:dyDescent="0.3">
      <c r="A255" t="s">
        <v>23</v>
      </c>
      <c r="B255">
        <v>113</v>
      </c>
      <c r="C255" t="s">
        <v>71</v>
      </c>
      <c r="D255" t="s">
        <v>74</v>
      </c>
      <c r="E255" t="s">
        <v>74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75</v>
      </c>
    </row>
    <row r="256" spans="1:20" x14ac:dyDescent="0.3">
      <c r="A256" t="s">
        <v>51</v>
      </c>
      <c r="B256">
        <v>122</v>
      </c>
      <c r="C256" t="s">
        <v>73</v>
      </c>
      <c r="D256" t="s">
        <v>74</v>
      </c>
      <c r="E256" t="s">
        <v>74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75</v>
      </c>
    </row>
    <row r="257" spans="1:20" x14ac:dyDescent="0.3">
      <c r="A257" t="s">
        <v>55</v>
      </c>
      <c r="B257">
        <v>112</v>
      </c>
      <c r="C257" t="s">
        <v>72</v>
      </c>
      <c r="D257" t="s">
        <v>74</v>
      </c>
      <c r="E257" t="s">
        <v>74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74</v>
      </c>
    </row>
    <row r="258" spans="1:20" x14ac:dyDescent="0.3">
      <c r="A258" t="s">
        <v>56</v>
      </c>
      <c r="B258">
        <v>209</v>
      </c>
      <c r="C258" t="s">
        <v>71</v>
      </c>
      <c r="D258" t="s">
        <v>74</v>
      </c>
      <c r="E258" t="s">
        <v>74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74</v>
      </c>
    </row>
    <row r="259" spans="1:20" x14ac:dyDescent="0.3">
      <c r="A259" t="s">
        <v>32</v>
      </c>
      <c r="B259">
        <v>62</v>
      </c>
      <c r="C259" t="s">
        <v>71</v>
      </c>
      <c r="D259" t="s">
        <v>74</v>
      </c>
      <c r="E259" t="s">
        <v>74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75</v>
      </c>
    </row>
    <row r="260" spans="1:20" x14ac:dyDescent="0.3">
      <c r="A260" t="s">
        <v>34</v>
      </c>
      <c r="B260">
        <v>110</v>
      </c>
      <c r="C260" t="s">
        <v>71</v>
      </c>
      <c r="D260" t="s">
        <v>74</v>
      </c>
      <c r="E260" t="s">
        <v>75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74</v>
      </c>
    </row>
    <row r="261" spans="1:20" x14ac:dyDescent="0.3">
      <c r="A261" t="s">
        <v>50</v>
      </c>
      <c r="B261">
        <v>16</v>
      </c>
      <c r="C261" t="s">
        <v>72</v>
      </c>
      <c r="D261" t="s">
        <v>74</v>
      </c>
      <c r="E261" t="s">
        <v>74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74</v>
      </c>
    </row>
    <row r="262" spans="1:20" x14ac:dyDescent="0.3">
      <c r="A262" t="s">
        <v>36</v>
      </c>
      <c r="B262">
        <v>73</v>
      </c>
      <c r="C262" t="s">
        <v>73</v>
      </c>
      <c r="D262" t="s">
        <v>74</v>
      </c>
      <c r="E262" t="s">
        <v>74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74</v>
      </c>
    </row>
    <row r="263" spans="1:20" x14ac:dyDescent="0.3">
      <c r="A263" t="s">
        <v>29</v>
      </c>
      <c r="B263">
        <v>128</v>
      </c>
      <c r="C263" t="s">
        <v>73</v>
      </c>
      <c r="D263" t="s">
        <v>74</v>
      </c>
      <c r="E263" t="s">
        <v>74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74</v>
      </c>
    </row>
    <row r="264" spans="1:20" x14ac:dyDescent="0.3">
      <c r="A264" t="s">
        <v>36</v>
      </c>
      <c r="B264">
        <v>39</v>
      </c>
      <c r="C264" t="s">
        <v>73</v>
      </c>
      <c r="D264" t="s">
        <v>74</v>
      </c>
      <c r="E264" t="s">
        <v>74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74</v>
      </c>
    </row>
    <row r="265" spans="1:20" x14ac:dyDescent="0.3">
      <c r="A265" t="s">
        <v>27</v>
      </c>
      <c r="B265">
        <v>103</v>
      </c>
      <c r="C265" t="s">
        <v>71</v>
      </c>
      <c r="D265" t="s">
        <v>74</v>
      </c>
      <c r="E265" t="s">
        <v>75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74</v>
      </c>
    </row>
    <row r="266" spans="1:20" x14ac:dyDescent="0.3">
      <c r="A266" t="s">
        <v>55</v>
      </c>
      <c r="B266">
        <v>119</v>
      </c>
      <c r="C266" t="s">
        <v>71</v>
      </c>
      <c r="D266" t="s">
        <v>74</v>
      </c>
      <c r="E266" t="s">
        <v>75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74</v>
      </c>
    </row>
    <row r="267" spans="1:20" x14ac:dyDescent="0.3">
      <c r="A267" t="s">
        <v>36</v>
      </c>
      <c r="B267">
        <v>86</v>
      </c>
      <c r="C267" t="s">
        <v>72</v>
      </c>
      <c r="D267" t="s">
        <v>74</v>
      </c>
      <c r="E267" t="s">
        <v>74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74</v>
      </c>
    </row>
    <row r="268" spans="1:20" x14ac:dyDescent="0.3">
      <c r="A268" t="s">
        <v>30</v>
      </c>
      <c r="B268">
        <v>114</v>
      </c>
      <c r="C268" t="s">
        <v>71</v>
      </c>
      <c r="D268" t="s">
        <v>74</v>
      </c>
      <c r="E268" t="s">
        <v>75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74</v>
      </c>
    </row>
    <row r="269" spans="1:20" x14ac:dyDescent="0.3">
      <c r="A269" t="s">
        <v>50</v>
      </c>
      <c r="B269">
        <v>104</v>
      </c>
      <c r="C269" t="s">
        <v>73</v>
      </c>
      <c r="D269" t="s">
        <v>74</v>
      </c>
      <c r="E269" t="s">
        <v>74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74</v>
      </c>
    </row>
    <row r="270" spans="1:20" x14ac:dyDescent="0.3">
      <c r="A270" t="s">
        <v>58</v>
      </c>
      <c r="B270">
        <v>148</v>
      </c>
      <c r="C270" t="s">
        <v>71</v>
      </c>
      <c r="D270" t="s">
        <v>74</v>
      </c>
      <c r="E270" t="s">
        <v>74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74</v>
      </c>
    </row>
    <row r="271" spans="1:20" x14ac:dyDescent="0.3">
      <c r="A271" t="s">
        <v>50</v>
      </c>
      <c r="B271">
        <v>129</v>
      </c>
      <c r="C271" t="s">
        <v>73</v>
      </c>
      <c r="D271" t="s">
        <v>74</v>
      </c>
      <c r="E271" t="s">
        <v>74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74</v>
      </c>
    </row>
    <row r="272" spans="1:20" x14ac:dyDescent="0.3">
      <c r="A272" t="s">
        <v>59</v>
      </c>
      <c r="B272">
        <v>100</v>
      </c>
      <c r="C272" t="s">
        <v>72</v>
      </c>
      <c r="D272" t="s">
        <v>74</v>
      </c>
      <c r="E272" t="s">
        <v>75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74</v>
      </c>
    </row>
    <row r="273" spans="1:20" x14ac:dyDescent="0.3">
      <c r="A273" t="s">
        <v>21</v>
      </c>
      <c r="B273">
        <v>121</v>
      </c>
      <c r="C273" t="s">
        <v>73</v>
      </c>
      <c r="D273" t="s">
        <v>74</v>
      </c>
      <c r="E273" t="s">
        <v>75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74</v>
      </c>
    </row>
    <row r="274" spans="1:20" x14ac:dyDescent="0.3">
      <c r="A274" t="s">
        <v>27</v>
      </c>
      <c r="B274">
        <v>143</v>
      </c>
      <c r="C274" t="s">
        <v>73</v>
      </c>
      <c r="D274" t="s">
        <v>74</v>
      </c>
      <c r="E274" t="s">
        <v>75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74</v>
      </c>
    </row>
    <row r="275" spans="1:20" x14ac:dyDescent="0.3">
      <c r="A275" t="s">
        <v>22</v>
      </c>
      <c r="B275">
        <v>76</v>
      </c>
      <c r="C275" t="s">
        <v>72</v>
      </c>
      <c r="D275" t="s">
        <v>74</v>
      </c>
      <c r="E275" t="s">
        <v>74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74</v>
      </c>
    </row>
    <row r="276" spans="1:20" x14ac:dyDescent="0.3">
      <c r="A276" t="s">
        <v>48</v>
      </c>
      <c r="B276">
        <v>158</v>
      </c>
      <c r="C276" t="s">
        <v>72</v>
      </c>
      <c r="D276" t="s">
        <v>74</v>
      </c>
      <c r="E276" t="s">
        <v>74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74</v>
      </c>
    </row>
    <row r="277" spans="1:20" x14ac:dyDescent="0.3">
      <c r="A277" t="s">
        <v>39</v>
      </c>
      <c r="B277">
        <v>116</v>
      </c>
      <c r="C277" t="s">
        <v>72</v>
      </c>
      <c r="D277" t="s">
        <v>74</v>
      </c>
      <c r="E277" t="s">
        <v>74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74</v>
      </c>
    </row>
    <row r="278" spans="1:20" x14ac:dyDescent="0.3">
      <c r="A278" t="s">
        <v>57</v>
      </c>
      <c r="B278">
        <v>54</v>
      </c>
      <c r="C278" t="s">
        <v>71</v>
      </c>
      <c r="D278" t="s">
        <v>74</v>
      </c>
      <c r="E278" t="s">
        <v>74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75</v>
      </c>
    </row>
    <row r="279" spans="1:20" x14ac:dyDescent="0.3">
      <c r="A279" t="s">
        <v>21</v>
      </c>
      <c r="B279">
        <v>86</v>
      </c>
      <c r="C279" t="s">
        <v>71</v>
      </c>
      <c r="D279" t="s">
        <v>74</v>
      </c>
      <c r="E279" t="s">
        <v>74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75</v>
      </c>
    </row>
    <row r="280" spans="1:20" x14ac:dyDescent="0.3">
      <c r="A280" t="s">
        <v>45</v>
      </c>
      <c r="B280">
        <v>108</v>
      </c>
      <c r="C280" t="s">
        <v>72</v>
      </c>
      <c r="D280" t="s">
        <v>74</v>
      </c>
      <c r="E280" t="s">
        <v>74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74</v>
      </c>
    </row>
    <row r="281" spans="1:20" x14ac:dyDescent="0.3">
      <c r="A281" t="s">
        <v>70</v>
      </c>
      <c r="B281">
        <v>151</v>
      </c>
      <c r="C281" t="s">
        <v>73</v>
      </c>
      <c r="D281" t="s">
        <v>74</v>
      </c>
      <c r="E281" t="s">
        <v>75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74</v>
      </c>
    </row>
    <row r="282" spans="1:20" x14ac:dyDescent="0.3">
      <c r="A282" t="s">
        <v>43</v>
      </c>
      <c r="B282">
        <v>99</v>
      </c>
      <c r="C282" t="s">
        <v>72</v>
      </c>
      <c r="D282" t="s">
        <v>74</v>
      </c>
      <c r="E282" t="s">
        <v>74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74</v>
      </c>
    </row>
    <row r="283" spans="1:20" x14ac:dyDescent="0.3">
      <c r="A283" t="s">
        <v>41</v>
      </c>
      <c r="B283">
        <v>55</v>
      </c>
      <c r="C283" t="s">
        <v>71</v>
      </c>
      <c r="D283" t="s">
        <v>74</v>
      </c>
      <c r="E283" t="s">
        <v>74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74</v>
      </c>
    </row>
    <row r="284" spans="1:20" x14ac:dyDescent="0.3">
      <c r="A284" t="s">
        <v>35</v>
      </c>
      <c r="B284">
        <v>78</v>
      </c>
      <c r="C284" t="s">
        <v>73</v>
      </c>
      <c r="D284" t="s">
        <v>74</v>
      </c>
      <c r="E284" t="s">
        <v>74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74</v>
      </c>
    </row>
    <row r="285" spans="1:20" x14ac:dyDescent="0.3">
      <c r="A285" t="s">
        <v>27</v>
      </c>
      <c r="B285">
        <v>89</v>
      </c>
      <c r="C285" t="s">
        <v>71</v>
      </c>
      <c r="D285" t="s">
        <v>74</v>
      </c>
      <c r="E285" t="s">
        <v>74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75</v>
      </c>
    </row>
    <row r="286" spans="1:20" x14ac:dyDescent="0.3">
      <c r="A286" t="s">
        <v>25</v>
      </c>
      <c r="B286">
        <v>44</v>
      </c>
      <c r="C286" t="s">
        <v>71</v>
      </c>
      <c r="D286" t="s">
        <v>74</v>
      </c>
      <c r="E286" t="s">
        <v>75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74</v>
      </c>
    </row>
    <row r="287" spans="1:20" x14ac:dyDescent="0.3">
      <c r="A287" t="s">
        <v>51</v>
      </c>
      <c r="B287">
        <v>98</v>
      </c>
      <c r="C287" t="s">
        <v>73</v>
      </c>
      <c r="D287" t="s">
        <v>74</v>
      </c>
      <c r="E287" t="s">
        <v>75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74</v>
      </c>
    </row>
    <row r="288" spans="1:20" x14ac:dyDescent="0.3">
      <c r="A288" t="s">
        <v>43</v>
      </c>
      <c r="B288">
        <v>64</v>
      </c>
      <c r="C288" t="s">
        <v>72</v>
      </c>
      <c r="D288" t="s">
        <v>74</v>
      </c>
      <c r="E288" t="s">
        <v>75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74</v>
      </c>
    </row>
    <row r="289" spans="1:20" x14ac:dyDescent="0.3">
      <c r="A289" t="s">
        <v>50</v>
      </c>
      <c r="B289">
        <v>141</v>
      </c>
      <c r="C289" t="s">
        <v>71</v>
      </c>
      <c r="D289" t="s">
        <v>74</v>
      </c>
      <c r="E289" t="s">
        <v>74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74</v>
      </c>
    </row>
    <row r="290" spans="1:20" x14ac:dyDescent="0.3">
      <c r="A290" t="s">
        <v>31</v>
      </c>
      <c r="B290">
        <v>81</v>
      </c>
      <c r="C290" t="s">
        <v>71</v>
      </c>
      <c r="D290" t="s">
        <v>74</v>
      </c>
      <c r="E290" t="s">
        <v>75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74</v>
      </c>
    </row>
    <row r="291" spans="1:20" x14ac:dyDescent="0.3">
      <c r="A291" t="s">
        <v>23</v>
      </c>
      <c r="B291">
        <v>162</v>
      </c>
      <c r="C291" t="s">
        <v>72</v>
      </c>
      <c r="D291" t="s">
        <v>74</v>
      </c>
      <c r="E291" t="s">
        <v>74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74</v>
      </c>
    </row>
    <row r="292" spans="1:20" x14ac:dyDescent="0.3">
      <c r="A292" t="s">
        <v>48</v>
      </c>
      <c r="B292">
        <v>83</v>
      </c>
      <c r="C292" t="s">
        <v>71</v>
      </c>
      <c r="D292" t="s">
        <v>74</v>
      </c>
      <c r="E292" t="s">
        <v>75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74</v>
      </c>
    </row>
    <row r="293" spans="1:20" x14ac:dyDescent="0.3">
      <c r="A293" t="s">
        <v>35</v>
      </c>
      <c r="B293">
        <v>59</v>
      </c>
      <c r="C293" t="s">
        <v>72</v>
      </c>
      <c r="D293" t="s">
        <v>74</v>
      </c>
      <c r="E293" t="s">
        <v>74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74</v>
      </c>
    </row>
    <row r="294" spans="1:20" x14ac:dyDescent="0.3">
      <c r="A294" t="s">
        <v>62</v>
      </c>
      <c r="B294">
        <v>179</v>
      </c>
      <c r="C294" t="s">
        <v>71</v>
      </c>
      <c r="D294" t="s">
        <v>75</v>
      </c>
      <c r="E294" t="s">
        <v>75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74</v>
      </c>
    </row>
    <row r="295" spans="1:20" x14ac:dyDescent="0.3">
      <c r="A295" t="s">
        <v>62</v>
      </c>
      <c r="B295">
        <v>79</v>
      </c>
      <c r="C295" t="s">
        <v>73</v>
      </c>
      <c r="D295" t="s">
        <v>74</v>
      </c>
      <c r="E295" t="s">
        <v>74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74</v>
      </c>
    </row>
    <row r="296" spans="1:20" x14ac:dyDescent="0.3">
      <c r="A296" t="s">
        <v>35</v>
      </c>
      <c r="B296">
        <v>117</v>
      </c>
      <c r="C296" t="s">
        <v>71</v>
      </c>
      <c r="D296" t="s">
        <v>74</v>
      </c>
      <c r="E296" t="s">
        <v>74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74</v>
      </c>
    </row>
    <row r="297" spans="1:20" x14ac:dyDescent="0.3">
      <c r="A297" t="s">
        <v>53</v>
      </c>
      <c r="B297">
        <v>64</v>
      </c>
      <c r="C297" t="s">
        <v>73</v>
      </c>
      <c r="D297" t="s">
        <v>75</v>
      </c>
      <c r="E297" t="s">
        <v>74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75</v>
      </c>
    </row>
    <row r="298" spans="1:20" x14ac:dyDescent="0.3">
      <c r="A298" t="s">
        <v>52</v>
      </c>
      <c r="B298">
        <v>122</v>
      </c>
      <c r="C298" t="s">
        <v>73</v>
      </c>
      <c r="D298" t="s">
        <v>74</v>
      </c>
      <c r="E298" t="s">
        <v>75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74</v>
      </c>
    </row>
    <row r="299" spans="1:20" x14ac:dyDescent="0.3">
      <c r="A299" t="s">
        <v>43</v>
      </c>
      <c r="B299">
        <v>90</v>
      </c>
      <c r="C299" t="s">
        <v>73</v>
      </c>
      <c r="D299" t="s">
        <v>74</v>
      </c>
      <c r="E299" t="s">
        <v>75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74</v>
      </c>
    </row>
    <row r="300" spans="1:20" x14ac:dyDescent="0.3">
      <c r="A300" t="s">
        <v>33</v>
      </c>
      <c r="B300">
        <v>159</v>
      </c>
      <c r="C300" t="s">
        <v>73</v>
      </c>
      <c r="D300" t="s">
        <v>75</v>
      </c>
      <c r="E300" t="s">
        <v>74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75</v>
      </c>
    </row>
    <row r="301" spans="1:20" x14ac:dyDescent="0.3">
      <c r="A301" t="s">
        <v>45</v>
      </c>
      <c r="B301">
        <v>148</v>
      </c>
      <c r="C301" t="s">
        <v>71</v>
      </c>
      <c r="D301" t="s">
        <v>74</v>
      </c>
      <c r="E301" t="s">
        <v>74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74</v>
      </c>
    </row>
    <row r="302" spans="1:20" x14ac:dyDescent="0.3">
      <c r="A302" t="s">
        <v>61</v>
      </c>
      <c r="B302">
        <v>39</v>
      </c>
      <c r="C302" t="s">
        <v>71</v>
      </c>
      <c r="D302" t="s">
        <v>74</v>
      </c>
      <c r="E302" t="s">
        <v>75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74</v>
      </c>
    </row>
    <row r="303" spans="1:20" x14ac:dyDescent="0.3">
      <c r="A303" t="s">
        <v>53</v>
      </c>
      <c r="B303">
        <v>77</v>
      </c>
      <c r="C303" t="s">
        <v>73</v>
      </c>
      <c r="D303" t="s">
        <v>74</v>
      </c>
      <c r="E303" t="s">
        <v>74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74</v>
      </c>
    </row>
    <row r="304" spans="1:20" x14ac:dyDescent="0.3">
      <c r="A304" t="s">
        <v>44</v>
      </c>
      <c r="B304">
        <v>194</v>
      </c>
      <c r="C304" t="s">
        <v>73</v>
      </c>
      <c r="D304" t="s">
        <v>74</v>
      </c>
      <c r="E304" t="s">
        <v>74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74</v>
      </c>
    </row>
    <row r="305" spans="1:20" x14ac:dyDescent="0.3">
      <c r="A305" t="s">
        <v>66</v>
      </c>
      <c r="B305">
        <v>112</v>
      </c>
      <c r="C305" t="s">
        <v>71</v>
      </c>
      <c r="D305" t="s">
        <v>74</v>
      </c>
      <c r="E305" t="s">
        <v>74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74</v>
      </c>
    </row>
    <row r="306" spans="1:20" x14ac:dyDescent="0.3">
      <c r="A306" t="s">
        <v>49</v>
      </c>
      <c r="B306">
        <v>45</v>
      </c>
      <c r="C306" t="s">
        <v>71</v>
      </c>
      <c r="D306" t="s">
        <v>74</v>
      </c>
      <c r="E306" t="s">
        <v>74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74</v>
      </c>
    </row>
    <row r="307" spans="1:20" x14ac:dyDescent="0.3">
      <c r="A307" t="s">
        <v>20</v>
      </c>
      <c r="B307">
        <v>132</v>
      </c>
      <c r="C307" t="s">
        <v>71</v>
      </c>
      <c r="D307" t="s">
        <v>74</v>
      </c>
      <c r="E307" t="s">
        <v>74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74</v>
      </c>
    </row>
    <row r="308" spans="1:20" x14ac:dyDescent="0.3">
      <c r="A308" t="s">
        <v>66</v>
      </c>
      <c r="B308">
        <v>135</v>
      </c>
      <c r="C308" t="s">
        <v>71</v>
      </c>
      <c r="D308" t="s">
        <v>74</v>
      </c>
      <c r="E308" t="s">
        <v>74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74</v>
      </c>
    </row>
    <row r="309" spans="1:20" x14ac:dyDescent="0.3">
      <c r="A309" t="s">
        <v>52</v>
      </c>
      <c r="B309">
        <v>56</v>
      </c>
      <c r="C309" t="s">
        <v>73</v>
      </c>
      <c r="D309" t="s">
        <v>74</v>
      </c>
      <c r="E309" t="s">
        <v>74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74</v>
      </c>
    </row>
    <row r="310" spans="1:20" x14ac:dyDescent="0.3">
      <c r="A310" t="s">
        <v>60</v>
      </c>
      <c r="B310">
        <v>151</v>
      </c>
      <c r="C310" t="s">
        <v>71</v>
      </c>
      <c r="D310" t="s">
        <v>75</v>
      </c>
      <c r="E310" t="s">
        <v>74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75</v>
      </c>
    </row>
    <row r="311" spans="1:20" x14ac:dyDescent="0.3">
      <c r="A311" t="s">
        <v>38</v>
      </c>
      <c r="B311">
        <v>32</v>
      </c>
      <c r="C311" t="s">
        <v>71</v>
      </c>
      <c r="D311" t="s">
        <v>74</v>
      </c>
      <c r="E311" t="s">
        <v>74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74</v>
      </c>
    </row>
    <row r="312" spans="1:20" x14ac:dyDescent="0.3">
      <c r="A312" t="s">
        <v>56</v>
      </c>
      <c r="B312">
        <v>87</v>
      </c>
      <c r="C312" t="s">
        <v>71</v>
      </c>
      <c r="D312" t="s">
        <v>74</v>
      </c>
      <c r="E312" t="s">
        <v>75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74</v>
      </c>
    </row>
    <row r="313" spans="1:20" x14ac:dyDescent="0.3">
      <c r="A313" t="s">
        <v>63</v>
      </c>
      <c r="B313">
        <v>138</v>
      </c>
      <c r="C313" t="s">
        <v>71</v>
      </c>
      <c r="D313" t="s">
        <v>74</v>
      </c>
      <c r="E313" t="s">
        <v>74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74</v>
      </c>
    </row>
    <row r="314" spans="1:20" x14ac:dyDescent="0.3">
      <c r="A314" t="s">
        <v>64</v>
      </c>
      <c r="B314">
        <v>79</v>
      </c>
      <c r="C314" t="s">
        <v>73</v>
      </c>
      <c r="D314" t="s">
        <v>74</v>
      </c>
      <c r="E314" t="s">
        <v>74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74</v>
      </c>
    </row>
    <row r="315" spans="1:20" x14ac:dyDescent="0.3">
      <c r="A315" t="s">
        <v>37</v>
      </c>
      <c r="B315">
        <v>95</v>
      </c>
      <c r="C315" t="s">
        <v>71</v>
      </c>
      <c r="D315" t="s">
        <v>75</v>
      </c>
      <c r="E315" t="s">
        <v>74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75</v>
      </c>
    </row>
    <row r="316" spans="1:20" x14ac:dyDescent="0.3">
      <c r="A316" t="s">
        <v>20</v>
      </c>
      <c r="B316">
        <v>127</v>
      </c>
      <c r="C316" t="s">
        <v>71</v>
      </c>
      <c r="D316" t="s">
        <v>74</v>
      </c>
      <c r="E316" t="s">
        <v>74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74</v>
      </c>
    </row>
    <row r="317" spans="1:20" x14ac:dyDescent="0.3">
      <c r="A317" t="s">
        <v>56</v>
      </c>
      <c r="B317">
        <v>137</v>
      </c>
      <c r="C317" t="s">
        <v>72</v>
      </c>
      <c r="D317" t="s">
        <v>74</v>
      </c>
      <c r="E317" t="s">
        <v>74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74</v>
      </c>
    </row>
    <row r="318" spans="1:20" x14ac:dyDescent="0.3">
      <c r="A318" t="s">
        <v>44</v>
      </c>
      <c r="B318">
        <v>97</v>
      </c>
      <c r="C318" t="s">
        <v>71</v>
      </c>
      <c r="D318" t="s">
        <v>74</v>
      </c>
      <c r="E318" t="s">
        <v>74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74</v>
      </c>
    </row>
    <row r="319" spans="1:20" x14ac:dyDescent="0.3">
      <c r="A319" t="s">
        <v>58</v>
      </c>
      <c r="B319">
        <v>149</v>
      </c>
      <c r="C319" t="s">
        <v>71</v>
      </c>
      <c r="D319" t="s">
        <v>75</v>
      </c>
      <c r="E319" t="s">
        <v>74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74</v>
      </c>
    </row>
    <row r="320" spans="1:20" x14ac:dyDescent="0.3">
      <c r="A320" t="s">
        <v>51</v>
      </c>
      <c r="B320">
        <v>117</v>
      </c>
      <c r="C320" t="s">
        <v>71</v>
      </c>
      <c r="D320" t="s">
        <v>75</v>
      </c>
      <c r="E320" t="s">
        <v>75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74</v>
      </c>
    </row>
    <row r="321" spans="1:20" x14ac:dyDescent="0.3">
      <c r="A321" t="s">
        <v>61</v>
      </c>
      <c r="B321">
        <v>84</v>
      </c>
      <c r="C321" t="s">
        <v>73</v>
      </c>
      <c r="D321" t="s">
        <v>74</v>
      </c>
      <c r="E321" t="s">
        <v>74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74</v>
      </c>
    </row>
    <row r="322" spans="1:20" x14ac:dyDescent="0.3">
      <c r="A322" t="s">
        <v>20</v>
      </c>
      <c r="B322">
        <v>137</v>
      </c>
      <c r="C322" t="s">
        <v>71</v>
      </c>
      <c r="D322" t="s">
        <v>74</v>
      </c>
      <c r="E322" t="s">
        <v>74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74</v>
      </c>
    </row>
    <row r="323" spans="1:20" x14ac:dyDescent="0.3">
      <c r="A323" t="s">
        <v>46</v>
      </c>
      <c r="B323">
        <v>54</v>
      </c>
      <c r="C323" t="s">
        <v>72</v>
      </c>
      <c r="D323" t="s">
        <v>74</v>
      </c>
      <c r="E323" t="s">
        <v>74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74</v>
      </c>
    </row>
    <row r="324" spans="1:20" x14ac:dyDescent="0.3">
      <c r="A324" t="s">
        <v>31</v>
      </c>
      <c r="B324">
        <v>85</v>
      </c>
      <c r="C324" t="s">
        <v>71</v>
      </c>
      <c r="D324" t="s">
        <v>74</v>
      </c>
      <c r="E324" t="s">
        <v>74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74</v>
      </c>
    </row>
    <row r="325" spans="1:20" x14ac:dyDescent="0.3">
      <c r="A325" t="s">
        <v>65</v>
      </c>
      <c r="B325">
        <v>43</v>
      </c>
      <c r="C325" t="s">
        <v>71</v>
      </c>
      <c r="D325" t="s">
        <v>74</v>
      </c>
      <c r="E325" t="s">
        <v>74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74</v>
      </c>
    </row>
    <row r="326" spans="1:20" x14ac:dyDescent="0.3">
      <c r="A326" t="s">
        <v>36</v>
      </c>
      <c r="B326">
        <v>35</v>
      </c>
      <c r="C326" t="s">
        <v>71</v>
      </c>
      <c r="D326" t="s">
        <v>74</v>
      </c>
      <c r="E326" t="s">
        <v>74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74</v>
      </c>
    </row>
    <row r="327" spans="1:20" x14ac:dyDescent="0.3">
      <c r="A327" t="s">
        <v>49</v>
      </c>
      <c r="B327">
        <v>98</v>
      </c>
      <c r="C327" t="s">
        <v>71</v>
      </c>
      <c r="D327" t="s">
        <v>74</v>
      </c>
      <c r="E327" t="s">
        <v>74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74</v>
      </c>
    </row>
    <row r="328" spans="1:20" x14ac:dyDescent="0.3">
      <c r="A328" t="s">
        <v>47</v>
      </c>
      <c r="B328">
        <v>112</v>
      </c>
      <c r="C328" t="s">
        <v>72</v>
      </c>
      <c r="D328" t="s">
        <v>74</v>
      </c>
      <c r="E328" t="s">
        <v>74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74</v>
      </c>
    </row>
    <row r="329" spans="1:20" x14ac:dyDescent="0.3">
      <c r="A329" t="s">
        <v>31</v>
      </c>
      <c r="B329">
        <v>16</v>
      </c>
      <c r="C329" t="s">
        <v>72</v>
      </c>
      <c r="D329" t="s">
        <v>74</v>
      </c>
      <c r="E329" t="s">
        <v>74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75</v>
      </c>
    </row>
    <row r="330" spans="1:20" x14ac:dyDescent="0.3">
      <c r="A330" t="s">
        <v>69</v>
      </c>
      <c r="B330">
        <v>98</v>
      </c>
      <c r="C330" t="s">
        <v>71</v>
      </c>
      <c r="D330" t="s">
        <v>74</v>
      </c>
      <c r="E330" t="s">
        <v>75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74</v>
      </c>
    </row>
    <row r="331" spans="1:20" x14ac:dyDescent="0.3">
      <c r="A331" t="s">
        <v>25</v>
      </c>
      <c r="B331">
        <v>84</v>
      </c>
      <c r="C331" t="s">
        <v>72</v>
      </c>
      <c r="D331" t="s">
        <v>74</v>
      </c>
      <c r="E331" t="s">
        <v>74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74</v>
      </c>
    </row>
    <row r="332" spans="1:20" x14ac:dyDescent="0.3">
      <c r="A332" t="s">
        <v>63</v>
      </c>
      <c r="B332">
        <v>66</v>
      </c>
      <c r="C332" t="s">
        <v>71</v>
      </c>
      <c r="D332" t="s">
        <v>74</v>
      </c>
      <c r="E332" t="s">
        <v>74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75</v>
      </c>
    </row>
    <row r="333" spans="1:20" x14ac:dyDescent="0.3">
      <c r="A333" t="s">
        <v>29</v>
      </c>
      <c r="B333">
        <v>74</v>
      </c>
      <c r="C333" t="s">
        <v>71</v>
      </c>
      <c r="D333" t="s">
        <v>74</v>
      </c>
      <c r="E333" t="s">
        <v>74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74</v>
      </c>
    </row>
    <row r="334" spans="1:20" x14ac:dyDescent="0.3">
      <c r="A334" t="s">
        <v>42</v>
      </c>
      <c r="B334">
        <v>96</v>
      </c>
      <c r="C334" t="s">
        <v>73</v>
      </c>
      <c r="D334" t="s">
        <v>74</v>
      </c>
      <c r="E334" t="s">
        <v>75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74</v>
      </c>
    </row>
    <row r="335" spans="1:20" x14ac:dyDescent="0.3">
      <c r="A335" t="s">
        <v>70</v>
      </c>
      <c r="B335">
        <v>119</v>
      </c>
      <c r="C335" t="s">
        <v>72</v>
      </c>
      <c r="D335" t="s">
        <v>74</v>
      </c>
      <c r="E335" t="s">
        <v>74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74</v>
      </c>
    </row>
    <row r="336" spans="1:20" x14ac:dyDescent="0.3">
      <c r="A336" t="s">
        <v>31</v>
      </c>
      <c r="B336">
        <v>92</v>
      </c>
      <c r="C336" t="s">
        <v>71</v>
      </c>
      <c r="D336" t="s">
        <v>75</v>
      </c>
      <c r="E336" t="s">
        <v>74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74</v>
      </c>
    </row>
    <row r="337" spans="1:20" x14ac:dyDescent="0.3">
      <c r="A337" t="s">
        <v>25</v>
      </c>
      <c r="B337">
        <v>21</v>
      </c>
      <c r="C337" t="s">
        <v>71</v>
      </c>
      <c r="D337" t="s">
        <v>74</v>
      </c>
      <c r="E337" t="s">
        <v>74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74</v>
      </c>
    </row>
    <row r="338" spans="1:20" x14ac:dyDescent="0.3">
      <c r="A338" t="s">
        <v>45</v>
      </c>
      <c r="B338">
        <v>122</v>
      </c>
      <c r="C338" t="s">
        <v>72</v>
      </c>
      <c r="D338" t="s">
        <v>74</v>
      </c>
      <c r="E338" t="s">
        <v>74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75</v>
      </c>
    </row>
    <row r="339" spans="1:20" x14ac:dyDescent="0.3">
      <c r="A339" t="s">
        <v>55</v>
      </c>
      <c r="B339">
        <v>133</v>
      </c>
      <c r="C339" t="s">
        <v>72</v>
      </c>
      <c r="D339" t="s">
        <v>75</v>
      </c>
      <c r="E339" t="s">
        <v>74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74</v>
      </c>
    </row>
    <row r="340" spans="1:20" x14ac:dyDescent="0.3">
      <c r="A340" t="s">
        <v>34</v>
      </c>
      <c r="B340">
        <v>145</v>
      </c>
      <c r="C340" t="s">
        <v>71</v>
      </c>
      <c r="D340" t="s">
        <v>74</v>
      </c>
      <c r="E340" t="s">
        <v>74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74</v>
      </c>
    </row>
    <row r="341" spans="1:20" x14ac:dyDescent="0.3">
      <c r="A341" t="s">
        <v>58</v>
      </c>
      <c r="B341">
        <v>25</v>
      </c>
      <c r="C341" t="s">
        <v>73</v>
      </c>
      <c r="D341" t="s">
        <v>74</v>
      </c>
      <c r="E341" t="s">
        <v>74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74</v>
      </c>
    </row>
    <row r="342" spans="1:20" x14ac:dyDescent="0.3">
      <c r="A342" t="s">
        <v>68</v>
      </c>
      <c r="B342">
        <v>64</v>
      </c>
      <c r="C342" t="s">
        <v>71</v>
      </c>
      <c r="D342" t="s">
        <v>74</v>
      </c>
      <c r="E342" t="s">
        <v>74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74</v>
      </c>
    </row>
    <row r="343" spans="1:20" x14ac:dyDescent="0.3">
      <c r="A343" t="s">
        <v>24</v>
      </c>
      <c r="B343">
        <v>85</v>
      </c>
      <c r="C343" t="s">
        <v>71</v>
      </c>
      <c r="D343" t="s">
        <v>74</v>
      </c>
      <c r="E343" t="s">
        <v>74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74</v>
      </c>
    </row>
    <row r="344" spans="1:20" x14ac:dyDescent="0.3">
      <c r="A344" t="s">
        <v>58</v>
      </c>
      <c r="B344">
        <v>76</v>
      </c>
      <c r="C344" t="s">
        <v>71</v>
      </c>
      <c r="D344" t="s">
        <v>74</v>
      </c>
      <c r="E344" t="s">
        <v>74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74</v>
      </c>
    </row>
    <row r="345" spans="1:20" x14ac:dyDescent="0.3">
      <c r="A345" t="s">
        <v>45</v>
      </c>
      <c r="B345">
        <v>224</v>
      </c>
      <c r="C345" t="s">
        <v>72</v>
      </c>
      <c r="D345" t="s">
        <v>75</v>
      </c>
      <c r="E345" t="s">
        <v>74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75</v>
      </c>
    </row>
    <row r="346" spans="1:20" x14ac:dyDescent="0.3">
      <c r="A346" t="s">
        <v>48</v>
      </c>
      <c r="B346">
        <v>117</v>
      </c>
      <c r="C346" t="s">
        <v>73</v>
      </c>
      <c r="D346" t="s">
        <v>74</v>
      </c>
      <c r="E346" t="s">
        <v>74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74</v>
      </c>
    </row>
    <row r="347" spans="1:20" x14ac:dyDescent="0.3">
      <c r="A347" t="s">
        <v>56</v>
      </c>
      <c r="B347">
        <v>128</v>
      </c>
      <c r="C347" t="s">
        <v>73</v>
      </c>
      <c r="D347" t="s">
        <v>74</v>
      </c>
      <c r="E347" t="s">
        <v>75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74</v>
      </c>
    </row>
    <row r="348" spans="1:20" x14ac:dyDescent="0.3">
      <c r="A348" t="s">
        <v>68</v>
      </c>
      <c r="B348">
        <v>115</v>
      </c>
      <c r="C348" t="s">
        <v>71</v>
      </c>
      <c r="D348" t="s">
        <v>74</v>
      </c>
      <c r="E348" t="s">
        <v>74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74</v>
      </c>
    </row>
    <row r="349" spans="1:20" x14ac:dyDescent="0.3">
      <c r="A349" t="s">
        <v>52</v>
      </c>
      <c r="B349">
        <v>141</v>
      </c>
      <c r="C349" t="s">
        <v>71</v>
      </c>
      <c r="D349" t="s">
        <v>74</v>
      </c>
      <c r="E349" t="s">
        <v>75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74</v>
      </c>
    </row>
    <row r="350" spans="1:20" x14ac:dyDescent="0.3">
      <c r="A350" t="s">
        <v>32</v>
      </c>
      <c r="B350">
        <v>51</v>
      </c>
      <c r="C350" t="s">
        <v>72</v>
      </c>
      <c r="D350" t="s">
        <v>74</v>
      </c>
      <c r="E350" t="s">
        <v>74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74</v>
      </c>
    </row>
    <row r="351" spans="1:20" x14ac:dyDescent="0.3">
      <c r="A351" t="s">
        <v>28</v>
      </c>
      <c r="B351">
        <v>100</v>
      </c>
      <c r="C351" t="s">
        <v>71</v>
      </c>
      <c r="D351" t="s">
        <v>74</v>
      </c>
      <c r="E351" t="s">
        <v>74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74</v>
      </c>
    </row>
    <row r="352" spans="1:20" x14ac:dyDescent="0.3">
      <c r="A352" t="s">
        <v>51</v>
      </c>
      <c r="B352">
        <v>96</v>
      </c>
      <c r="C352" t="s">
        <v>71</v>
      </c>
      <c r="D352" t="s">
        <v>74</v>
      </c>
      <c r="E352" t="s">
        <v>75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74</v>
      </c>
    </row>
    <row r="353" spans="1:20" x14ac:dyDescent="0.3">
      <c r="A353" t="s">
        <v>63</v>
      </c>
      <c r="B353">
        <v>112</v>
      </c>
      <c r="C353" t="s">
        <v>71</v>
      </c>
      <c r="D353" t="s">
        <v>74</v>
      </c>
      <c r="E353" t="s">
        <v>75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74</v>
      </c>
    </row>
    <row r="354" spans="1:20" x14ac:dyDescent="0.3">
      <c r="A354" t="s">
        <v>36</v>
      </c>
      <c r="B354">
        <v>129</v>
      </c>
      <c r="C354" t="s">
        <v>72</v>
      </c>
      <c r="D354" t="s">
        <v>75</v>
      </c>
      <c r="E354" t="s">
        <v>74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74</v>
      </c>
    </row>
    <row r="355" spans="1:20" x14ac:dyDescent="0.3">
      <c r="A355" t="s">
        <v>59</v>
      </c>
      <c r="B355">
        <v>163</v>
      </c>
      <c r="C355" t="s">
        <v>71</v>
      </c>
      <c r="D355" t="s">
        <v>74</v>
      </c>
      <c r="E355" t="s">
        <v>74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74</v>
      </c>
    </row>
    <row r="356" spans="1:20" x14ac:dyDescent="0.3">
      <c r="A356" t="s">
        <v>46</v>
      </c>
      <c r="B356">
        <v>67</v>
      </c>
      <c r="C356" t="s">
        <v>71</v>
      </c>
      <c r="D356" t="s">
        <v>74</v>
      </c>
      <c r="E356" t="s">
        <v>75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74</v>
      </c>
    </row>
    <row r="357" spans="1:20" x14ac:dyDescent="0.3">
      <c r="A357" t="s">
        <v>48</v>
      </c>
      <c r="B357">
        <v>140</v>
      </c>
      <c r="C357" t="s">
        <v>73</v>
      </c>
      <c r="D357" t="s">
        <v>74</v>
      </c>
      <c r="E357" t="s">
        <v>74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74</v>
      </c>
    </row>
    <row r="358" spans="1:20" x14ac:dyDescent="0.3">
      <c r="A358" t="s">
        <v>58</v>
      </c>
      <c r="B358">
        <v>49</v>
      </c>
      <c r="C358" t="s">
        <v>72</v>
      </c>
      <c r="D358" t="s">
        <v>74</v>
      </c>
      <c r="E358" t="s">
        <v>74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74</v>
      </c>
    </row>
    <row r="359" spans="1:20" x14ac:dyDescent="0.3">
      <c r="A359" t="s">
        <v>20</v>
      </c>
      <c r="B359">
        <v>46</v>
      </c>
      <c r="C359" t="s">
        <v>72</v>
      </c>
      <c r="D359" t="s">
        <v>74</v>
      </c>
      <c r="E359" t="s">
        <v>74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75</v>
      </c>
    </row>
    <row r="360" spans="1:20" x14ac:dyDescent="0.3">
      <c r="A360" t="s">
        <v>24</v>
      </c>
      <c r="B360">
        <v>148</v>
      </c>
      <c r="C360" t="s">
        <v>71</v>
      </c>
      <c r="D360" t="s">
        <v>74</v>
      </c>
      <c r="E360" t="s">
        <v>74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74</v>
      </c>
    </row>
    <row r="361" spans="1:20" x14ac:dyDescent="0.3">
      <c r="A361" t="s">
        <v>40</v>
      </c>
      <c r="B361">
        <v>112</v>
      </c>
      <c r="C361" t="s">
        <v>72</v>
      </c>
      <c r="D361" t="s">
        <v>74</v>
      </c>
      <c r="E361" t="s">
        <v>74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74</v>
      </c>
    </row>
    <row r="362" spans="1:20" x14ac:dyDescent="0.3">
      <c r="A362" t="s">
        <v>43</v>
      </c>
      <c r="B362">
        <v>78</v>
      </c>
      <c r="C362" t="s">
        <v>71</v>
      </c>
      <c r="D362" t="s">
        <v>74</v>
      </c>
      <c r="E362" t="s">
        <v>74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74</v>
      </c>
    </row>
    <row r="363" spans="1:20" x14ac:dyDescent="0.3">
      <c r="A363" t="s">
        <v>47</v>
      </c>
      <c r="B363">
        <v>61</v>
      </c>
      <c r="C363" t="s">
        <v>73</v>
      </c>
      <c r="D363" t="s">
        <v>74</v>
      </c>
      <c r="E363" t="s">
        <v>75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74</v>
      </c>
    </row>
    <row r="364" spans="1:20" x14ac:dyDescent="0.3">
      <c r="A364" t="s">
        <v>57</v>
      </c>
      <c r="B364">
        <v>58</v>
      </c>
      <c r="C364" t="s">
        <v>72</v>
      </c>
      <c r="D364" t="s">
        <v>74</v>
      </c>
      <c r="E364" t="s">
        <v>75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74</v>
      </c>
    </row>
    <row r="365" spans="1:20" x14ac:dyDescent="0.3">
      <c r="A365" t="s">
        <v>61</v>
      </c>
      <c r="B365">
        <v>100</v>
      </c>
      <c r="C365" t="s">
        <v>72</v>
      </c>
      <c r="D365" t="s">
        <v>74</v>
      </c>
      <c r="E365" t="s">
        <v>74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75</v>
      </c>
    </row>
    <row r="366" spans="1:20" x14ac:dyDescent="0.3">
      <c r="A366" t="s">
        <v>30</v>
      </c>
      <c r="B366">
        <v>113</v>
      </c>
      <c r="C366" t="s">
        <v>72</v>
      </c>
      <c r="D366" t="s">
        <v>74</v>
      </c>
      <c r="E366" t="s">
        <v>74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74</v>
      </c>
    </row>
    <row r="367" spans="1:20" x14ac:dyDescent="0.3">
      <c r="A367" t="s">
        <v>40</v>
      </c>
      <c r="B367">
        <v>81</v>
      </c>
      <c r="C367" t="s">
        <v>71</v>
      </c>
      <c r="D367" t="s">
        <v>74</v>
      </c>
      <c r="E367" t="s">
        <v>74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74</v>
      </c>
    </row>
    <row r="368" spans="1:20" x14ac:dyDescent="0.3">
      <c r="A368" t="s">
        <v>62</v>
      </c>
      <c r="B368">
        <v>135</v>
      </c>
      <c r="C368" t="s">
        <v>72</v>
      </c>
      <c r="D368" t="s">
        <v>74</v>
      </c>
      <c r="E368" t="s">
        <v>75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74</v>
      </c>
    </row>
    <row r="369" spans="1:20" x14ac:dyDescent="0.3">
      <c r="A369" t="s">
        <v>39</v>
      </c>
      <c r="B369">
        <v>99</v>
      </c>
      <c r="C369" t="s">
        <v>73</v>
      </c>
      <c r="D369" t="s">
        <v>74</v>
      </c>
      <c r="E369" t="s">
        <v>74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74</v>
      </c>
    </row>
    <row r="370" spans="1:20" x14ac:dyDescent="0.3">
      <c r="A370" t="s">
        <v>37</v>
      </c>
      <c r="B370">
        <v>135</v>
      </c>
      <c r="C370" t="s">
        <v>72</v>
      </c>
      <c r="D370" t="s">
        <v>74</v>
      </c>
      <c r="E370" t="s">
        <v>74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74</v>
      </c>
    </row>
    <row r="371" spans="1:20" x14ac:dyDescent="0.3">
      <c r="A371" t="s">
        <v>31</v>
      </c>
      <c r="B371">
        <v>85</v>
      </c>
      <c r="C371" t="s">
        <v>73</v>
      </c>
      <c r="D371" t="s">
        <v>75</v>
      </c>
      <c r="E371" t="s">
        <v>74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74</v>
      </c>
    </row>
    <row r="372" spans="1:20" x14ac:dyDescent="0.3">
      <c r="A372" t="s">
        <v>34</v>
      </c>
      <c r="B372">
        <v>88</v>
      </c>
      <c r="C372" t="s">
        <v>72</v>
      </c>
      <c r="D372" t="s">
        <v>74</v>
      </c>
      <c r="E372" t="s">
        <v>74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74</v>
      </c>
    </row>
    <row r="373" spans="1:20" x14ac:dyDescent="0.3">
      <c r="A373" t="s">
        <v>52</v>
      </c>
      <c r="B373">
        <v>55</v>
      </c>
      <c r="C373" t="s">
        <v>72</v>
      </c>
      <c r="D373" t="s">
        <v>74</v>
      </c>
      <c r="E373" t="s">
        <v>74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74</v>
      </c>
    </row>
    <row r="374" spans="1:20" x14ac:dyDescent="0.3">
      <c r="A374" t="s">
        <v>29</v>
      </c>
      <c r="B374">
        <v>79</v>
      </c>
      <c r="C374" t="s">
        <v>72</v>
      </c>
      <c r="D374" t="s">
        <v>74</v>
      </c>
      <c r="E374" t="s">
        <v>75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74</v>
      </c>
    </row>
    <row r="375" spans="1:20" x14ac:dyDescent="0.3">
      <c r="A375" t="s">
        <v>21</v>
      </c>
      <c r="B375">
        <v>85</v>
      </c>
      <c r="C375" t="s">
        <v>73</v>
      </c>
      <c r="D375" t="s">
        <v>74</v>
      </c>
      <c r="E375" t="s">
        <v>74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74</v>
      </c>
    </row>
    <row r="376" spans="1:20" x14ac:dyDescent="0.3">
      <c r="A376" t="s">
        <v>20</v>
      </c>
      <c r="B376">
        <v>86</v>
      </c>
      <c r="C376" t="s">
        <v>73</v>
      </c>
      <c r="D376" t="s">
        <v>74</v>
      </c>
      <c r="E376" t="s">
        <v>75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74</v>
      </c>
    </row>
    <row r="377" spans="1:20" x14ac:dyDescent="0.3">
      <c r="A377" t="s">
        <v>56</v>
      </c>
      <c r="B377">
        <v>91</v>
      </c>
      <c r="C377" t="s">
        <v>72</v>
      </c>
      <c r="D377" t="s">
        <v>74</v>
      </c>
      <c r="E377" t="s">
        <v>74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74</v>
      </c>
    </row>
    <row r="378" spans="1:20" x14ac:dyDescent="0.3">
      <c r="A378" t="s">
        <v>26</v>
      </c>
      <c r="B378">
        <v>149</v>
      </c>
      <c r="C378" t="s">
        <v>71</v>
      </c>
      <c r="D378" t="s">
        <v>74</v>
      </c>
      <c r="E378" t="s">
        <v>75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74</v>
      </c>
    </row>
    <row r="379" spans="1:20" x14ac:dyDescent="0.3">
      <c r="A379" t="s">
        <v>61</v>
      </c>
      <c r="B379">
        <v>97</v>
      </c>
      <c r="C379" t="s">
        <v>73</v>
      </c>
      <c r="D379" t="s">
        <v>74</v>
      </c>
      <c r="E379" t="s">
        <v>74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75</v>
      </c>
    </row>
    <row r="380" spans="1:20" x14ac:dyDescent="0.3">
      <c r="A380" t="s">
        <v>36</v>
      </c>
      <c r="B380">
        <v>88</v>
      </c>
      <c r="C380" t="s">
        <v>71</v>
      </c>
      <c r="D380" t="s">
        <v>74</v>
      </c>
      <c r="E380" t="s">
        <v>74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75</v>
      </c>
    </row>
    <row r="381" spans="1:20" x14ac:dyDescent="0.3">
      <c r="A381" t="s">
        <v>48</v>
      </c>
      <c r="B381">
        <v>60</v>
      </c>
      <c r="C381" t="s">
        <v>71</v>
      </c>
      <c r="D381" t="s">
        <v>74</v>
      </c>
      <c r="E381" t="s">
        <v>74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74</v>
      </c>
    </row>
    <row r="382" spans="1:20" x14ac:dyDescent="0.3">
      <c r="A382" t="s">
        <v>70</v>
      </c>
      <c r="B382">
        <v>54</v>
      </c>
      <c r="C382" t="s">
        <v>73</v>
      </c>
      <c r="D382" t="s">
        <v>74</v>
      </c>
      <c r="E382" t="s">
        <v>74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74</v>
      </c>
    </row>
    <row r="383" spans="1:20" x14ac:dyDescent="0.3">
      <c r="A383" t="s">
        <v>41</v>
      </c>
      <c r="B383">
        <v>109</v>
      </c>
      <c r="C383" t="s">
        <v>71</v>
      </c>
      <c r="D383" t="s">
        <v>74</v>
      </c>
      <c r="E383" t="s">
        <v>74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74</v>
      </c>
    </row>
    <row r="384" spans="1:20" x14ac:dyDescent="0.3">
      <c r="A384" t="s">
        <v>42</v>
      </c>
      <c r="B384">
        <v>90</v>
      </c>
      <c r="C384" t="s">
        <v>71</v>
      </c>
      <c r="D384" t="s">
        <v>74</v>
      </c>
      <c r="E384" t="s">
        <v>74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74</v>
      </c>
    </row>
    <row r="385" spans="1:20" x14ac:dyDescent="0.3">
      <c r="A385" t="s">
        <v>55</v>
      </c>
      <c r="B385">
        <v>115</v>
      </c>
      <c r="C385" t="s">
        <v>73</v>
      </c>
      <c r="D385" t="s">
        <v>74</v>
      </c>
      <c r="E385" t="s">
        <v>74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74</v>
      </c>
    </row>
    <row r="386" spans="1:20" x14ac:dyDescent="0.3">
      <c r="A386" t="s">
        <v>61</v>
      </c>
      <c r="B386">
        <v>144</v>
      </c>
      <c r="C386" t="s">
        <v>71</v>
      </c>
      <c r="D386" t="s">
        <v>74</v>
      </c>
      <c r="E386" t="s">
        <v>75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74</v>
      </c>
    </row>
    <row r="387" spans="1:20" x14ac:dyDescent="0.3">
      <c r="A387" t="s">
        <v>68</v>
      </c>
      <c r="B387">
        <v>91</v>
      </c>
      <c r="C387" t="s">
        <v>73</v>
      </c>
      <c r="D387" t="s">
        <v>74</v>
      </c>
      <c r="E387" t="s">
        <v>74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74</v>
      </c>
    </row>
    <row r="388" spans="1:20" x14ac:dyDescent="0.3">
      <c r="A388" t="s">
        <v>68</v>
      </c>
      <c r="B388">
        <v>71</v>
      </c>
      <c r="C388" t="s">
        <v>71</v>
      </c>
      <c r="D388" t="s">
        <v>75</v>
      </c>
      <c r="E388" t="s">
        <v>74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75</v>
      </c>
    </row>
    <row r="389" spans="1:20" x14ac:dyDescent="0.3">
      <c r="A389" t="s">
        <v>39</v>
      </c>
      <c r="B389">
        <v>132</v>
      </c>
      <c r="C389" t="s">
        <v>72</v>
      </c>
      <c r="D389" t="s">
        <v>74</v>
      </c>
      <c r="E389" t="s">
        <v>75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75</v>
      </c>
    </row>
    <row r="390" spans="1:20" x14ac:dyDescent="0.3">
      <c r="A390" t="s">
        <v>21</v>
      </c>
      <c r="B390">
        <v>41</v>
      </c>
      <c r="C390" t="s">
        <v>72</v>
      </c>
      <c r="D390" t="s">
        <v>74</v>
      </c>
      <c r="E390" t="s">
        <v>75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74</v>
      </c>
    </row>
    <row r="391" spans="1:20" x14ac:dyDescent="0.3">
      <c r="A391" t="s">
        <v>24</v>
      </c>
      <c r="B391">
        <v>44</v>
      </c>
      <c r="C391" t="s">
        <v>71</v>
      </c>
      <c r="D391" t="s">
        <v>74</v>
      </c>
      <c r="E391" t="s">
        <v>74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74</v>
      </c>
    </row>
    <row r="392" spans="1:20" x14ac:dyDescent="0.3">
      <c r="A392" t="s">
        <v>68</v>
      </c>
      <c r="B392">
        <v>78</v>
      </c>
      <c r="C392" t="s">
        <v>73</v>
      </c>
      <c r="D392" t="s">
        <v>74</v>
      </c>
      <c r="E392" t="s">
        <v>74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74</v>
      </c>
    </row>
    <row r="393" spans="1:20" x14ac:dyDescent="0.3">
      <c r="A393" t="s">
        <v>25</v>
      </c>
      <c r="B393">
        <v>149</v>
      </c>
      <c r="C393" t="s">
        <v>73</v>
      </c>
      <c r="D393" t="s">
        <v>74</v>
      </c>
      <c r="E393" t="s">
        <v>74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74</v>
      </c>
    </row>
    <row r="394" spans="1:20" x14ac:dyDescent="0.3">
      <c r="A394" t="s">
        <v>65</v>
      </c>
      <c r="B394">
        <v>72</v>
      </c>
      <c r="C394" t="s">
        <v>72</v>
      </c>
      <c r="D394" t="s">
        <v>74</v>
      </c>
      <c r="E394" t="s">
        <v>75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75</v>
      </c>
    </row>
    <row r="395" spans="1:20" x14ac:dyDescent="0.3">
      <c r="A395" t="s">
        <v>40</v>
      </c>
      <c r="B395">
        <v>139</v>
      </c>
      <c r="C395" t="s">
        <v>71</v>
      </c>
      <c r="D395" t="s">
        <v>74</v>
      </c>
      <c r="E395" t="s">
        <v>75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74</v>
      </c>
    </row>
    <row r="396" spans="1:20" x14ac:dyDescent="0.3">
      <c r="A396" t="s">
        <v>27</v>
      </c>
      <c r="B396">
        <v>141</v>
      </c>
      <c r="C396" t="s">
        <v>72</v>
      </c>
      <c r="D396" t="s">
        <v>74</v>
      </c>
      <c r="E396" t="s">
        <v>75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74</v>
      </c>
    </row>
    <row r="397" spans="1:20" x14ac:dyDescent="0.3">
      <c r="A397" t="s">
        <v>48</v>
      </c>
      <c r="B397">
        <v>140</v>
      </c>
      <c r="C397" t="s">
        <v>73</v>
      </c>
      <c r="D397" t="s">
        <v>74</v>
      </c>
      <c r="E397" t="s">
        <v>74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74</v>
      </c>
    </row>
    <row r="398" spans="1:20" x14ac:dyDescent="0.3">
      <c r="A398" t="s">
        <v>29</v>
      </c>
      <c r="B398">
        <v>99</v>
      </c>
      <c r="C398" t="s">
        <v>73</v>
      </c>
      <c r="D398" t="s">
        <v>74</v>
      </c>
      <c r="E398" t="s">
        <v>74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74</v>
      </c>
    </row>
    <row r="399" spans="1:20" x14ac:dyDescent="0.3">
      <c r="A399" t="s">
        <v>67</v>
      </c>
      <c r="B399">
        <v>166</v>
      </c>
      <c r="C399" t="s">
        <v>73</v>
      </c>
      <c r="D399" t="s">
        <v>74</v>
      </c>
      <c r="E399" t="s">
        <v>74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74</v>
      </c>
    </row>
    <row r="400" spans="1:20" x14ac:dyDescent="0.3">
      <c r="A400" t="s">
        <v>68</v>
      </c>
      <c r="B400">
        <v>124</v>
      </c>
      <c r="C400" t="s">
        <v>73</v>
      </c>
      <c r="D400" t="s">
        <v>74</v>
      </c>
      <c r="E400" t="s">
        <v>74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74</v>
      </c>
    </row>
    <row r="401" spans="1:20" x14ac:dyDescent="0.3">
      <c r="A401" t="s">
        <v>49</v>
      </c>
      <c r="B401">
        <v>74</v>
      </c>
      <c r="C401" t="s">
        <v>71</v>
      </c>
      <c r="D401" t="s">
        <v>74</v>
      </c>
      <c r="E401" t="s">
        <v>74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74</v>
      </c>
    </row>
    <row r="402" spans="1:20" x14ac:dyDescent="0.3">
      <c r="A402" t="s">
        <v>27</v>
      </c>
      <c r="B402">
        <v>117</v>
      </c>
      <c r="C402" t="s">
        <v>72</v>
      </c>
      <c r="D402" t="s">
        <v>74</v>
      </c>
      <c r="E402" t="s">
        <v>74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74</v>
      </c>
    </row>
    <row r="403" spans="1:20" x14ac:dyDescent="0.3">
      <c r="A403" t="s">
        <v>27</v>
      </c>
      <c r="B403">
        <v>85</v>
      </c>
      <c r="C403" t="s">
        <v>72</v>
      </c>
      <c r="D403" t="s">
        <v>74</v>
      </c>
      <c r="E403" t="s">
        <v>74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74</v>
      </c>
    </row>
    <row r="404" spans="1:20" x14ac:dyDescent="0.3">
      <c r="A404" t="s">
        <v>42</v>
      </c>
      <c r="B404">
        <v>36</v>
      </c>
      <c r="C404" t="s">
        <v>71</v>
      </c>
      <c r="D404" t="s">
        <v>74</v>
      </c>
      <c r="E404" t="s">
        <v>75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74</v>
      </c>
    </row>
    <row r="405" spans="1:20" x14ac:dyDescent="0.3">
      <c r="A405" t="s">
        <v>36</v>
      </c>
      <c r="B405">
        <v>102</v>
      </c>
      <c r="C405" t="s">
        <v>72</v>
      </c>
      <c r="D405" t="s">
        <v>75</v>
      </c>
      <c r="E405" t="s">
        <v>74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74</v>
      </c>
    </row>
    <row r="406" spans="1:20" x14ac:dyDescent="0.3">
      <c r="A406" t="s">
        <v>51</v>
      </c>
      <c r="B406">
        <v>76</v>
      </c>
      <c r="C406" t="s">
        <v>71</v>
      </c>
      <c r="D406" t="s">
        <v>74</v>
      </c>
      <c r="E406" t="s">
        <v>74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74</v>
      </c>
    </row>
    <row r="407" spans="1:20" x14ac:dyDescent="0.3">
      <c r="A407" t="s">
        <v>23</v>
      </c>
      <c r="B407">
        <v>165</v>
      </c>
      <c r="C407" t="s">
        <v>72</v>
      </c>
      <c r="D407" t="s">
        <v>74</v>
      </c>
      <c r="E407" t="s">
        <v>74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74</v>
      </c>
    </row>
    <row r="408" spans="1:20" x14ac:dyDescent="0.3">
      <c r="A408" t="s">
        <v>22</v>
      </c>
      <c r="B408">
        <v>130</v>
      </c>
      <c r="C408" t="s">
        <v>71</v>
      </c>
      <c r="D408" t="s">
        <v>74</v>
      </c>
      <c r="E408" t="s">
        <v>74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74</v>
      </c>
    </row>
    <row r="409" spans="1:20" x14ac:dyDescent="0.3">
      <c r="A409" t="s">
        <v>21</v>
      </c>
      <c r="B409">
        <v>55</v>
      </c>
      <c r="C409" t="s">
        <v>71</v>
      </c>
      <c r="D409" t="s">
        <v>75</v>
      </c>
      <c r="E409" t="s">
        <v>74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75</v>
      </c>
    </row>
    <row r="410" spans="1:20" x14ac:dyDescent="0.3">
      <c r="A410" t="s">
        <v>59</v>
      </c>
      <c r="B410">
        <v>92</v>
      </c>
      <c r="C410" t="s">
        <v>71</v>
      </c>
      <c r="D410" t="s">
        <v>75</v>
      </c>
      <c r="E410" t="s">
        <v>74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75</v>
      </c>
    </row>
    <row r="411" spans="1:20" x14ac:dyDescent="0.3">
      <c r="A411" t="s">
        <v>55</v>
      </c>
      <c r="B411">
        <v>129</v>
      </c>
      <c r="C411" t="s">
        <v>71</v>
      </c>
      <c r="D411" t="s">
        <v>74</v>
      </c>
      <c r="E411" t="s">
        <v>75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74</v>
      </c>
    </row>
    <row r="412" spans="1:20" x14ac:dyDescent="0.3">
      <c r="A412" t="s">
        <v>49</v>
      </c>
      <c r="B412">
        <v>18</v>
      </c>
      <c r="C412" t="s">
        <v>73</v>
      </c>
      <c r="D412" t="s">
        <v>74</v>
      </c>
      <c r="E412" t="s">
        <v>74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74</v>
      </c>
    </row>
    <row r="413" spans="1:20" x14ac:dyDescent="0.3">
      <c r="A413" t="s">
        <v>39</v>
      </c>
      <c r="B413">
        <v>161</v>
      </c>
      <c r="C413" t="s">
        <v>71</v>
      </c>
      <c r="D413" t="s">
        <v>75</v>
      </c>
      <c r="E413" t="s">
        <v>74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74</v>
      </c>
    </row>
    <row r="414" spans="1:20" x14ac:dyDescent="0.3">
      <c r="A414" t="s">
        <v>59</v>
      </c>
      <c r="B414">
        <v>75</v>
      </c>
      <c r="C414" t="s">
        <v>73</v>
      </c>
      <c r="D414" t="s">
        <v>75</v>
      </c>
      <c r="E414" t="s">
        <v>74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75</v>
      </c>
    </row>
    <row r="415" spans="1:20" x14ac:dyDescent="0.3">
      <c r="A415" t="s">
        <v>56</v>
      </c>
      <c r="B415">
        <v>126</v>
      </c>
      <c r="C415" t="s">
        <v>71</v>
      </c>
      <c r="D415" t="s">
        <v>74</v>
      </c>
      <c r="E415" t="s">
        <v>75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74</v>
      </c>
    </row>
    <row r="416" spans="1:20" x14ac:dyDescent="0.3">
      <c r="A416" t="s">
        <v>40</v>
      </c>
      <c r="B416">
        <v>93</v>
      </c>
      <c r="C416" t="s">
        <v>71</v>
      </c>
      <c r="D416" t="s">
        <v>75</v>
      </c>
      <c r="E416" t="s">
        <v>74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75</v>
      </c>
    </row>
    <row r="417" spans="1:20" x14ac:dyDescent="0.3">
      <c r="A417" t="s">
        <v>40</v>
      </c>
      <c r="B417">
        <v>109</v>
      </c>
      <c r="C417" t="s">
        <v>71</v>
      </c>
      <c r="D417" t="s">
        <v>75</v>
      </c>
      <c r="E417" t="s">
        <v>75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74</v>
      </c>
    </row>
    <row r="418" spans="1:20" x14ac:dyDescent="0.3">
      <c r="A418" t="s">
        <v>52</v>
      </c>
      <c r="B418">
        <v>80</v>
      </c>
      <c r="C418" t="s">
        <v>72</v>
      </c>
      <c r="D418" t="s">
        <v>74</v>
      </c>
      <c r="E418" t="s">
        <v>74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74</v>
      </c>
    </row>
    <row r="419" spans="1:20" x14ac:dyDescent="0.3">
      <c r="A419" t="s">
        <v>35</v>
      </c>
      <c r="B419">
        <v>41</v>
      </c>
      <c r="C419" t="s">
        <v>71</v>
      </c>
      <c r="D419" t="s">
        <v>74</v>
      </c>
      <c r="E419" t="s">
        <v>74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74</v>
      </c>
    </row>
    <row r="420" spans="1:20" x14ac:dyDescent="0.3">
      <c r="A420" t="s">
        <v>61</v>
      </c>
      <c r="B420">
        <v>136</v>
      </c>
      <c r="C420" t="s">
        <v>71</v>
      </c>
      <c r="D420" t="s">
        <v>74</v>
      </c>
      <c r="E420" t="s">
        <v>75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74</v>
      </c>
    </row>
    <row r="421" spans="1:20" x14ac:dyDescent="0.3">
      <c r="A421" t="s">
        <v>37</v>
      </c>
      <c r="B421">
        <v>92</v>
      </c>
      <c r="C421" t="s">
        <v>71</v>
      </c>
      <c r="D421" t="s">
        <v>74</v>
      </c>
      <c r="E421" t="s">
        <v>74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75</v>
      </c>
    </row>
    <row r="422" spans="1:20" x14ac:dyDescent="0.3">
      <c r="A422" t="s">
        <v>20</v>
      </c>
      <c r="B422">
        <v>143</v>
      </c>
      <c r="C422" t="s">
        <v>73</v>
      </c>
      <c r="D422" t="s">
        <v>74</v>
      </c>
      <c r="E422" t="s">
        <v>75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74</v>
      </c>
    </row>
    <row r="423" spans="1:20" x14ac:dyDescent="0.3">
      <c r="A423" t="s">
        <v>53</v>
      </c>
      <c r="B423">
        <v>118</v>
      </c>
      <c r="C423" t="s">
        <v>71</v>
      </c>
      <c r="D423" t="s">
        <v>74</v>
      </c>
      <c r="E423" t="s">
        <v>75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75</v>
      </c>
    </row>
    <row r="424" spans="1:20" x14ac:dyDescent="0.3">
      <c r="A424" t="s">
        <v>23</v>
      </c>
      <c r="B424">
        <v>193</v>
      </c>
      <c r="C424" t="s">
        <v>73</v>
      </c>
      <c r="D424" t="s">
        <v>74</v>
      </c>
      <c r="E424" t="s">
        <v>75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74</v>
      </c>
    </row>
    <row r="425" spans="1:20" x14ac:dyDescent="0.3">
      <c r="A425" t="s">
        <v>24</v>
      </c>
      <c r="B425">
        <v>73</v>
      </c>
      <c r="C425" t="s">
        <v>71</v>
      </c>
      <c r="D425" t="s">
        <v>74</v>
      </c>
      <c r="E425" t="s">
        <v>74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74</v>
      </c>
    </row>
    <row r="426" spans="1:20" x14ac:dyDescent="0.3">
      <c r="A426" t="s">
        <v>50</v>
      </c>
      <c r="B426">
        <v>62</v>
      </c>
      <c r="C426" t="s">
        <v>73</v>
      </c>
      <c r="D426" t="s">
        <v>74</v>
      </c>
      <c r="E426" t="s">
        <v>74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74</v>
      </c>
    </row>
    <row r="427" spans="1:20" x14ac:dyDescent="0.3">
      <c r="A427" t="s">
        <v>45</v>
      </c>
      <c r="B427">
        <v>30</v>
      </c>
      <c r="C427" t="s">
        <v>71</v>
      </c>
      <c r="D427" t="s">
        <v>74</v>
      </c>
      <c r="E427" t="s">
        <v>75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74</v>
      </c>
    </row>
    <row r="428" spans="1:20" x14ac:dyDescent="0.3">
      <c r="A428" t="s">
        <v>21</v>
      </c>
      <c r="B428">
        <v>60</v>
      </c>
      <c r="C428" t="s">
        <v>73</v>
      </c>
      <c r="D428" t="s">
        <v>75</v>
      </c>
      <c r="E428" t="s">
        <v>75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75</v>
      </c>
    </row>
    <row r="429" spans="1:20" x14ac:dyDescent="0.3">
      <c r="A429" t="s">
        <v>53</v>
      </c>
      <c r="B429">
        <v>96</v>
      </c>
      <c r="C429" t="s">
        <v>72</v>
      </c>
      <c r="D429" t="s">
        <v>74</v>
      </c>
      <c r="E429" t="s">
        <v>74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74</v>
      </c>
    </row>
    <row r="430" spans="1:20" x14ac:dyDescent="0.3">
      <c r="A430" t="s">
        <v>44</v>
      </c>
      <c r="B430">
        <v>52</v>
      </c>
      <c r="C430" t="s">
        <v>73</v>
      </c>
      <c r="D430" t="s">
        <v>74</v>
      </c>
      <c r="E430" t="s">
        <v>74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74</v>
      </c>
    </row>
    <row r="431" spans="1:20" x14ac:dyDescent="0.3">
      <c r="A431" t="s">
        <v>52</v>
      </c>
      <c r="B431">
        <v>87</v>
      </c>
      <c r="C431" t="s">
        <v>71</v>
      </c>
      <c r="D431" t="s">
        <v>74</v>
      </c>
      <c r="E431" t="s">
        <v>74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74</v>
      </c>
    </row>
    <row r="432" spans="1:20" x14ac:dyDescent="0.3">
      <c r="A432" t="s">
        <v>31</v>
      </c>
      <c r="B432">
        <v>41</v>
      </c>
      <c r="C432" t="s">
        <v>73</v>
      </c>
      <c r="D432" t="s">
        <v>74</v>
      </c>
      <c r="E432" t="s">
        <v>74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74</v>
      </c>
    </row>
    <row r="433" spans="1:20" x14ac:dyDescent="0.3">
      <c r="A433" t="s">
        <v>65</v>
      </c>
      <c r="B433">
        <v>112</v>
      </c>
      <c r="C433" t="s">
        <v>71</v>
      </c>
      <c r="D433" t="s">
        <v>74</v>
      </c>
      <c r="E433" t="s">
        <v>74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74</v>
      </c>
    </row>
    <row r="434" spans="1:20" x14ac:dyDescent="0.3">
      <c r="A434" t="s">
        <v>43</v>
      </c>
      <c r="B434">
        <v>88</v>
      </c>
      <c r="C434" t="s">
        <v>72</v>
      </c>
      <c r="D434" t="s">
        <v>74</v>
      </c>
      <c r="E434" t="s">
        <v>74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75</v>
      </c>
    </row>
    <row r="435" spans="1:20" x14ac:dyDescent="0.3">
      <c r="A435" t="s">
        <v>70</v>
      </c>
      <c r="B435">
        <v>122</v>
      </c>
      <c r="C435" t="s">
        <v>73</v>
      </c>
      <c r="D435" t="s">
        <v>74</v>
      </c>
      <c r="E435" t="s">
        <v>75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74</v>
      </c>
    </row>
    <row r="436" spans="1:20" x14ac:dyDescent="0.3">
      <c r="A436" t="s">
        <v>37</v>
      </c>
      <c r="B436">
        <v>61</v>
      </c>
      <c r="C436" t="s">
        <v>73</v>
      </c>
      <c r="D436" t="s">
        <v>74</v>
      </c>
      <c r="E436" t="s">
        <v>74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74</v>
      </c>
    </row>
    <row r="437" spans="1:20" x14ac:dyDescent="0.3">
      <c r="A437" t="s">
        <v>25</v>
      </c>
      <c r="B437">
        <v>87</v>
      </c>
      <c r="C437" t="s">
        <v>72</v>
      </c>
      <c r="D437" t="s">
        <v>74</v>
      </c>
      <c r="E437" t="s">
        <v>74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74</v>
      </c>
    </row>
    <row r="438" spans="1:20" x14ac:dyDescent="0.3">
      <c r="A438" t="s">
        <v>40</v>
      </c>
      <c r="B438">
        <v>30</v>
      </c>
      <c r="C438" t="s">
        <v>72</v>
      </c>
      <c r="D438" t="s">
        <v>74</v>
      </c>
      <c r="E438" t="s">
        <v>74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74</v>
      </c>
    </row>
    <row r="439" spans="1:20" x14ac:dyDescent="0.3">
      <c r="A439" t="s">
        <v>28</v>
      </c>
      <c r="B439">
        <v>95</v>
      </c>
      <c r="C439" t="s">
        <v>71</v>
      </c>
      <c r="D439" t="s">
        <v>74</v>
      </c>
      <c r="E439" t="s">
        <v>75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74</v>
      </c>
    </row>
    <row r="440" spans="1:20" x14ac:dyDescent="0.3">
      <c r="A440" t="s">
        <v>29</v>
      </c>
      <c r="B440">
        <v>46</v>
      </c>
      <c r="C440" t="s">
        <v>71</v>
      </c>
      <c r="D440" t="s">
        <v>74</v>
      </c>
      <c r="E440" t="s">
        <v>74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74</v>
      </c>
    </row>
    <row r="441" spans="1:20" x14ac:dyDescent="0.3">
      <c r="A441" t="s">
        <v>63</v>
      </c>
      <c r="B441">
        <v>100</v>
      </c>
      <c r="C441" t="s">
        <v>72</v>
      </c>
      <c r="D441" t="s">
        <v>75</v>
      </c>
      <c r="E441" t="s">
        <v>74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74</v>
      </c>
    </row>
    <row r="442" spans="1:20" x14ac:dyDescent="0.3">
      <c r="A442" t="s">
        <v>21</v>
      </c>
      <c r="B442">
        <v>77</v>
      </c>
      <c r="C442" t="s">
        <v>71</v>
      </c>
      <c r="D442" t="s">
        <v>74</v>
      </c>
      <c r="E442" t="s">
        <v>74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74</v>
      </c>
    </row>
    <row r="443" spans="1:20" x14ac:dyDescent="0.3">
      <c r="A443" t="s">
        <v>58</v>
      </c>
      <c r="B443">
        <v>98</v>
      </c>
      <c r="C443" t="s">
        <v>71</v>
      </c>
      <c r="D443" t="s">
        <v>74</v>
      </c>
      <c r="E443" t="s">
        <v>75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74</v>
      </c>
    </row>
    <row r="444" spans="1:20" x14ac:dyDescent="0.3">
      <c r="A444" t="s">
        <v>44</v>
      </c>
      <c r="B444">
        <v>125</v>
      </c>
      <c r="C444" t="s">
        <v>71</v>
      </c>
      <c r="D444" t="s">
        <v>74</v>
      </c>
      <c r="E444" t="s">
        <v>75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74</v>
      </c>
    </row>
    <row r="445" spans="1:20" x14ac:dyDescent="0.3">
      <c r="A445" t="s">
        <v>24</v>
      </c>
      <c r="B445">
        <v>194</v>
      </c>
      <c r="C445" t="s">
        <v>73</v>
      </c>
      <c r="D445" t="s">
        <v>74</v>
      </c>
      <c r="E445" t="s">
        <v>74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74</v>
      </c>
    </row>
    <row r="446" spans="1:20" x14ac:dyDescent="0.3">
      <c r="A446" t="s">
        <v>42</v>
      </c>
      <c r="B446">
        <v>190</v>
      </c>
      <c r="C446" t="s">
        <v>71</v>
      </c>
      <c r="D446" t="s">
        <v>74</v>
      </c>
      <c r="E446" t="s">
        <v>75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74</v>
      </c>
    </row>
    <row r="447" spans="1:20" x14ac:dyDescent="0.3">
      <c r="A447" t="s">
        <v>58</v>
      </c>
      <c r="B447">
        <v>165</v>
      </c>
      <c r="C447" t="s">
        <v>71</v>
      </c>
      <c r="D447" t="s">
        <v>74</v>
      </c>
      <c r="E447" t="s">
        <v>74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74</v>
      </c>
    </row>
    <row r="448" spans="1:20" x14ac:dyDescent="0.3">
      <c r="A448" t="s">
        <v>38</v>
      </c>
      <c r="B448">
        <v>59</v>
      </c>
      <c r="C448" t="s">
        <v>73</v>
      </c>
      <c r="D448" t="s">
        <v>74</v>
      </c>
      <c r="E448" t="s">
        <v>74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74</v>
      </c>
    </row>
    <row r="449" spans="1:20" x14ac:dyDescent="0.3">
      <c r="A449" t="s">
        <v>21</v>
      </c>
      <c r="B449">
        <v>47</v>
      </c>
      <c r="C449" t="s">
        <v>73</v>
      </c>
      <c r="D449" t="s">
        <v>74</v>
      </c>
      <c r="E449" t="s">
        <v>75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74</v>
      </c>
    </row>
    <row r="450" spans="1:20" x14ac:dyDescent="0.3">
      <c r="A450" t="s">
        <v>55</v>
      </c>
      <c r="B450">
        <v>150</v>
      </c>
      <c r="C450" t="s">
        <v>71</v>
      </c>
      <c r="D450" t="s">
        <v>74</v>
      </c>
      <c r="E450" t="s">
        <v>75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74</v>
      </c>
    </row>
    <row r="451" spans="1:20" x14ac:dyDescent="0.3">
      <c r="A451" t="s">
        <v>32</v>
      </c>
      <c r="B451">
        <v>152</v>
      </c>
      <c r="C451" t="s">
        <v>71</v>
      </c>
      <c r="D451" t="s">
        <v>75</v>
      </c>
      <c r="E451" t="s">
        <v>75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75</v>
      </c>
    </row>
    <row r="452" spans="1:20" x14ac:dyDescent="0.3">
      <c r="A452" t="s">
        <v>66</v>
      </c>
      <c r="B452">
        <v>26</v>
      </c>
      <c r="C452" t="s">
        <v>71</v>
      </c>
      <c r="D452" t="s">
        <v>74</v>
      </c>
      <c r="E452" t="s">
        <v>74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74</v>
      </c>
    </row>
    <row r="453" spans="1:20" x14ac:dyDescent="0.3">
      <c r="A453" t="s">
        <v>49</v>
      </c>
      <c r="B453">
        <v>79</v>
      </c>
      <c r="C453" t="s">
        <v>72</v>
      </c>
      <c r="D453" t="s">
        <v>74</v>
      </c>
      <c r="E453" t="s">
        <v>75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74</v>
      </c>
    </row>
    <row r="454" spans="1:20" x14ac:dyDescent="0.3">
      <c r="A454" t="s">
        <v>55</v>
      </c>
      <c r="B454">
        <v>95</v>
      </c>
      <c r="C454" t="s">
        <v>72</v>
      </c>
      <c r="D454" t="s">
        <v>74</v>
      </c>
      <c r="E454" t="s">
        <v>75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74</v>
      </c>
    </row>
    <row r="455" spans="1:20" x14ac:dyDescent="0.3">
      <c r="A455" t="s">
        <v>31</v>
      </c>
      <c r="B455">
        <v>69</v>
      </c>
      <c r="C455" t="s">
        <v>72</v>
      </c>
      <c r="D455" t="s">
        <v>75</v>
      </c>
      <c r="E455" t="s">
        <v>74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75</v>
      </c>
    </row>
    <row r="456" spans="1:20" x14ac:dyDescent="0.3">
      <c r="A456" t="s">
        <v>23</v>
      </c>
      <c r="B456">
        <v>95</v>
      </c>
      <c r="C456" t="s">
        <v>72</v>
      </c>
      <c r="D456" t="s">
        <v>75</v>
      </c>
      <c r="E456" t="s">
        <v>75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75</v>
      </c>
    </row>
    <row r="457" spans="1:20" x14ac:dyDescent="0.3">
      <c r="A457" t="s">
        <v>54</v>
      </c>
      <c r="B457">
        <v>31</v>
      </c>
      <c r="C457" t="s">
        <v>71</v>
      </c>
      <c r="D457" t="s">
        <v>74</v>
      </c>
      <c r="E457" t="s">
        <v>75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74</v>
      </c>
    </row>
    <row r="458" spans="1:20" x14ac:dyDescent="0.3">
      <c r="A458" t="s">
        <v>44</v>
      </c>
      <c r="B458">
        <v>121</v>
      </c>
      <c r="C458" t="s">
        <v>73</v>
      </c>
      <c r="D458" t="s">
        <v>74</v>
      </c>
      <c r="E458" t="s">
        <v>75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74</v>
      </c>
    </row>
    <row r="459" spans="1:20" x14ac:dyDescent="0.3">
      <c r="A459" t="s">
        <v>27</v>
      </c>
      <c r="B459">
        <v>44</v>
      </c>
      <c r="C459" t="s">
        <v>72</v>
      </c>
      <c r="D459" t="s">
        <v>74</v>
      </c>
      <c r="E459" t="s">
        <v>74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75</v>
      </c>
    </row>
    <row r="460" spans="1:20" x14ac:dyDescent="0.3">
      <c r="A460" t="s">
        <v>24</v>
      </c>
      <c r="B460">
        <v>74</v>
      </c>
      <c r="C460" t="s">
        <v>71</v>
      </c>
      <c r="D460" t="s">
        <v>74</v>
      </c>
      <c r="E460" t="s">
        <v>75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74</v>
      </c>
    </row>
    <row r="461" spans="1:20" x14ac:dyDescent="0.3">
      <c r="A461" t="s">
        <v>34</v>
      </c>
      <c r="B461">
        <v>58</v>
      </c>
      <c r="C461" t="s">
        <v>73</v>
      </c>
      <c r="D461" t="s">
        <v>74</v>
      </c>
      <c r="E461" t="s">
        <v>75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74</v>
      </c>
    </row>
    <row r="462" spans="1:20" x14ac:dyDescent="0.3">
      <c r="A462" t="s">
        <v>57</v>
      </c>
      <c r="B462">
        <v>74</v>
      </c>
      <c r="C462" t="s">
        <v>73</v>
      </c>
      <c r="D462" t="s">
        <v>74</v>
      </c>
      <c r="E462" t="s">
        <v>74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75</v>
      </c>
    </row>
    <row r="463" spans="1:20" x14ac:dyDescent="0.3">
      <c r="A463" t="s">
        <v>33</v>
      </c>
      <c r="B463">
        <v>125</v>
      </c>
      <c r="C463" t="s">
        <v>71</v>
      </c>
      <c r="D463" t="s">
        <v>74</v>
      </c>
      <c r="E463" t="s">
        <v>74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74</v>
      </c>
    </row>
    <row r="464" spans="1:20" x14ac:dyDescent="0.3">
      <c r="A464" t="s">
        <v>23</v>
      </c>
      <c r="B464">
        <v>80</v>
      </c>
      <c r="C464" t="s">
        <v>71</v>
      </c>
      <c r="D464" t="s">
        <v>74</v>
      </c>
      <c r="E464" t="s">
        <v>74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74</v>
      </c>
    </row>
    <row r="465" spans="1:20" x14ac:dyDescent="0.3">
      <c r="A465" t="s">
        <v>30</v>
      </c>
      <c r="B465">
        <v>99</v>
      </c>
      <c r="C465" t="s">
        <v>73</v>
      </c>
      <c r="D465" t="s">
        <v>74</v>
      </c>
      <c r="E465" t="s">
        <v>75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74</v>
      </c>
    </row>
    <row r="466" spans="1:20" x14ac:dyDescent="0.3">
      <c r="A466" t="s">
        <v>29</v>
      </c>
      <c r="B466">
        <v>99</v>
      </c>
      <c r="C466" t="s">
        <v>71</v>
      </c>
      <c r="D466" t="s">
        <v>74</v>
      </c>
      <c r="E466" t="s">
        <v>74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74</v>
      </c>
    </row>
    <row r="467" spans="1:20" x14ac:dyDescent="0.3">
      <c r="A467" t="s">
        <v>54</v>
      </c>
      <c r="B467">
        <v>66</v>
      </c>
      <c r="C467" t="s">
        <v>71</v>
      </c>
      <c r="D467" t="s">
        <v>74</v>
      </c>
      <c r="E467" t="s">
        <v>75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74</v>
      </c>
    </row>
    <row r="468" spans="1:20" x14ac:dyDescent="0.3">
      <c r="A468" t="s">
        <v>59</v>
      </c>
      <c r="B468">
        <v>97</v>
      </c>
      <c r="C468" t="s">
        <v>72</v>
      </c>
      <c r="D468" t="s">
        <v>74</v>
      </c>
      <c r="E468" t="s">
        <v>74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74</v>
      </c>
    </row>
    <row r="469" spans="1:20" x14ac:dyDescent="0.3">
      <c r="A469" t="s">
        <v>48</v>
      </c>
      <c r="B469">
        <v>75</v>
      </c>
      <c r="C469" t="s">
        <v>72</v>
      </c>
      <c r="D469" t="s">
        <v>74</v>
      </c>
      <c r="E469" t="s">
        <v>75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74</v>
      </c>
    </row>
    <row r="470" spans="1:20" x14ac:dyDescent="0.3">
      <c r="A470" t="s">
        <v>49</v>
      </c>
      <c r="B470">
        <v>85</v>
      </c>
      <c r="C470" t="s">
        <v>72</v>
      </c>
      <c r="D470" t="s">
        <v>75</v>
      </c>
      <c r="E470" t="s">
        <v>74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74</v>
      </c>
    </row>
    <row r="471" spans="1:20" x14ac:dyDescent="0.3">
      <c r="A471" t="s">
        <v>51</v>
      </c>
      <c r="B471">
        <v>108</v>
      </c>
      <c r="C471" t="s">
        <v>72</v>
      </c>
      <c r="D471" t="s">
        <v>74</v>
      </c>
      <c r="E471" t="s">
        <v>74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74</v>
      </c>
    </row>
    <row r="472" spans="1:20" x14ac:dyDescent="0.3">
      <c r="A472" t="s">
        <v>45</v>
      </c>
      <c r="B472">
        <v>51</v>
      </c>
      <c r="C472" t="s">
        <v>72</v>
      </c>
      <c r="D472" t="s">
        <v>74</v>
      </c>
      <c r="E472" t="s">
        <v>74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74</v>
      </c>
    </row>
    <row r="473" spans="1:20" x14ac:dyDescent="0.3">
      <c r="A473" t="s">
        <v>32</v>
      </c>
      <c r="B473">
        <v>186</v>
      </c>
      <c r="C473" t="s">
        <v>71</v>
      </c>
      <c r="D473" t="s">
        <v>74</v>
      </c>
      <c r="E473" t="s">
        <v>75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74</v>
      </c>
    </row>
    <row r="474" spans="1:20" x14ac:dyDescent="0.3">
      <c r="A474" t="s">
        <v>31</v>
      </c>
      <c r="B474">
        <v>44</v>
      </c>
      <c r="C474" t="s">
        <v>71</v>
      </c>
      <c r="D474" t="s">
        <v>75</v>
      </c>
      <c r="E474" t="s">
        <v>74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74</v>
      </c>
    </row>
    <row r="475" spans="1:20" x14ac:dyDescent="0.3">
      <c r="A475" t="s">
        <v>39</v>
      </c>
      <c r="B475">
        <v>64</v>
      </c>
      <c r="C475" t="s">
        <v>73</v>
      </c>
      <c r="D475" t="s">
        <v>74</v>
      </c>
      <c r="E475" t="s">
        <v>75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74</v>
      </c>
    </row>
    <row r="476" spans="1:20" x14ac:dyDescent="0.3">
      <c r="A476" t="s">
        <v>65</v>
      </c>
      <c r="B476">
        <v>44</v>
      </c>
      <c r="C476" t="s">
        <v>72</v>
      </c>
      <c r="D476" t="s">
        <v>74</v>
      </c>
      <c r="E476" t="s">
        <v>74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75</v>
      </c>
    </row>
    <row r="477" spans="1:20" x14ac:dyDescent="0.3">
      <c r="A477" t="s">
        <v>56</v>
      </c>
      <c r="B477">
        <v>114</v>
      </c>
      <c r="C477" t="s">
        <v>71</v>
      </c>
      <c r="D477" t="s">
        <v>74</v>
      </c>
      <c r="E477" t="s">
        <v>75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74</v>
      </c>
    </row>
    <row r="478" spans="1:20" x14ac:dyDescent="0.3">
      <c r="A478" t="s">
        <v>58</v>
      </c>
      <c r="B478">
        <v>110</v>
      </c>
      <c r="C478" t="s">
        <v>73</v>
      </c>
      <c r="D478" t="s">
        <v>74</v>
      </c>
      <c r="E478" t="s">
        <v>74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74</v>
      </c>
    </row>
    <row r="479" spans="1:20" x14ac:dyDescent="0.3">
      <c r="A479" t="s">
        <v>33</v>
      </c>
      <c r="B479">
        <v>90</v>
      </c>
      <c r="C479" t="s">
        <v>73</v>
      </c>
      <c r="D479" t="s">
        <v>74</v>
      </c>
      <c r="E479" t="s">
        <v>75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74</v>
      </c>
    </row>
    <row r="480" spans="1:20" x14ac:dyDescent="0.3">
      <c r="A480" t="s">
        <v>54</v>
      </c>
      <c r="B480">
        <v>72</v>
      </c>
      <c r="C480" t="s">
        <v>73</v>
      </c>
      <c r="D480" t="s">
        <v>74</v>
      </c>
      <c r="E480" t="s">
        <v>75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74</v>
      </c>
    </row>
    <row r="481" spans="1:20" x14ac:dyDescent="0.3">
      <c r="A481" t="s">
        <v>51</v>
      </c>
      <c r="B481">
        <v>113</v>
      </c>
      <c r="C481" t="s">
        <v>71</v>
      </c>
      <c r="D481" t="s">
        <v>74</v>
      </c>
      <c r="E481" t="s">
        <v>74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75</v>
      </c>
    </row>
    <row r="482" spans="1:20" x14ac:dyDescent="0.3">
      <c r="A482" t="s">
        <v>47</v>
      </c>
      <c r="B482">
        <v>171</v>
      </c>
      <c r="C482" t="s">
        <v>71</v>
      </c>
      <c r="D482" t="s">
        <v>74</v>
      </c>
      <c r="E482" t="s">
        <v>75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74</v>
      </c>
    </row>
    <row r="483" spans="1:20" x14ac:dyDescent="0.3">
      <c r="A483" t="s">
        <v>52</v>
      </c>
      <c r="B483">
        <v>104</v>
      </c>
      <c r="C483" t="s">
        <v>71</v>
      </c>
      <c r="D483" t="s">
        <v>74</v>
      </c>
      <c r="E483" t="s">
        <v>74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74</v>
      </c>
    </row>
    <row r="484" spans="1:20" x14ac:dyDescent="0.3">
      <c r="A484" t="s">
        <v>59</v>
      </c>
      <c r="B484">
        <v>165</v>
      </c>
      <c r="C484" t="s">
        <v>73</v>
      </c>
      <c r="D484" t="s">
        <v>74</v>
      </c>
      <c r="E484" t="s">
        <v>74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74</v>
      </c>
    </row>
    <row r="485" spans="1:20" x14ac:dyDescent="0.3">
      <c r="A485" t="s">
        <v>56</v>
      </c>
      <c r="B485">
        <v>104</v>
      </c>
      <c r="C485" t="s">
        <v>72</v>
      </c>
      <c r="D485" t="s">
        <v>74</v>
      </c>
      <c r="E485" t="s">
        <v>74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75</v>
      </c>
    </row>
    <row r="486" spans="1:20" x14ac:dyDescent="0.3">
      <c r="A486" t="s">
        <v>62</v>
      </c>
      <c r="B486">
        <v>110</v>
      </c>
      <c r="C486" t="s">
        <v>73</v>
      </c>
      <c r="D486" t="s">
        <v>74</v>
      </c>
      <c r="E486" t="s">
        <v>74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74</v>
      </c>
    </row>
    <row r="487" spans="1:20" x14ac:dyDescent="0.3">
      <c r="A487" t="s">
        <v>34</v>
      </c>
      <c r="B487">
        <v>90</v>
      </c>
      <c r="C487" t="s">
        <v>73</v>
      </c>
      <c r="D487" t="s">
        <v>75</v>
      </c>
      <c r="E487" t="s">
        <v>74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74</v>
      </c>
    </row>
    <row r="488" spans="1:20" x14ac:dyDescent="0.3">
      <c r="A488" t="s">
        <v>46</v>
      </c>
      <c r="B488">
        <v>114</v>
      </c>
      <c r="C488" t="s">
        <v>71</v>
      </c>
      <c r="D488" t="s">
        <v>74</v>
      </c>
      <c r="E488" t="s">
        <v>74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74</v>
      </c>
    </row>
    <row r="489" spans="1:20" x14ac:dyDescent="0.3">
      <c r="A489" t="s">
        <v>44</v>
      </c>
      <c r="B489">
        <v>101</v>
      </c>
      <c r="C489" t="s">
        <v>73</v>
      </c>
      <c r="D489" t="s">
        <v>74</v>
      </c>
      <c r="E489" t="s">
        <v>74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75</v>
      </c>
    </row>
    <row r="490" spans="1:20" x14ac:dyDescent="0.3">
      <c r="A490" t="s">
        <v>31</v>
      </c>
      <c r="B490">
        <v>117</v>
      </c>
      <c r="C490" t="s">
        <v>73</v>
      </c>
      <c r="D490" t="s">
        <v>74</v>
      </c>
      <c r="E490" t="s">
        <v>75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74</v>
      </c>
    </row>
    <row r="491" spans="1:20" x14ac:dyDescent="0.3">
      <c r="A491" t="s">
        <v>47</v>
      </c>
      <c r="B491">
        <v>82</v>
      </c>
      <c r="C491" t="s">
        <v>73</v>
      </c>
      <c r="D491" t="s">
        <v>74</v>
      </c>
      <c r="E491" t="s">
        <v>74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74</v>
      </c>
    </row>
    <row r="492" spans="1:20" x14ac:dyDescent="0.3">
      <c r="A492" t="s">
        <v>44</v>
      </c>
      <c r="B492">
        <v>92</v>
      </c>
      <c r="C492" t="s">
        <v>72</v>
      </c>
      <c r="D492" t="s">
        <v>74</v>
      </c>
      <c r="E492" t="s">
        <v>74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74</v>
      </c>
    </row>
    <row r="493" spans="1:20" x14ac:dyDescent="0.3">
      <c r="A493" t="s">
        <v>59</v>
      </c>
      <c r="B493">
        <v>82</v>
      </c>
      <c r="C493" t="s">
        <v>72</v>
      </c>
      <c r="D493" t="s">
        <v>74</v>
      </c>
      <c r="E493" t="s">
        <v>75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74</v>
      </c>
    </row>
    <row r="494" spans="1:20" x14ac:dyDescent="0.3">
      <c r="A494" t="s">
        <v>65</v>
      </c>
      <c r="B494">
        <v>90</v>
      </c>
      <c r="C494" t="s">
        <v>71</v>
      </c>
      <c r="D494" t="s">
        <v>74</v>
      </c>
      <c r="E494" t="s">
        <v>74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74</v>
      </c>
    </row>
    <row r="495" spans="1:20" x14ac:dyDescent="0.3">
      <c r="A495" t="s">
        <v>32</v>
      </c>
      <c r="B495">
        <v>124</v>
      </c>
      <c r="C495" t="s">
        <v>72</v>
      </c>
      <c r="D495" t="s">
        <v>74</v>
      </c>
      <c r="E495" t="s">
        <v>74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74</v>
      </c>
    </row>
    <row r="496" spans="1:20" x14ac:dyDescent="0.3">
      <c r="A496" t="s">
        <v>38</v>
      </c>
      <c r="B496">
        <v>39</v>
      </c>
      <c r="C496" t="s">
        <v>73</v>
      </c>
      <c r="D496" t="s">
        <v>74</v>
      </c>
      <c r="E496" t="s">
        <v>74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74</v>
      </c>
    </row>
    <row r="497" spans="1:20" x14ac:dyDescent="0.3">
      <c r="A497" t="s">
        <v>61</v>
      </c>
      <c r="B497">
        <v>75</v>
      </c>
      <c r="C497" t="s">
        <v>72</v>
      </c>
      <c r="D497" t="s">
        <v>74</v>
      </c>
      <c r="E497" t="s">
        <v>75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74</v>
      </c>
    </row>
    <row r="498" spans="1:20" x14ac:dyDescent="0.3">
      <c r="A498" t="s">
        <v>40</v>
      </c>
      <c r="B498">
        <v>102</v>
      </c>
      <c r="C498" t="s">
        <v>72</v>
      </c>
      <c r="D498" t="s">
        <v>74</v>
      </c>
      <c r="E498" t="s">
        <v>74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74</v>
      </c>
    </row>
    <row r="499" spans="1:20" x14ac:dyDescent="0.3">
      <c r="A499" t="s">
        <v>65</v>
      </c>
      <c r="B499">
        <v>143</v>
      </c>
      <c r="C499" t="s">
        <v>72</v>
      </c>
      <c r="D499" t="s">
        <v>74</v>
      </c>
      <c r="E499" t="s">
        <v>74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74</v>
      </c>
    </row>
    <row r="500" spans="1:20" x14ac:dyDescent="0.3">
      <c r="A500" t="s">
        <v>40</v>
      </c>
      <c r="B500">
        <v>53</v>
      </c>
      <c r="C500" t="s">
        <v>71</v>
      </c>
      <c r="D500" t="s">
        <v>74</v>
      </c>
      <c r="E500" t="s">
        <v>74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74</v>
      </c>
    </row>
    <row r="501" spans="1:20" x14ac:dyDescent="0.3">
      <c r="A501" t="s">
        <v>52</v>
      </c>
      <c r="B501">
        <v>30</v>
      </c>
      <c r="C501" t="s">
        <v>71</v>
      </c>
      <c r="D501" t="s">
        <v>74</v>
      </c>
      <c r="E501" t="s">
        <v>74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74</v>
      </c>
    </row>
    <row r="502" spans="1:20" x14ac:dyDescent="0.3">
      <c r="A502" t="s">
        <v>37</v>
      </c>
      <c r="B502">
        <v>112</v>
      </c>
      <c r="C502" t="s">
        <v>71</v>
      </c>
      <c r="D502" t="s">
        <v>74</v>
      </c>
      <c r="E502" t="s">
        <v>74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75</v>
      </c>
    </row>
    <row r="503" spans="1:20" x14ac:dyDescent="0.3">
      <c r="A503" t="s">
        <v>55</v>
      </c>
      <c r="B503">
        <v>129</v>
      </c>
      <c r="C503" t="s">
        <v>71</v>
      </c>
      <c r="D503" t="s">
        <v>74</v>
      </c>
      <c r="E503" t="s">
        <v>74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74</v>
      </c>
    </row>
    <row r="504" spans="1:20" x14ac:dyDescent="0.3">
      <c r="A504" t="s">
        <v>66</v>
      </c>
      <c r="B504">
        <v>63</v>
      </c>
      <c r="C504" t="s">
        <v>71</v>
      </c>
      <c r="D504" t="s">
        <v>74</v>
      </c>
      <c r="E504" t="s">
        <v>75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74</v>
      </c>
    </row>
    <row r="505" spans="1:20" x14ac:dyDescent="0.3">
      <c r="A505" t="s">
        <v>30</v>
      </c>
      <c r="B505">
        <v>28</v>
      </c>
      <c r="C505" t="s">
        <v>71</v>
      </c>
      <c r="D505" t="s">
        <v>74</v>
      </c>
      <c r="E505" t="s">
        <v>74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74</v>
      </c>
    </row>
    <row r="506" spans="1:20" x14ac:dyDescent="0.3">
      <c r="A506" t="s">
        <v>70</v>
      </c>
      <c r="B506">
        <v>90</v>
      </c>
      <c r="C506" t="s">
        <v>71</v>
      </c>
      <c r="D506" t="s">
        <v>74</v>
      </c>
      <c r="E506" t="s">
        <v>74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74</v>
      </c>
    </row>
    <row r="507" spans="1:20" x14ac:dyDescent="0.3">
      <c r="A507" t="s">
        <v>58</v>
      </c>
      <c r="B507">
        <v>151</v>
      </c>
      <c r="C507" t="s">
        <v>72</v>
      </c>
      <c r="D507" t="s">
        <v>74</v>
      </c>
      <c r="E507" t="s">
        <v>74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74</v>
      </c>
    </row>
    <row r="508" spans="1:20" x14ac:dyDescent="0.3">
      <c r="A508" t="s">
        <v>68</v>
      </c>
      <c r="B508">
        <v>105</v>
      </c>
      <c r="C508" t="s">
        <v>71</v>
      </c>
      <c r="D508" t="s">
        <v>75</v>
      </c>
      <c r="E508" t="s">
        <v>75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75</v>
      </c>
    </row>
    <row r="509" spans="1:20" x14ac:dyDescent="0.3">
      <c r="A509" t="s">
        <v>63</v>
      </c>
      <c r="B509">
        <v>41</v>
      </c>
      <c r="C509" t="s">
        <v>73</v>
      </c>
      <c r="D509" t="s">
        <v>74</v>
      </c>
      <c r="E509" t="s">
        <v>75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74</v>
      </c>
    </row>
    <row r="510" spans="1:20" x14ac:dyDescent="0.3">
      <c r="A510" t="s">
        <v>42</v>
      </c>
      <c r="B510">
        <v>48</v>
      </c>
      <c r="C510" t="s">
        <v>72</v>
      </c>
      <c r="D510" t="s">
        <v>74</v>
      </c>
      <c r="E510" t="s">
        <v>75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74</v>
      </c>
    </row>
    <row r="511" spans="1:20" x14ac:dyDescent="0.3">
      <c r="A511" t="s">
        <v>41</v>
      </c>
      <c r="B511">
        <v>166</v>
      </c>
      <c r="C511" t="s">
        <v>73</v>
      </c>
      <c r="D511" t="s">
        <v>75</v>
      </c>
      <c r="E511" t="s">
        <v>75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74</v>
      </c>
    </row>
    <row r="512" spans="1:20" x14ac:dyDescent="0.3">
      <c r="A512" t="s">
        <v>39</v>
      </c>
      <c r="B512">
        <v>79</v>
      </c>
      <c r="C512" t="s">
        <v>72</v>
      </c>
      <c r="D512" t="s">
        <v>74</v>
      </c>
      <c r="E512" t="s">
        <v>74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74</v>
      </c>
    </row>
    <row r="513" spans="1:20" x14ac:dyDescent="0.3">
      <c r="A513" t="s">
        <v>50</v>
      </c>
      <c r="B513">
        <v>153</v>
      </c>
      <c r="C513" t="s">
        <v>72</v>
      </c>
      <c r="D513" t="s">
        <v>74</v>
      </c>
      <c r="E513" t="s">
        <v>74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74</v>
      </c>
    </row>
    <row r="514" spans="1:20" x14ac:dyDescent="0.3">
      <c r="A514" t="s">
        <v>20</v>
      </c>
      <c r="B514">
        <v>110</v>
      </c>
      <c r="C514" t="s">
        <v>71</v>
      </c>
      <c r="D514" t="s">
        <v>75</v>
      </c>
      <c r="E514" t="s">
        <v>74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75</v>
      </c>
    </row>
    <row r="515" spans="1:20" x14ac:dyDescent="0.3">
      <c r="A515" t="s">
        <v>20</v>
      </c>
      <c r="B515">
        <v>163</v>
      </c>
      <c r="C515" t="s">
        <v>71</v>
      </c>
      <c r="D515" t="s">
        <v>74</v>
      </c>
      <c r="E515" t="s">
        <v>74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74</v>
      </c>
    </row>
    <row r="516" spans="1:20" x14ac:dyDescent="0.3">
      <c r="A516" t="s">
        <v>59</v>
      </c>
      <c r="B516">
        <v>105</v>
      </c>
      <c r="C516" t="s">
        <v>73</v>
      </c>
      <c r="D516" t="s">
        <v>74</v>
      </c>
      <c r="E516" t="s">
        <v>75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74</v>
      </c>
    </row>
    <row r="517" spans="1:20" x14ac:dyDescent="0.3">
      <c r="A517" t="s">
        <v>26</v>
      </c>
      <c r="B517">
        <v>172</v>
      </c>
      <c r="C517" t="s">
        <v>71</v>
      </c>
      <c r="D517" t="s">
        <v>74</v>
      </c>
      <c r="E517" t="s">
        <v>74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74</v>
      </c>
    </row>
    <row r="518" spans="1:20" x14ac:dyDescent="0.3">
      <c r="A518" t="s">
        <v>63</v>
      </c>
      <c r="B518">
        <v>126</v>
      </c>
      <c r="C518" t="s">
        <v>71</v>
      </c>
      <c r="D518" t="s">
        <v>74</v>
      </c>
      <c r="E518" t="s">
        <v>74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74</v>
      </c>
    </row>
    <row r="519" spans="1:20" x14ac:dyDescent="0.3">
      <c r="A519" t="s">
        <v>34</v>
      </c>
      <c r="B519">
        <v>97</v>
      </c>
      <c r="C519" t="s">
        <v>72</v>
      </c>
      <c r="D519" t="s">
        <v>74</v>
      </c>
      <c r="E519" t="s">
        <v>74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74</v>
      </c>
    </row>
    <row r="520" spans="1:20" x14ac:dyDescent="0.3">
      <c r="A520" t="s">
        <v>28</v>
      </c>
      <c r="B520">
        <v>95</v>
      </c>
      <c r="C520" t="s">
        <v>73</v>
      </c>
      <c r="D520" t="s">
        <v>75</v>
      </c>
      <c r="E520" t="s">
        <v>75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75</v>
      </c>
    </row>
    <row r="521" spans="1:20" x14ac:dyDescent="0.3">
      <c r="A521" t="s">
        <v>45</v>
      </c>
      <c r="B521">
        <v>87</v>
      </c>
      <c r="C521" t="s">
        <v>72</v>
      </c>
      <c r="D521" t="s">
        <v>74</v>
      </c>
      <c r="E521" t="s">
        <v>74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74</v>
      </c>
    </row>
    <row r="522" spans="1:20" x14ac:dyDescent="0.3">
      <c r="A522" t="s">
        <v>23</v>
      </c>
      <c r="B522">
        <v>97</v>
      </c>
      <c r="C522" t="s">
        <v>71</v>
      </c>
      <c r="D522" t="s">
        <v>74</v>
      </c>
      <c r="E522" t="s">
        <v>74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74</v>
      </c>
    </row>
    <row r="523" spans="1:20" x14ac:dyDescent="0.3">
      <c r="A523" t="s">
        <v>34</v>
      </c>
      <c r="B523">
        <v>140</v>
      </c>
      <c r="C523" t="s">
        <v>73</v>
      </c>
      <c r="D523" t="s">
        <v>74</v>
      </c>
      <c r="E523" t="s">
        <v>74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74</v>
      </c>
    </row>
    <row r="524" spans="1:20" x14ac:dyDescent="0.3">
      <c r="A524" t="s">
        <v>57</v>
      </c>
      <c r="B524">
        <v>169</v>
      </c>
      <c r="C524" t="s">
        <v>71</v>
      </c>
      <c r="D524" t="s">
        <v>74</v>
      </c>
      <c r="E524" t="s">
        <v>74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74</v>
      </c>
    </row>
    <row r="525" spans="1:20" x14ac:dyDescent="0.3">
      <c r="A525" t="s">
        <v>64</v>
      </c>
      <c r="B525">
        <v>68</v>
      </c>
      <c r="C525" t="s">
        <v>73</v>
      </c>
      <c r="D525" t="s">
        <v>74</v>
      </c>
      <c r="E525" t="s">
        <v>75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74</v>
      </c>
    </row>
    <row r="526" spans="1:20" x14ac:dyDescent="0.3">
      <c r="A526" t="s">
        <v>28</v>
      </c>
      <c r="B526">
        <v>122</v>
      </c>
      <c r="C526" t="s">
        <v>71</v>
      </c>
      <c r="D526" t="s">
        <v>74</v>
      </c>
      <c r="E526" t="s">
        <v>75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74</v>
      </c>
    </row>
    <row r="527" spans="1:20" x14ac:dyDescent="0.3">
      <c r="A527" t="s">
        <v>37</v>
      </c>
      <c r="B527">
        <v>36</v>
      </c>
      <c r="C527" t="s">
        <v>73</v>
      </c>
      <c r="D527" t="s">
        <v>74</v>
      </c>
      <c r="E527" t="s">
        <v>74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74</v>
      </c>
    </row>
    <row r="528" spans="1:20" x14ac:dyDescent="0.3">
      <c r="A528" t="s">
        <v>33</v>
      </c>
      <c r="B528">
        <v>120</v>
      </c>
      <c r="C528" t="s">
        <v>72</v>
      </c>
      <c r="D528" t="s">
        <v>74</v>
      </c>
      <c r="E528" t="s">
        <v>75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74</v>
      </c>
    </row>
    <row r="529" spans="1:20" x14ac:dyDescent="0.3">
      <c r="A529" t="s">
        <v>20</v>
      </c>
      <c r="B529">
        <v>121</v>
      </c>
      <c r="C529" t="s">
        <v>73</v>
      </c>
      <c r="D529" t="s">
        <v>74</v>
      </c>
      <c r="E529" t="s">
        <v>74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74</v>
      </c>
    </row>
    <row r="530" spans="1:20" x14ac:dyDescent="0.3">
      <c r="A530" t="s">
        <v>66</v>
      </c>
      <c r="B530">
        <v>64</v>
      </c>
      <c r="C530" t="s">
        <v>73</v>
      </c>
      <c r="D530" t="s">
        <v>74</v>
      </c>
      <c r="E530" t="s">
        <v>75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74</v>
      </c>
    </row>
    <row r="531" spans="1:20" x14ac:dyDescent="0.3">
      <c r="A531" t="s">
        <v>57</v>
      </c>
      <c r="B531">
        <v>13</v>
      </c>
      <c r="C531" t="s">
        <v>71</v>
      </c>
      <c r="D531" t="s">
        <v>74</v>
      </c>
      <c r="E531" t="s">
        <v>75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74</v>
      </c>
    </row>
    <row r="532" spans="1:20" x14ac:dyDescent="0.3">
      <c r="A532" t="s">
        <v>45</v>
      </c>
      <c r="B532">
        <v>106</v>
      </c>
      <c r="C532" t="s">
        <v>71</v>
      </c>
      <c r="D532" t="s">
        <v>74</v>
      </c>
      <c r="E532" t="s">
        <v>74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74</v>
      </c>
    </row>
    <row r="533" spans="1:20" x14ac:dyDescent="0.3">
      <c r="A533" t="s">
        <v>64</v>
      </c>
      <c r="B533">
        <v>88</v>
      </c>
      <c r="C533" t="s">
        <v>71</v>
      </c>
      <c r="D533" t="s">
        <v>74</v>
      </c>
      <c r="E533" t="s">
        <v>74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74</v>
      </c>
    </row>
    <row r="534" spans="1:20" x14ac:dyDescent="0.3">
      <c r="A534" t="s">
        <v>50</v>
      </c>
      <c r="B534">
        <v>74</v>
      </c>
      <c r="C534" t="s">
        <v>73</v>
      </c>
      <c r="D534" t="s">
        <v>74</v>
      </c>
      <c r="E534" t="s">
        <v>74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74</v>
      </c>
    </row>
    <row r="535" spans="1:20" x14ac:dyDescent="0.3">
      <c r="A535" t="s">
        <v>25</v>
      </c>
      <c r="B535">
        <v>83</v>
      </c>
      <c r="C535" t="s">
        <v>71</v>
      </c>
      <c r="D535" t="s">
        <v>74</v>
      </c>
      <c r="E535" t="s">
        <v>74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74</v>
      </c>
    </row>
    <row r="536" spans="1:20" x14ac:dyDescent="0.3">
      <c r="A536" t="s">
        <v>44</v>
      </c>
      <c r="B536">
        <v>49</v>
      </c>
      <c r="C536" t="s">
        <v>71</v>
      </c>
      <c r="D536" t="s">
        <v>74</v>
      </c>
      <c r="E536" t="s">
        <v>74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74</v>
      </c>
    </row>
    <row r="537" spans="1:20" x14ac:dyDescent="0.3">
      <c r="A537" t="s">
        <v>33</v>
      </c>
      <c r="B537">
        <v>111</v>
      </c>
      <c r="C537" t="s">
        <v>72</v>
      </c>
      <c r="D537" t="s">
        <v>74</v>
      </c>
      <c r="E537" t="s">
        <v>75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74</v>
      </c>
    </row>
    <row r="538" spans="1:20" x14ac:dyDescent="0.3">
      <c r="A538" t="s">
        <v>57</v>
      </c>
      <c r="B538">
        <v>50</v>
      </c>
      <c r="C538" t="s">
        <v>71</v>
      </c>
      <c r="D538" t="s">
        <v>74</v>
      </c>
      <c r="E538" t="s">
        <v>75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74</v>
      </c>
    </row>
    <row r="539" spans="1:20" x14ac:dyDescent="0.3">
      <c r="A539" t="s">
        <v>59</v>
      </c>
      <c r="B539">
        <v>88</v>
      </c>
      <c r="C539" t="s">
        <v>71</v>
      </c>
      <c r="D539" t="s">
        <v>74</v>
      </c>
      <c r="E539" t="s">
        <v>74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74</v>
      </c>
    </row>
    <row r="540" spans="1:20" x14ac:dyDescent="0.3">
      <c r="A540" t="s">
        <v>31</v>
      </c>
      <c r="B540">
        <v>131</v>
      </c>
      <c r="C540" t="s">
        <v>71</v>
      </c>
      <c r="D540" t="s">
        <v>74</v>
      </c>
      <c r="E540" t="s">
        <v>75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74</v>
      </c>
    </row>
    <row r="541" spans="1:20" x14ac:dyDescent="0.3">
      <c r="A541" t="s">
        <v>37</v>
      </c>
      <c r="B541">
        <v>79</v>
      </c>
      <c r="C541" t="s">
        <v>73</v>
      </c>
      <c r="D541" t="s">
        <v>74</v>
      </c>
      <c r="E541" t="s">
        <v>74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75</v>
      </c>
    </row>
    <row r="542" spans="1:20" x14ac:dyDescent="0.3">
      <c r="A542" t="s">
        <v>38</v>
      </c>
      <c r="B542">
        <v>140</v>
      </c>
      <c r="C542" t="s">
        <v>71</v>
      </c>
      <c r="D542" t="s">
        <v>74</v>
      </c>
      <c r="E542" t="s">
        <v>74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74</v>
      </c>
    </row>
    <row r="543" spans="1:20" x14ac:dyDescent="0.3">
      <c r="A543" t="s">
        <v>54</v>
      </c>
      <c r="B543">
        <v>105</v>
      </c>
      <c r="C543" t="s">
        <v>73</v>
      </c>
      <c r="D543" t="s">
        <v>74</v>
      </c>
      <c r="E543" t="s">
        <v>74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74</v>
      </c>
    </row>
    <row r="544" spans="1:20" x14ac:dyDescent="0.3">
      <c r="A544" t="s">
        <v>30</v>
      </c>
      <c r="B544">
        <v>87</v>
      </c>
      <c r="C544" t="s">
        <v>71</v>
      </c>
      <c r="D544" t="s">
        <v>74</v>
      </c>
      <c r="E544" t="s">
        <v>75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74</v>
      </c>
    </row>
    <row r="545" spans="1:20" x14ac:dyDescent="0.3">
      <c r="A545" t="s">
        <v>60</v>
      </c>
      <c r="B545">
        <v>96</v>
      </c>
      <c r="C545" t="s">
        <v>72</v>
      </c>
      <c r="D545" t="s">
        <v>74</v>
      </c>
      <c r="E545" t="s">
        <v>75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74</v>
      </c>
    </row>
    <row r="546" spans="1:20" x14ac:dyDescent="0.3">
      <c r="A546" t="s">
        <v>60</v>
      </c>
      <c r="B546">
        <v>79</v>
      </c>
      <c r="C546" t="s">
        <v>72</v>
      </c>
      <c r="D546" t="s">
        <v>74</v>
      </c>
      <c r="E546" t="s">
        <v>74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75</v>
      </c>
    </row>
    <row r="547" spans="1:20" x14ac:dyDescent="0.3">
      <c r="A547" t="s">
        <v>32</v>
      </c>
      <c r="B547">
        <v>55</v>
      </c>
      <c r="C547" t="s">
        <v>71</v>
      </c>
      <c r="D547" t="s">
        <v>74</v>
      </c>
      <c r="E547" t="s">
        <v>74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74</v>
      </c>
    </row>
    <row r="548" spans="1:20" x14ac:dyDescent="0.3">
      <c r="A548" t="s">
        <v>35</v>
      </c>
      <c r="B548">
        <v>130</v>
      </c>
      <c r="C548" t="s">
        <v>71</v>
      </c>
      <c r="D548" t="s">
        <v>74</v>
      </c>
      <c r="E548" t="s">
        <v>74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74</v>
      </c>
    </row>
    <row r="549" spans="1:20" x14ac:dyDescent="0.3">
      <c r="A549" t="s">
        <v>50</v>
      </c>
      <c r="B549">
        <v>34</v>
      </c>
      <c r="C549" t="s">
        <v>71</v>
      </c>
      <c r="D549" t="s">
        <v>74</v>
      </c>
      <c r="E549" t="s">
        <v>74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74</v>
      </c>
    </row>
    <row r="550" spans="1:20" x14ac:dyDescent="0.3">
      <c r="A550" t="s">
        <v>33</v>
      </c>
      <c r="B550">
        <v>139</v>
      </c>
      <c r="C550" t="s">
        <v>71</v>
      </c>
      <c r="D550" t="s">
        <v>74</v>
      </c>
      <c r="E550" t="s">
        <v>74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74</v>
      </c>
    </row>
    <row r="551" spans="1:20" x14ac:dyDescent="0.3">
      <c r="A551" t="s">
        <v>57</v>
      </c>
      <c r="B551">
        <v>109</v>
      </c>
      <c r="C551" t="s">
        <v>73</v>
      </c>
      <c r="D551" t="s">
        <v>74</v>
      </c>
      <c r="E551" t="s">
        <v>74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75</v>
      </c>
    </row>
    <row r="552" spans="1:20" x14ac:dyDescent="0.3">
      <c r="A552" t="s">
        <v>56</v>
      </c>
      <c r="B552">
        <v>65</v>
      </c>
      <c r="C552" t="s">
        <v>73</v>
      </c>
      <c r="D552" t="s">
        <v>74</v>
      </c>
      <c r="E552" t="s">
        <v>75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74</v>
      </c>
    </row>
    <row r="553" spans="1:20" x14ac:dyDescent="0.3">
      <c r="A553" t="s">
        <v>23</v>
      </c>
      <c r="B553">
        <v>152</v>
      </c>
      <c r="C553" t="s">
        <v>71</v>
      </c>
      <c r="D553" t="s">
        <v>74</v>
      </c>
      <c r="E553" t="s">
        <v>74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74</v>
      </c>
    </row>
    <row r="554" spans="1:20" x14ac:dyDescent="0.3">
      <c r="A554" t="s">
        <v>64</v>
      </c>
      <c r="B554">
        <v>147</v>
      </c>
      <c r="C554" t="s">
        <v>73</v>
      </c>
      <c r="D554" t="s">
        <v>74</v>
      </c>
      <c r="E554" t="s">
        <v>74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74</v>
      </c>
    </row>
    <row r="555" spans="1:20" x14ac:dyDescent="0.3">
      <c r="A555" t="s">
        <v>27</v>
      </c>
      <c r="B555">
        <v>112</v>
      </c>
      <c r="C555" t="s">
        <v>71</v>
      </c>
      <c r="D555" t="s">
        <v>74</v>
      </c>
      <c r="E555" t="s">
        <v>75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74</v>
      </c>
    </row>
    <row r="556" spans="1:20" x14ac:dyDescent="0.3">
      <c r="A556" t="s">
        <v>58</v>
      </c>
      <c r="B556">
        <v>120</v>
      </c>
      <c r="C556" t="s">
        <v>71</v>
      </c>
      <c r="D556" t="s">
        <v>74</v>
      </c>
      <c r="E556" t="s">
        <v>74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74</v>
      </c>
    </row>
    <row r="557" spans="1:20" x14ac:dyDescent="0.3">
      <c r="A557" t="s">
        <v>30</v>
      </c>
      <c r="B557">
        <v>171</v>
      </c>
      <c r="C557" t="s">
        <v>71</v>
      </c>
      <c r="D557" t="s">
        <v>74</v>
      </c>
      <c r="E557" t="s">
        <v>74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74</v>
      </c>
    </row>
    <row r="558" spans="1:20" x14ac:dyDescent="0.3">
      <c r="A558" t="s">
        <v>27</v>
      </c>
      <c r="B558">
        <v>101</v>
      </c>
      <c r="C558" t="s">
        <v>71</v>
      </c>
      <c r="D558" t="s">
        <v>74</v>
      </c>
      <c r="E558" t="s">
        <v>75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74</v>
      </c>
    </row>
    <row r="559" spans="1:20" x14ac:dyDescent="0.3">
      <c r="A559" t="s">
        <v>65</v>
      </c>
      <c r="B559">
        <v>32</v>
      </c>
      <c r="C559" t="s">
        <v>73</v>
      </c>
      <c r="D559" t="s">
        <v>74</v>
      </c>
      <c r="E559" t="s">
        <v>75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74</v>
      </c>
    </row>
    <row r="560" spans="1:20" x14ac:dyDescent="0.3">
      <c r="A560" t="s">
        <v>25</v>
      </c>
      <c r="B560">
        <v>151</v>
      </c>
      <c r="C560" t="s">
        <v>73</v>
      </c>
      <c r="D560" t="s">
        <v>74</v>
      </c>
      <c r="E560" t="s">
        <v>74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74</v>
      </c>
    </row>
    <row r="561" spans="1:20" x14ac:dyDescent="0.3">
      <c r="A561" t="s">
        <v>33</v>
      </c>
      <c r="B561">
        <v>60</v>
      </c>
      <c r="C561" t="s">
        <v>73</v>
      </c>
      <c r="D561" t="s">
        <v>74</v>
      </c>
      <c r="E561" t="s">
        <v>74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74</v>
      </c>
    </row>
    <row r="562" spans="1:20" x14ac:dyDescent="0.3">
      <c r="A562" t="s">
        <v>45</v>
      </c>
      <c r="B562">
        <v>119</v>
      </c>
      <c r="C562" t="s">
        <v>71</v>
      </c>
      <c r="D562" t="s">
        <v>74</v>
      </c>
      <c r="E562" t="s">
        <v>74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74</v>
      </c>
    </row>
    <row r="563" spans="1:20" x14ac:dyDescent="0.3">
      <c r="A563" t="s">
        <v>26</v>
      </c>
      <c r="B563">
        <v>43</v>
      </c>
      <c r="C563" t="s">
        <v>71</v>
      </c>
      <c r="D563" t="s">
        <v>74</v>
      </c>
      <c r="E563" t="s">
        <v>74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74</v>
      </c>
    </row>
    <row r="564" spans="1:20" x14ac:dyDescent="0.3">
      <c r="A564" t="s">
        <v>51</v>
      </c>
      <c r="B564">
        <v>84</v>
      </c>
      <c r="C564" t="s">
        <v>73</v>
      </c>
      <c r="D564" t="s">
        <v>74</v>
      </c>
      <c r="E564" t="s">
        <v>74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74</v>
      </c>
    </row>
    <row r="565" spans="1:20" x14ac:dyDescent="0.3">
      <c r="A565" t="s">
        <v>38</v>
      </c>
      <c r="B565">
        <v>65</v>
      </c>
      <c r="C565" t="s">
        <v>72</v>
      </c>
      <c r="D565" t="s">
        <v>74</v>
      </c>
      <c r="E565" t="s">
        <v>74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74</v>
      </c>
    </row>
    <row r="566" spans="1:20" x14ac:dyDescent="0.3">
      <c r="A566" t="s">
        <v>34</v>
      </c>
      <c r="B566">
        <v>75</v>
      </c>
      <c r="C566" t="s">
        <v>71</v>
      </c>
      <c r="D566" t="s">
        <v>75</v>
      </c>
      <c r="E566" t="s">
        <v>74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75</v>
      </c>
    </row>
    <row r="567" spans="1:20" x14ac:dyDescent="0.3">
      <c r="A567" t="s">
        <v>20</v>
      </c>
      <c r="B567">
        <v>116</v>
      </c>
      <c r="C567" t="s">
        <v>72</v>
      </c>
      <c r="D567" t="s">
        <v>74</v>
      </c>
      <c r="E567" t="s">
        <v>74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74</v>
      </c>
    </row>
    <row r="568" spans="1:20" x14ac:dyDescent="0.3">
      <c r="A568" t="s">
        <v>65</v>
      </c>
      <c r="B568">
        <v>107</v>
      </c>
      <c r="C568" t="s">
        <v>71</v>
      </c>
      <c r="D568" t="s">
        <v>74</v>
      </c>
      <c r="E568" t="s">
        <v>74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74</v>
      </c>
    </row>
    <row r="569" spans="1:20" x14ac:dyDescent="0.3">
      <c r="A569" t="s">
        <v>24</v>
      </c>
      <c r="B569">
        <v>189</v>
      </c>
      <c r="C569" t="s">
        <v>71</v>
      </c>
      <c r="D569" t="s">
        <v>74</v>
      </c>
      <c r="E569" t="s">
        <v>75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74</v>
      </c>
    </row>
    <row r="570" spans="1:20" x14ac:dyDescent="0.3">
      <c r="A570" t="s">
        <v>64</v>
      </c>
      <c r="B570">
        <v>123</v>
      </c>
      <c r="C570" t="s">
        <v>73</v>
      </c>
      <c r="D570" t="s">
        <v>74</v>
      </c>
      <c r="E570" t="s">
        <v>74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74</v>
      </c>
    </row>
    <row r="571" spans="1:20" x14ac:dyDescent="0.3">
      <c r="A571" t="s">
        <v>35</v>
      </c>
      <c r="B571">
        <v>110</v>
      </c>
      <c r="C571" t="s">
        <v>73</v>
      </c>
      <c r="D571" t="s">
        <v>74</v>
      </c>
      <c r="E571" t="s">
        <v>74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74</v>
      </c>
    </row>
    <row r="572" spans="1:20" x14ac:dyDescent="0.3">
      <c r="A572" t="s">
        <v>33</v>
      </c>
      <c r="B572">
        <v>63</v>
      </c>
      <c r="C572" t="s">
        <v>71</v>
      </c>
      <c r="D572" t="s">
        <v>74</v>
      </c>
      <c r="E572" t="s">
        <v>75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74</v>
      </c>
    </row>
    <row r="573" spans="1:20" x14ac:dyDescent="0.3">
      <c r="A573" t="s">
        <v>59</v>
      </c>
      <c r="B573">
        <v>176</v>
      </c>
      <c r="C573" t="s">
        <v>71</v>
      </c>
      <c r="D573" t="s">
        <v>74</v>
      </c>
      <c r="E573" t="s">
        <v>74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74</v>
      </c>
    </row>
    <row r="574" spans="1:20" x14ac:dyDescent="0.3">
      <c r="A574" t="s">
        <v>43</v>
      </c>
      <c r="B574">
        <v>108</v>
      </c>
      <c r="C574" t="s">
        <v>72</v>
      </c>
      <c r="D574" t="s">
        <v>74</v>
      </c>
      <c r="E574" t="s">
        <v>74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74</v>
      </c>
    </row>
    <row r="575" spans="1:20" x14ac:dyDescent="0.3">
      <c r="A575" t="s">
        <v>33</v>
      </c>
      <c r="B575">
        <v>71</v>
      </c>
      <c r="C575" t="s">
        <v>71</v>
      </c>
      <c r="D575" t="s">
        <v>74</v>
      </c>
      <c r="E575" t="s">
        <v>74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74</v>
      </c>
    </row>
    <row r="576" spans="1:20" x14ac:dyDescent="0.3">
      <c r="A576" t="s">
        <v>53</v>
      </c>
      <c r="B576">
        <v>137</v>
      </c>
      <c r="C576" t="s">
        <v>72</v>
      </c>
      <c r="D576" t="s">
        <v>74</v>
      </c>
      <c r="E576" t="s">
        <v>74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74</v>
      </c>
    </row>
    <row r="577" spans="1:20" x14ac:dyDescent="0.3">
      <c r="A577" t="s">
        <v>24</v>
      </c>
      <c r="B577">
        <v>82</v>
      </c>
      <c r="C577" t="s">
        <v>73</v>
      </c>
      <c r="D577" t="s">
        <v>74</v>
      </c>
      <c r="E577" t="s">
        <v>74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74</v>
      </c>
    </row>
    <row r="578" spans="1:20" x14ac:dyDescent="0.3">
      <c r="A578" t="s">
        <v>28</v>
      </c>
      <c r="B578">
        <v>92</v>
      </c>
      <c r="C578" t="s">
        <v>72</v>
      </c>
      <c r="D578" t="s">
        <v>74</v>
      </c>
      <c r="E578" t="s">
        <v>75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74</v>
      </c>
    </row>
    <row r="579" spans="1:20" x14ac:dyDescent="0.3">
      <c r="A579" t="s">
        <v>31</v>
      </c>
      <c r="B579">
        <v>165</v>
      </c>
      <c r="C579" t="s">
        <v>72</v>
      </c>
      <c r="D579" t="s">
        <v>74</v>
      </c>
      <c r="E579" t="s">
        <v>74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74</v>
      </c>
    </row>
    <row r="580" spans="1:20" x14ac:dyDescent="0.3">
      <c r="A580" t="s">
        <v>57</v>
      </c>
      <c r="B580">
        <v>96</v>
      </c>
      <c r="C580" t="s">
        <v>71</v>
      </c>
      <c r="D580" t="s">
        <v>74</v>
      </c>
      <c r="E580" t="s">
        <v>74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74</v>
      </c>
    </row>
    <row r="581" spans="1:20" x14ac:dyDescent="0.3">
      <c r="A581" t="s">
        <v>62</v>
      </c>
      <c r="B581">
        <v>156</v>
      </c>
      <c r="C581" t="s">
        <v>71</v>
      </c>
      <c r="D581" t="s">
        <v>74</v>
      </c>
      <c r="E581" t="s">
        <v>74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74</v>
      </c>
    </row>
    <row r="582" spans="1:20" x14ac:dyDescent="0.3">
      <c r="A582" t="s">
        <v>41</v>
      </c>
      <c r="B582">
        <v>63</v>
      </c>
      <c r="C582" t="s">
        <v>73</v>
      </c>
      <c r="D582" t="s">
        <v>74</v>
      </c>
      <c r="E582" t="s">
        <v>74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74</v>
      </c>
    </row>
    <row r="583" spans="1:20" x14ac:dyDescent="0.3">
      <c r="A583" t="s">
        <v>46</v>
      </c>
      <c r="B583">
        <v>37</v>
      </c>
      <c r="C583" t="s">
        <v>71</v>
      </c>
      <c r="D583" t="s">
        <v>74</v>
      </c>
      <c r="E583" t="s">
        <v>74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74</v>
      </c>
    </row>
    <row r="584" spans="1:20" x14ac:dyDescent="0.3">
      <c r="A584" t="s">
        <v>22</v>
      </c>
      <c r="B584">
        <v>98</v>
      </c>
      <c r="C584" t="s">
        <v>71</v>
      </c>
      <c r="D584" t="s">
        <v>74</v>
      </c>
      <c r="E584" t="s">
        <v>74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74</v>
      </c>
    </row>
    <row r="585" spans="1:20" x14ac:dyDescent="0.3">
      <c r="A585" t="s">
        <v>65</v>
      </c>
      <c r="B585">
        <v>121</v>
      </c>
      <c r="C585" t="s">
        <v>71</v>
      </c>
      <c r="D585" t="s">
        <v>74</v>
      </c>
      <c r="E585" t="s">
        <v>74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74</v>
      </c>
    </row>
    <row r="586" spans="1:20" x14ac:dyDescent="0.3">
      <c r="A586" t="s">
        <v>55</v>
      </c>
      <c r="B586">
        <v>94</v>
      </c>
      <c r="C586" t="s">
        <v>71</v>
      </c>
      <c r="D586" t="s">
        <v>74</v>
      </c>
      <c r="E586" t="s">
        <v>74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74</v>
      </c>
    </row>
    <row r="587" spans="1:20" x14ac:dyDescent="0.3">
      <c r="A587" t="s">
        <v>20</v>
      </c>
      <c r="B587">
        <v>99</v>
      </c>
      <c r="C587" t="s">
        <v>71</v>
      </c>
      <c r="D587" t="s">
        <v>74</v>
      </c>
      <c r="E587" t="s">
        <v>74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74</v>
      </c>
    </row>
    <row r="588" spans="1:20" x14ac:dyDescent="0.3">
      <c r="A588" t="s">
        <v>57</v>
      </c>
      <c r="B588">
        <v>163</v>
      </c>
      <c r="C588" t="s">
        <v>72</v>
      </c>
      <c r="D588" t="s">
        <v>74</v>
      </c>
      <c r="E588" t="s">
        <v>75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74</v>
      </c>
    </row>
    <row r="589" spans="1:20" x14ac:dyDescent="0.3">
      <c r="A589" t="s">
        <v>37</v>
      </c>
      <c r="B589">
        <v>161</v>
      </c>
      <c r="C589" t="s">
        <v>72</v>
      </c>
      <c r="D589" t="s">
        <v>74</v>
      </c>
      <c r="E589" t="s">
        <v>74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74</v>
      </c>
    </row>
    <row r="590" spans="1:20" x14ac:dyDescent="0.3">
      <c r="A590" t="s">
        <v>33</v>
      </c>
      <c r="B590">
        <v>108</v>
      </c>
      <c r="C590" t="s">
        <v>71</v>
      </c>
      <c r="D590" t="s">
        <v>74</v>
      </c>
      <c r="E590" t="s">
        <v>74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74</v>
      </c>
    </row>
    <row r="591" spans="1:20" x14ac:dyDescent="0.3">
      <c r="A591" t="s">
        <v>54</v>
      </c>
      <c r="B591">
        <v>84</v>
      </c>
      <c r="C591" t="s">
        <v>72</v>
      </c>
      <c r="D591" t="s">
        <v>74</v>
      </c>
      <c r="E591" t="s">
        <v>75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74</v>
      </c>
    </row>
    <row r="592" spans="1:20" x14ac:dyDescent="0.3">
      <c r="A592" t="s">
        <v>29</v>
      </c>
      <c r="B592">
        <v>83</v>
      </c>
      <c r="C592" t="s">
        <v>71</v>
      </c>
      <c r="D592" t="s">
        <v>75</v>
      </c>
      <c r="E592" t="s">
        <v>75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74</v>
      </c>
    </row>
    <row r="593" spans="1:20" x14ac:dyDescent="0.3">
      <c r="A593" t="s">
        <v>63</v>
      </c>
      <c r="B593">
        <v>139</v>
      </c>
      <c r="C593" t="s">
        <v>72</v>
      </c>
      <c r="D593" t="s">
        <v>74</v>
      </c>
      <c r="E593" t="s">
        <v>74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74</v>
      </c>
    </row>
    <row r="594" spans="1:20" x14ac:dyDescent="0.3">
      <c r="A594" t="s">
        <v>69</v>
      </c>
      <c r="B594">
        <v>69</v>
      </c>
      <c r="C594" t="s">
        <v>72</v>
      </c>
      <c r="D594" t="s">
        <v>74</v>
      </c>
      <c r="E594" t="s">
        <v>74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74</v>
      </c>
    </row>
    <row r="595" spans="1:20" x14ac:dyDescent="0.3">
      <c r="A595" t="s">
        <v>37</v>
      </c>
      <c r="B595">
        <v>106</v>
      </c>
      <c r="C595" t="s">
        <v>71</v>
      </c>
      <c r="D595" t="s">
        <v>74</v>
      </c>
      <c r="E595" t="s">
        <v>74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74</v>
      </c>
    </row>
    <row r="596" spans="1:20" x14ac:dyDescent="0.3">
      <c r="A596" t="s">
        <v>50</v>
      </c>
      <c r="B596">
        <v>158</v>
      </c>
      <c r="C596" t="s">
        <v>71</v>
      </c>
      <c r="D596" t="s">
        <v>74</v>
      </c>
      <c r="E596" t="s">
        <v>74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74</v>
      </c>
    </row>
    <row r="597" spans="1:20" x14ac:dyDescent="0.3">
      <c r="A597" t="s">
        <v>56</v>
      </c>
      <c r="B597">
        <v>168</v>
      </c>
      <c r="C597" t="s">
        <v>71</v>
      </c>
      <c r="D597" t="s">
        <v>74</v>
      </c>
      <c r="E597" t="s">
        <v>75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74</v>
      </c>
    </row>
    <row r="598" spans="1:20" x14ac:dyDescent="0.3">
      <c r="A598" t="s">
        <v>65</v>
      </c>
      <c r="B598">
        <v>115</v>
      </c>
      <c r="C598" t="s">
        <v>72</v>
      </c>
      <c r="D598" t="s">
        <v>75</v>
      </c>
      <c r="E598" t="s">
        <v>74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75</v>
      </c>
    </row>
    <row r="599" spans="1:20" x14ac:dyDescent="0.3">
      <c r="A599" t="s">
        <v>27</v>
      </c>
      <c r="B599">
        <v>57</v>
      </c>
      <c r="C599" t="s">
        <v>73</v>
      </c>
      <c r="D599" t="s">
        <v>75</v>
      </c>
      <c r="E599" t="s">
        <v>75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74</v>
      </c>
    </row>
    <row r="600" spans="1:20" x14ac:dyDescent="0.3">
      <c r="A600" t="s">
        <v>48</v>
      </c>
      <c r="B600">
        <v>67</v>
      </c>
      <c r="C600" t="s">
        <v>71</v>
      </c>
      <c r="D600" t="s">
        <v>74</v>
      </c>
      <c r="E600" t="s">
        <v>74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74</v>
      </c>
    </row>
    <row r="601" spans="1:20" x14ac:dyDescent="0.3">
      <c r="A601" t="s">
        <v>35</v>
      </c>
      <c r="B601">
        <v>127</v>
      </c>
      <c r="C601" t="s">
        <v>73</v>
      </c>
      <c r="D601" t="s">
        <v>74</v>
      </c>
      <c r="E601" t="s">
        <v>74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74</v>
      </c>
    </row>
    <row r="602" spans="1:20" x14ac:dyDescent="0.3">
      <c r="A602" t="s">
        <v>35</v>
      </c>
      <c r="B602">
        <v>78</v>
      </c>
      <c r="C602" t="s">
        <v>72</v>
      </c>
      <c r="D602" t="s">
        <v>74</v>
      </c>
      <c r="E602" t="s">
        <v>74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74</v>
      </c>
    </row>
    <row r="603" spans="1:20" x14ac:dyDescent="0.3">
      <c r="A603" t="s">
        <v>54</v>
      </c>
      <c r="B603">
        <v>100</v>
      </c>
      <c r="C603" t="s">
        <v>71</v>
      </c>
      <c r="D603" t="s">
        <v>74</v>
      </c>
      <c r="E603" t="s">
        <v>75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74</v>
      </c>
    </row>
    <row r="604" spans="1:20" x14ac:dyDescent="0.3">
      <c r="A604" t="s">
        <v>42</v>
      </c>
      <c r="B604">
        <v>103</v>
      </c>
      <c r="C604" t="s">
        <v>72</v>
      </c>
      <c r="D604" t="s">
        <v>74</v>
      </c>
      <c r="E604" t="s">
        <v>75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75</v>
      </c>
    </row>
    <row r="605" spans="1:20" x14ac:dyDescent="0.3">
      <c r="A605" t="s">
        <v>70</v>
      </c>
      <c r="B605">
        <v>113</v>
      </c>
      <c r="C605" t="s">
        <v>71</v>
      </c>
      <c r="D605" t="s">
        <v>74</v>
      </c>
      <c r="E605" t="s">
        <v>74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74</v>
      </c>
    </row>
    <row r="606" spans="1:20" x14ac:dyDescent="0.3">
      <c r="A606" t="s">
        <v>58</v>
      </c>
      <c r="B606">
        <v>129</v>
      </c>
      <c r="C606" t="s">
        <v>72</v>
      </c>
      <c r="D606" t="s">
        <v>74</v>
      </c>
      <c r="E606" t="s">
        <v>75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74</v>
      </c>
    </row>
    <row r="607" spans="1:20" x14ac:dyDescent="0.3">
      <c r="A607" t="s">
        <v>69</v>
      </c>
      <c r="B607">
        <v>57</v>
      </c>
      <c r="C607" t="s">
        <v>72</v>
      </c>
      <c r="D607" t="s">
        <v>74</v>
      </c>
      <c r="E607" t="s">
        <v>74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74</v>
      </c>
    </row>
    <row r="608" spans="1:20" x14ac:dyDescent="0.3">
      <c r="A608" t="s">
        <v>65</v>
      </c>
      <c r="B608">
        <v>82</v>
      </c>
      <c r="C608" t="s">
        <v>73</v>
      </c>
      <c r="D608" t="s">
        <v>74</v>
      </c>
      <c r="E608" t="s">
        <v>74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74</v>
      </c>
    </row>
    <row r="609" spans="1:20" x14ac:dyDescent="0.3">
      <c r="A609" t="s">
        <v>28</v>
      </c>
      <c r="B609">
        <v>64</v>
      </c>
      <c r="C609" t="s">
        <v>71</v>
      </c>
      <c r="D609" t="s">
        <v>74</v>
      </c>
      <c r="E609" t="s">
        <v>74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74</v>
      </c>
    </row>
    <row r="610" spans="1:20" x14ac:dyDescent="0.3">
      <c r="A610" t="s">
        <v>53</v>
      </c>
      <c r="B610">
        <v>86</v>
      </c>
      <c r="C610" t="s">
        <v>72</v>
      </c>
      <c r="D610" t="s">
        <v>74</v>
      </c>
      <c r="E610" t="s">
        <v>75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74</v>
      </c>
    </row>
    <row r="611" spans="1:20" x14ac:dyDescent="0.3">
      <c r="A611" t="s">
        <v>59</v>
      </c>
      <c r="B611">
        <v>151</v>
      </c>
      <c r="C611" t="s">
        <v>71</v>
      </c>
      <c r="D611" t="s">
        <v>74</v>
      </c>
      <c r="E611" t="s">
        <v>75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74</v>
      </c>
    </row>
    <row r="612" spans="1:20" x14ac:dyDescent="0.3">
      <c r="A612" t="s">
        <v>30</v>
      </c>
      <c r="B612">
        <v>94</v>
      </c>
      <c r="C612" t="s">
        <v>72</v>
      </c>
      <c r="D612" t="s">
        <v>74</v>
      </c>
      <c r="E612" t="s">
        <v>74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75</v>
      </c>
    </row>
    <row r="613" spans="1:20" x14ac:dyDescent="0.3">
      <c r="A613" t="s">
        <v>30</v>
      </c>
      <c r="B613">
        <v>90</v>
      </c>
      <c r="C613" t="s">
        <v>71</v>
      </c>
      <c r="D613" t="s">
        <v>74</v>
      </c>
      <c r="E613" t="s">
        <v>74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74</v>
      </c>
    </row>
    <row r="614" spans="1:20" x14ac:dyDescent="0.3">
      <c r="A614" t="s">
        <v>51</v>
      </c>
      <c r="B614">
        <v>48</v>
      </c>
      <c r="C614" t="s">
        <v>72</v>
      </c>
      <c r="D614" t="s">
        <v>74</v>
      </c>
      <c r="E614" t="s">
        <v>74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74</v>
      </c>
    </row>
    <row r="615" spans="1:20" x14ac:dyDescent="0.3">
      <c r="A615" t="s">
        <v>28</v>
      </c>
      <c r="B615">
        <v>93</v>
      </c>
      <c r="C615" t="s">
        <v>71</v>
      </c>
      <c r="D615" t="s">
        <v>75</v>
      </c>
      <c r="E615" t="s">
        <v>75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74</v>
      </c>
    </row>
    <row r="616" spans="1:20" x14ac:dyDescent="0.3">
      <c r="A616" t="s">
        <v>63</v>
      </c>
      <c r="B616">
        <v>169</v>
      </c>
      <c r="C616" t="s">
        <v>71</v>
      </c>
      <c r="D616" t="s">
        <v>75</v>
      </c>
      <c r="E616" t="s">
        <v>74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74</v>
      </c>
    </row>
    <row r="617" spans="1:20" x14ac:dyDescent="0.3">
      <c r="A617" t="s">
        <v>70</v>
      </c>
      <c r="B617">
        <v>91</v>
      </c>
      <c r="C617" t="s">
        <v>71</v>
      </c>
      <c r="D617" t="s">
        <v>75</v>
      </c>
      <c r="E617" t="s">
        <v>74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75</v>
      </c>
    </row>
    <row r="618" spans="1:20" x14ac:dyDescent="0.3">
      <c r="A618" t="s">
        <v>40</v>
      </c>
      <c r="B618">
        <v>101</v>
      </c>
      <c r="C618" t="s">
        <v>72</v>
      </c>
      <c r="D618" t="s">
        <v>74</v>
      </c>
      <c r="E618" t="s">
        <v>74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74</v>
      </c>
    </row>
    <row r="619" spans="1:20" x14ac:dyDescent="0.3">
      <c r="A619" t="s">
        <v>42</v>
      </c>
      <c r="B619">
        <v>67</v>
      </c>
      <c r="C619" t="s">
        <v>72</v>
      </c>
      <c r="D619" t="s">
        <v>74</v>
      </c>
      <c r="E619" t="s">
        <v>75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74</v>
      </c>
    </row>
    <row r="620" spans="1:20" x14ac:dyDescent="0.3">
      <c r="A620" t="s">
        <v>24</v>
      </c>
      <c r="B620">
        <v>66</v>
      </c>
      <c r="C620" t="s">
        <v>71</v>
      </c>
      <c r="D620" t="s">
        <v>74</v>
      </c>
      <c r="E620" t="s">
        <v>74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74</v>
      </c>
    </row>
    <row r="621" spans="1:20" x14ac:dyDescent="0.3">
      <c r="A621" t="s">
        <v>39</v>
      </c>
      <c r="B621">
        <v>116</v>
      </c>
      <c r="C621" t="s">
        <v>71</v>
      </c>
      <c r="D621" t="s">
        <v>74</v>
      </c>
      <c r="E621" t="s">
        <v>75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74</v>
      </c>
    </row>
    <row r="622" spans="1:20" x14ac:dyDescent="0.3">
      <c r="A622" t="s">
        <v>26</v>
      </c>
      <c r="B622">
        <v>158</v>
      </c>
      <c r="C622" t="s">
        <v>73</v>
      </c>
      <c r="D622" t="s">
        <v>74</v>
      </c>
      <c r="E622" t="s">
        <v>74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74</v>
      </c>
    </row>
    <row r="623" spans="1:20" x14ac:dyDescent="0.3">
      <c r="A623" t="s">
        <v>41</v>
      </c>
      <c r="B623">
        <v>119</v>
      </c>
      <c r="C623" t="s">
        <v>71</v>
      </c>
      <c r="D623" t="s">
        <v>74</v>
      </c>
      <c r="E623" t="s">
        <v>75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74</v>
      </c>
    </row>
    <row r="624" spans="1:20" x14ac:dyDescent="0.3">
      <c r="A624" t="s">
        <v>40</v>
      </c>
      <c r="B624">
        <v>120</v>
      </c>
      <c r="C624" t="s">
        <v>71</v>
      </c>
      <c r="D624" t="s">
        <v>74</v>
      </c>
      <c r="E624" t="s">
        <v>74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74</v>
      </c>
    </row>
    <row r="625" spans="1:20" x14ac:dyDescent="0.3">
      <c r="A625" t="s">
        <v>70</v>
      </c>
      <c r="B625">
        <v>155</v>
      </c>
      <c r="C625" t="s">
        <v>72</v>
      </c>
      <c r="D625" t="s">
        <v>74</v>
      </c>
      <c r="E625" t="s">
        <v>74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74</v>
      </c>
    </row>
    <row r="626" spans="1:20" x14ac:dyDescent="0.3">
      <c r="A626" t="s">
        <v>26</v>
      </c>
      <c r="B626">
        <v>106</v>
      </c>
      <c r="C626" t="s">
        <v>73</v>
      </c>
      <c r="D626" t="s">
        <v>74</v>
      </c>
      <c r="E626" t="s">
        <v>74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74</v>
      </c>
    </row>
    <row r="627" spans="1:20" x14ac:dyDescent="0.3">
      <c r="A627" t="s">
        <v>21</v>
      </c>
      <c r="B627">
        <v>146</v>
      </c>
      <c r="C627" t="s">
        <v>71</v>
      </c>
      <c r="D627" t="s">
        <v>74</v>
      </c>
      <c r="E627" t="s">
        <v>75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74</v>
      </c>
    </row>
    <row r="628" spans="1:20" x14ac:dyDescent="0.3">
      <c r="A628" t="s">
        <v>37</v>
      </c>
      <c r="B628">
        <v>101</v>
      </c>
      <c r="C628" t="s">
        <v>71</v>
      </c>
      <c r="D628" t="s">
        <v>74</v>
      </c>
      <c r="E628" t="s">
        <v>75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74</v>
      </c>
    </row>
    <row r="629" spans="1:20" x14ac:dyDescent="0.3">
      <c r="A629" t="s">
        <v>33</v>
      </c>
      <c r="B629">
        <v>22</v>
      </c>
      <c r="C629" t="s">
        <v>72</v>
      </c>
      <c r="D629" t="s">
        <v>74</v>
      </c>
      <c r="E629" t="s">
        <v>75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74</v>
      </c>
    </row>
    <row r="630" spans="1:20" x14ac:dyDescent="0.3">
      <c r="A630" t="s">
        <v>34</v>
      </c>
      <c r="B630">
        <v>90</v>
      </c>
      <c r="C630" t="s">
        <v>71</v>
      </c>
      <c r="D630" t="s">
        <v>74</v>
      </c>
      <c r="E630" t="s">
        <v>74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74</v>
      </c>
    </row>
    <row r="631" spans="1:20" x14ac:dyDescent="0.3">
      <c r="A631" t="s">
        <v>38</v>
      </c>
      <c r="B631">
        <v>41</v>
      </c>
      <c r="C631" t="s">
        <v>71</v>
      </c>
      <c r="D631" t="s">
        <v>74</v>
      </c>
      <c r="E631" t="s">
        <v>74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74</v>
      </c>
    </row>
    <row r="632" spans="1:20" x14ac:dyDescent="0.3">
      <c r="A632" t="s">
        <v>30</v>
      </c>
      <c r="B632">
        <v>33</v>
      </c>
      <c r="C632" t="s">
        <v>71</v>
      </c>
      <c r="D632" t="s">
        <v>74</v>
      </c>
      <c r="E632" t="s">
        <v>74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74</v>
      </c>
    </row>
    <row r="633" spans="1:20" x14ac:dyDescent="0.3">
      <c r="A633" t="s">
        <v>42</v>
      </c>
      <c r="B633">
        <v>112</v>
      </c>
      <c r="C633" t="s">
        <v>71</v>
      </c>
      <c r="D633" t="s">
        <v>74</v>
      </c>
      <c r="E633" t="s">
        <v>74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74</v>
      </c>
    </row>
    <row r="634" spans="1:20" x14ac:dyDescent="0.3">
      <c r="A634" t="s">
        <v>26</v>
      </c>
      <c r="B634">
        <v>108</v>
      </c>
      <c r="C634" t="s">
        <v>72</v>
      </c>
      <c r="D634" t="s">
        <v>74</v>
      </c>
      <c r="E634" t="s">
        <v>75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74</v>
      </c>
    </row>
    <row r="635" spans="1:20" x14ac:dyDescent="0.3">
      <c r="A635" t="s">
        <v>68</v>
      </c>
      <c r="B635">
        <v>136</v>
      </c>
      <c r="C635" t="s">
        <v>71</v>
      </c>
      <c r="D635" t="s">
        <v>74</v>
      </c>
      <c r="E635" t="s">
        <v>75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74</v>
      </c>
    </row>
    <row r="636" spans="1:20" x14ac:dyDescent="0.3">
      <c r="A636" t="s">
        <v>66</v>
      </c>
      <c r="B636">
        <v>128</v>
      </c>
      <c r="C636" t="s">
        <v>72</v>
      </c>
      <c r="D636" t="s">
        <v>74</v>
      </c>
      <c r="E636" t="s">
        <v>74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74</v>
      </c>
    </row>
    <row r="637" spans="1:20" x14ac:dyDescent="0.3">
      <c r="A637" t="s">
        <v>66</v>
      </c>
      <c r="B637">
        <v>27</v>
      </c>
      <c r="C637" t="s">
        <v>73</v>
      </c>
      <c r="D637" t="s">
        <v>74</v>
      </c>
      <c r="E637" t="s">
        <v>74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74</v>
      </c>
    </row>
    <row r="638" spans="1:20" x14ac:dyDescent="0.3">
      <c r="A638" t="s">
        <v>30</v>
      </c>
      <c r="B638">
        <v>161</v>
      </c>
      <c r="C638" t="s">
        <v>71</v>
      </c>
      <c r="D638" t="s">
        <v>75</v>
      </c>
      <c r="E638" t="s">
        <v>74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74</v>
      </c>
    </row>
    <row r="639" spans="1:20" x14ac:dyDescent="0.3">
      <c r="A639" t="s">
        <v>69</v>
      </c>
      <c r="B639">
        <v>33</v>
      </c>
      <c r="C639" t="s">
        <v>71</v>
      </c>
      <c r="D639" t="s">
        <v>74</v>
      </c>
      <c r="E639" t="s">
        <v>75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74</v>
      </c>
    </row>
    <row r="640" spans="1:20" x14ac:dyDescent="0.3">
      <c r="A640" t="s">
        <v>39</v>
      </c>
      <c r="B640">
        <v>120</v>
      </c>
      <c r="C640" t="s">
        <v>71</v>
      </c>
      <c r="D640" t="s">
        <v>74</v>
      </c>
      <c r="E640" t="s">
        <v>75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74</v>
      </c>
    </row>
    <row r="641" spans="1:20" x14ac:dyDescent="0.3">
      <c r="A641" t="s">
        <v>47</v>
      </c>
      <c r="B641">
        <v>122</v>
      </c>
      <c r="C641" t="s">
        <v>71</v>
      </c>
      <c r="D641" t="s">
        <v>75</v>
      </c>
      <c r="E641" t="s">
        <v>74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75</v>
      </c>
    </row>
    <row r="642" spans="1:20" x14ac:dyDescent="0.3">
      <c r="A642" t="s">
        <v>65</v>
      </c>
      <c r="B642">
        <v>148</v>
      </c>
      <c r="C642" t="s">
        <v>71</v>
      </c>
      <c r="D642" t="s">
        <v>74</v>
      </c>
      <c r="E642" t="s">
        <v>75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74</v>
      </c>
    </row>
    <row r="643" spans="1:20" x14ac:dyDescent="0.3">
      <c r="A643" t="s">
        <v>28</v>
      </c>
      <c r="B643">
        <v>74</v>
      </c>
      <c r="C643" t="s">
        <v>71</v>
      </c>
      <c r="D643" t="s">
        <v>74</v>
      </c>
      <c r="E643" t="s">
        <v>74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74</v>
      </c>
    </row>
    <row r="644" spans="1:20" x14ac:dyDescent="0.3">
      <c r="A644" t="s">
        <v>57</v>
      </c>
      <c r="B644">
        <v>106</v>
      </c>
      <c r="C644" t="s">
        <v>71</v>
      </c>
      <c r="D644" t="s">
        <v>74</v>
      </c>
      <c r="E644" t="s">
        <v>74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74</v>
      </c>
    </row>
    <row r="645" spans="1:20" x14ac:dyDescent="0.3">
      <c r="A645" t="s">
        <v>32</v>
      </c>
      <c r="B645">
        <v>179</v>
      </c>
      <c r="C645" t="s">
        <v>71</v>
      </c>
      <c r="D645" t="s">
        <v>74</v>
      </c>
      <c r="E645" t="s">
        <v>74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74</v>
      </c>
    </row>
    <row r="646" spans="1:20" x14ac:dyDescent="0.3">
      <c r="A646" t="s">
        <v>31</v>
      </c>
      <c r="B646">
        <v>149</v>
      </c>
      <c r="C646" t="s">
        <v>71</v>
      </c>
      <c r="D646" t="s">
        <v>75</v>
      </c>
      <c r="E646" t="s">
        <v>75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75</v>
      </c>
    </row>
    <row r="647" spans="1:20" x14ac:dyDescent="0.3">
      <c r="A647" t="s">
        <v>29</v>
      </c>
      <c r="B647">
        <v>77</v>
      </c>
      <c r="C647" t="s">
        <v>72</v>
      </c>
      <c r="D647" t="s">
        <v>74</v>
      </c>
      <c r="E647" t="s">
        <v>74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74</v>
      </c>
    </row>
    <row r="648" spans="1:20" x14ac:dyDescent="0.3">
      <c r="A648" t="s">
        <v>36</v>
      </c>
      <c r="B648">
        <v>127</v>
      </c>
      <c r="C648" t="s">
        <v>73</v>
      </c>
      <c r="D648" t="s">
        <v>75</v>
      </c>
      <c r="E648" t="s">
        <v>74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75</v>
      </c>
    </row>
    <row r="649" spans="1:20" x14ac:dyDescent="0.3">
      <c r="A649" t="s">
        <v>57</v>
      </c>
      <c r="B649">
        <v>106</v>
      </c>
      <c r="C649" t="s">
        <v>72</v>
      </c>
      <c r="D649" t="s">
        <v>74</v>
      </c>
      <c r="E649" t="s">
        <v>74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74</v>
      </c>
    </row>
    <row r="650" spans="1:20" x14ac:dyDescent="0.3">
      <c r="A650" t="s">
        <v>21</v>
      </c>
      <c r="B650">
        <v>61</v>
      </c>
      <c r="C650" t="s">
        <v>71</v>
      </c>
      <c r="D650" t="s">
        <v>74</v>
      </c>
      <c r="E650" t="s">
        <v>75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74</v>
      </c>
    </row>
    <row r="651" spans="1:20" x14ac:dyDescent="0.3">
      <c r="A651" t="s">
        <v>64</v>
      </c>
      <c r="B651">
        <v>135</v>
      </c>
      <c r="C651" t="s">
        <v>72</v>
      </c>
      <c r="D651" t="s">
        <v>75</v>
      </c>
      <c r="E651" t="s">
        <v>75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74</v>
      </c>
    </row>
    <row r="652" spans="1:20" x14ac:dyDescent="0.3">
      <c r="A652" t="s">
        <v>26</v>
      </c>
      <c r="B652">
        <v>115</v>
      </c>
      <c r="C652" t="s">
        <v>71</v>
      </c>
      <c r="D652" t="s">
        <v>74</v>
      </c>
      <c r="E652" t="s">
        <v>75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74</v>
      </c>
    </row>
    <row r="653" spans="1:20" x14ac:dyDescent="0.3">
      <c r="A653" t="s">
        <v>64</v>
      </c>
      <c r="B653">
        <v>167</v>
      </c>
      <c r="C653" t="s">
        <v>73</v>
      </c>
      <c r="D653" t="s">
        <v>75</v>
      </c>
      <c r="E653" t="s">
        <v>74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74</v>
      </c>
    </row>
    <row r="654" spans="1:20" x14ac:dyDescent="0.3">
      <c r="A654" t="s">
        <v>65</v>
      </c>
      <c r="B654">
        <v>112</v>
      </c>
      <c r="C654" t="s">
        <v>71</v>
      </c>
      <c r="D654" t="s">
        <v>75</v>
      </c>
      <c r="E654" t="s">
        <v>74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74</v>
      </c>
    </row>
    <row r="655" spans="1:20" x14ac:dyDescent="0.3">
      <c r="A655" t="s">
        <v>31</v>
      </c>
      <c r="B655">
        <v>35</v>
      </c>
      <c r="C655" t="s">
        <v>72</v>
      </c>
      <c r="D655" t="s">
        <v>74</v>
      </c>
      <c r="E655" t="s">
        <v>75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74</v>
      </c>
    </row>
    <row r="656" spans="1:20" x14ac:dyDescent="0.3">
      <c r="A656" t="s">
        <v>20</v>
      </c>
      <c r="B656">
        <v>103</v>
      </c>
      <c r="C656" t="s">
        <v>73</v>
      </c>
      <c r="D656" t="s">
        <v>75</v>
      </c>
      <c r="E656" t="s">
        <v>74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74</v>
      </c>
    </row>
    <row r="657" spans="1:20" x14ac:dyDescent="0.3">
      <c r="A657" t="s">
        <v>37</v>
      </c>
      <c r="B657">
        <v>107</v>
      </c>
      <c r="C657" t="s">
        <v>71</v>
      </c>
      <c r="D657" t="s">
        <v>74</v>
      </c>
      <c r="E657" t="s">
        <v>75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74</v>
      </c>
    </row>
    <row r="658" spans="1:20" x14ac:dyDescent="0.3">
      <c r="A658" t="s">
        <v>47</v>
      </c>
      <c r="B658">
        <v>69</v>
      </c>
      <c r="C658" t="s">
        <v>71</v>
      </c>
      <c r="D658" t="s">
        <v>74</v>
      </c>
      <c r="E658" t="s">
        <v>74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74</v>
      </c>
    </row>
    <row r="659" spans="1:20" x14ac:dyDescent="0.3">
      <c r="A659" t="s">
        <v>28</v>
      </c>
      <c r="B659">
        <v>24</v>
      </c>
      <c r="C659" t="s">
        <v>73</v>
      </c>
      <c r="D659" t="s">
        <v>74</v>
      </c>
      <c r="E659" t="s">
        <v>74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75</v>
      </c>
    </row>
    <row r="660" spans="1:20" x14ac:dyDescent="0.3">
      <c r="A660" t="s">
        <v>21</v>
      </c>
      <c r="B660">
        <v>90</v>
      </c>
      <c r="C660" t="s">
        <v>71</v>
      </c>
      <c r="D660" t="s">
        <v>74</v>
      </c>
      <c r="E660" t="s">
        <v>74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74</v>
      </c>
    </row>
    <row r="661" spans="1:20" x14ac:dyDescent="0.3">
      <c r="A661" t="s">
        <v>59</v>
      </c>
      <c r="B661">
        <v>137</v>
      </c>
      <c r="C661" t="s">
        <v>72</v>
      </c>
      <c r="D661" t="s">
        <v>74</v>
      </c>
      <c r="E661" t="s">
        <v>74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74</v>
      </c>
    </row>
    <row r="662" spans="1:20" x14ac:dyDescent="0.3">
      <c r="A662" t="s">
        <v>48</v>
      </c>
      <c r="B662">
        <v>92</v>
      </c>
      <c r="C662" t="s">
        <v>71</v>
      </c>
      <c r="D662" t="s">
        <v>75</v>
      </c>
      <c r="E662" t="s">
        <v>75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74</v>
      </c>
    </row>
    <row r="663" spans="1:20" x14ac:dyDescent="0.3">
      <c r="A663" t="s">
        <v>23</v>
      </c>
      <c r="B663">
        <v>38</v>
      </c>
      <c r="C663" t="s">
        <v>71</v>
      </c>
      <c r="D663" t="s">
        <v>74</v>
      </c>
      <c r="E663" t="s">
        <v>74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74</v>
      </c>
    </row>
    <row r="664" spans="1:20" x14ac:dyDescent="0.3">
      <c r="A664" t="s">
        <v>68</v>
      </c>
      <c r="B664">
        <v>69</v>
      </c>
      <c r="C664" t="s">
        <v>72</v>
      </c>
      <c r="D664" t="s">
        <v>75</v>
      </c>
      <c r="E664" t="s">
        <v>75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75</v>
      </c>
    </row>
    <row r="665" spans="1:20" x14ac:dyDescent="0.3">
      <c r="A665" t="s">
        <v>67</v>
      </c>
      <c r="B665">
        <v>73</v>
      </c>
      <c r="C665" t="s">
        <v>73</v>
      </c>
      <c r="D665" t="s">
        <v>74</v>
      </c>
      <c r="E665" t="s">
        <v>74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74</v>
      </c>
    </row>
    <row r="666" spans="1:20" x14ac:dyDescent="0.3">
      <c r="A666" t="s">
        <v>45</v>
      </c>
      <c r="B666">
        <v>92</v>
      </c>
      <c r="C666" t="s">
        <v>71</v>
      </c>
      <c r="D666" t="s">
        <v>74</v>
      </c>
      <c r="E666" t="s">
        <v>74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74</v>
      </c>
    </row>
    <row r="667" spans="1:20" x14ac:dyDescent="0.3">
      <c r="A667" t="s">
        <v>48</v>
      </c>
      <c r="B667">
        <v>113</v>
      </c>
      <c r="C667" t="s">
        <v>71</v>
      </c>
      <c r="D667" t="s">
        <v>74</v>
      </c>
      <c r="E667" t="s">
        <v>75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74</v>
      </c>
    </row>
    <row r="668" spans="1:20" x14ac:dyDescent="0.3">
      <c r="A668" t="s">
        <v>50</v>
      </c>
      <c r="B668">
        <v>68</v>
      </c>
      <c r="C668" t="s">
        <v>73</v>
      </c>
      <c r="D668" t="s">
        <v>75</v>
      </c>
      <c r="E668" t="s">
        <v>74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75</v>
      </c>
    </row>
    <row r="669" spans="1:20" x14ac:dyDescent="0.3">
      <c r="A669" t="s">
        <v>27</v>
      </c>
      <c r="B669">
        <v>135</v>
      </c>
      <c r="C669" t="s">
        <v>71</v>
      </c>
      <c r="D669" t="s">
        <v>74</v>
      </c>
      <c r="E669" t="s">
        <v>75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74</v>
      </c>
    </row>
    <row r="670" spans="1:20" x14ac:dyDescent="0.3">
      <c r="A670" t="s">
        <v>48</v>
      </c>
      <c r="B670">
        <v>100</v>
      </c>
      <c r="C670" t="s">
        <v>71</v>
      </c>
      <c r="D670" t="s">
        <v>74</v>
      </c>
      <c r="E670" t="s">
        <v>75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74</v>
      </c>
    </row>
    <row r="671" spans="1:20" x14ac:dyDescent="0.3">
      <c r="A671" t="s">
        <v>32</v>
      </c>
      <c r="B671">
        <v>96</v>
      </c>
      <c r="C671" t="s">
        <v>71</v>
      </c>
      <c r="D671" t="s">
        <v>74</v>
      </c>
      <c r="E671" t="s">
        <v>75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74</v>
      </c>
    </row>
    <row r="672" spans="1:20" x14ac:dyDescent="0.3">
      <c r="A672" t="s">
        <v>59</v>
      </c>
      <c r="B672">
        <v>108</v>
      </c>
      <c r="C672" t="s">
        <v>72</v>
      </c>
      <c r="D672" t="s">
        <v>74</v>
      </c>
      <c r="E672" t="s">
        <v>74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74</v>
      </c>
    </row>
    <row r="673" spans="1:20" x14ac:dyDescent="0.3">
      <c r="A673" t="s">
        <v>39</v>
      </c>
      <c r="B673">
        <v>84</v>
      </c>
      <c r="C673" t="s">
        <v>72</v>
      </c>
      <c r="D673" t="s">
        <v>74</v>
      </c>
      <c r="E673" t="s">
        <v>74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74</v>
      </c>
    </row>
    <row r="674" spans="1:20" x14ac:dyDescent="0.3">
      <c r="A674" t="s">
        <v>41</v>
      </c>
      <c r="B674">
        <v>134</v>
      </c>
      <c r="C674" t="s">
        <v>73</v>
      </c>
      <c r="D674" t="s">
        <v>74</v>
      </c>
      <c r="E674" t="s">
        <v>74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74</v>
      </c>
    </row>
    <row r="675" spans="1:20" x14ac:dyDescent="0.3">
      <c r="A675" t="s">
        <v>57</v>
      </c>
      <c r="B675">
        <v>72</v>
      </c>
      <c r="C675" t="s">
        <v>71</v>
      </c>
      <c r="D675" t="s">
        <v>74</v>
      </c>
      <c r="E675" t="s">
        <v>74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74</v>
      </c>
    </row>
    <row r="676" spans="1:20" x14ac:dyDescent="0.3">
      <c r="A676" t="s">
        <v>21</v>
      </c>
      <c r="B676">
        <v>83</v>
      </c>
      <c r="C676" t="s">
        <v>73</v>
      </c>
      <c r="D676" t="s">
        <v>74</v>
      </c>
      <c r="E676" t="s">
        <v>74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74</v>
      </c>
    </row>
    <row r="677" spans="1:20" x14ac:dyDescent="0.3">
      <c r="A677" t="s">
        <v>27</v>
      </c>
      <c r="B677">
        <v>56</v>
      </c>
      <c r="C677" t="s">
        <v>71</v>
      </c>
      <c r="D677" t="s">
        <v>74</v>
      </c>
      <c r="E677" t="s">
        <v>75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74</v>
      </c>
    </row>
    <row r="678" spans="1:20" x14ac:dyDescent="0.3">
      <c r="A678" t="s">
        <v>45</v>
      </c>
      <c r="B678">
        <v>171</v>
      </c>
      <c r="C678" t="s">
        <v>72</v>
      </c>
      <c r="D678" t="s">
        <v>74</v>
      </c>
      <c r="E678" t="s">
        <v>75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74</v>
      </c>
    </row>
    <row r="679" spans="1:20" x14ac:dyDescent="0.3">
      <c r="A679" t="s">
        <v>24</v>
      </c>
      <c r="B679">
        <v>123</v>
      </c>
      <c r="C679" t="s">
        <v>72</v>
      </c>
      <c r="D679" t="s">
        <v>74</v>
      </c>
      <c r="E679" t="s">
        <v>74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74</v>
      </c>
    </row>
    <row r="680" spans="1:20" x14ac:dyDescent="0.3">
      <c r="A680" t="s">
        <v>39</v>
      </c>
      <c r="B680">
        <v>58</v>
      </c>
      <c r="C680" t="s">
        <v>72</v>
      </c>
      <c r="D680" t="s">
        <v>74</v>
      </c>
      <c r="E680" t="s">
        <v>74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74</v>
      </c>
    </row>
    <row r="681" spans="1:20" x14ac:dyDescent="0.3">
      <c r="A681" t="s">
        <v>35</v>
      </c>
      <c r="B681">
        <v>156</v>
      </c>
      <c r="C681" t="s">
        <v>72</v>
      </c>
      <c r="D681" t="s">
        <v>74</v>
      </c>
      <c r="E681" t="s">
        <v>74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74</v>
      </c>
    </row>
    <row r="682" spans="1:20" x14ac:dyDescent="0.3">
      <c r="A682" t="s">
        <v>31</v>
      </c>
      <c r="B682">
        <v>166</v>
      </c>
      <c r="C682" t="s">
        <v>72</v>
      </c>
      <c r="D682" t="s">
        <v>74</v>
      </c>
      <c r="E682" t="s">
        <v>74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74</v>
      </c>
    </row>
    <row r="683" spans="1:20" x14ac:dyDescent="0.3">
      <c r="A683" t="s">
        <v>41</v>
      </c>
      <c r="B683">
        <v>75</v>
      </c>
      <c r="C683" t="s">
        <v>72</v>
      </c>
      <c r="D683" t="s">
        <v>74</v>
      </c>
      <c r="E683" t="s">
        <v>75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74</v>
      </c>
    </row>
    <row r="684" spans="1:20" x14ac:dyDescent="0.3">
      <c r="A684" t="s">
        <v>70</v>
      </c>
      <c r="B684">
        <v>75</v>
      </c>
      <c r="C684" t="s">
        <v>71</v>
      </c>
      <c r="D684" t="s">
        <v>74</v>
      </c>
      <c r="E684" t="s">
        <v>74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75</v>
      </c>
    </row>
    <row r="685" spans="1:20" x14ac:dyDescent="0.3">
      <c r="A685" t="s">
        <v>61</v>
      </c>
      <c r="B685">
        <v>83</v>
      </c>
      <c r="C685" t="s">
        <v>72</v>
      </c>
      <c r="D685" t="s">
        <v>74</v>
      </c>
      <c r="E685" t="s">
        <v>74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74</v>
      </c>
    </row>
    <row r="686" spans="1:20" x14ac:dyDescent="0.3">
      <c r="A686" t="s">
        <v>42</v>
      </c>
      <c r="B686">
        <v>243</v>
      </c>
      <c r="C686" t="s">
        <v>72</v>
      </c>
      <c r="D686" t="s">
        <v>74</v>
      </c>
      <c r="E686" t="s">
        <v>74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74</v>
      </c>
    </row>
    <row r="687" spans="1:20" x14ac:dyDescent="0.3">
      <c r="A687" t="s">
        <v>52</v>
      </c>
      <c r="B687">
        <v>153</v>
      </c>
      <c r="C687" t="s">
        <v>73</v>
      </c>
      <c r="D687" t="s">
        <v>74</v>
      </c>
      <c r="E687" t="s">
        <v>74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74</v>
      </c>
    </row>
    <row r="688" spans="1:20" x14ac:dyDescent="0.3">
      <c r="A688" t="s">
        <v>32</v>
      </c>
      <c r="B688">
        <v>150</v>
      </c>
      <c r="C688" t="s">
        <v>71</v>
      </c>
      <c r="D688" t="s">
        <v>74</v>
      </c>
      <c r="E688" t="s">
        <v>74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74</v>
      </c>
    </row>
    <row r="689" spans="1:20" x14ac:dyDescent="0.3">
      <c r="A689" t="s">
        <v>65</v>
      </c>
      <c r="B689">
        <v>92</v>
      </c>
      <c r="C689" t="s">
        <v>72</v>
      </c>
      <c r="D689" t="s">
        <v>74</v>
      </c>
      <c r="E689" t="s">
        <v>75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74</v>
      </c>
    </row>
    <row r="690" spans="1:20" x14ac:dyDescent="0.3">
      <c r="A690" t="s">
        <v>32</v>
      </c>
      <c r="B690">
        <v>80</v>
      </c>
      <c r="C690" t="s">
        <v>71</v>
      </c>
      <c r="D690" t="s">
        <v>74</v>
      </c>
      <c r="E690" t="s">
        <v>74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74</v>
      </c>
    </row>
    <row r="691" spans="1:20" x14ac:dyDescent="0.3">
      <c r="A691" t="s">
        <v>47</v>
      </c>
      <c r="B691">
        <v>77</v>
      </c>
      <c r="C691" t="s">
        <v>72</v>
      </c>
      <c r="D691" t="s">
        <v>74</v>
      </c>
      <c r="E691" t="s">
        <v>75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74</v>
      </c>
    </row>
    <row r="692" spans="1:20" x14ac:dyDescent="0.3">
      <c r="A692" t="s">
        <v>37</v>
      </c>
      <c r="B692">
        <v>74</v>
      </c>
      <c r="C692" t="s">
        <v>71</v>
      </c>
      <c r="D692" t="s">
        <v>74</v>
      </c>
      <c r="E692" t="s">
        <v>74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74</v>
      </c>
    </row>
    <row r="693" spans="1:20" x14ac:dyDescent="0.3">
      <c r="A693" t="s">
        <v>39</v>
      </c>
      <c r="B693">
        <v>143</v>
      </c>
      <c r="C693" t="s">
        <v>71</v>
      </c>
      <c r="D693" t="s">
        <v>74</v>
      </c>
      <c r="E693" t="s">
        <v>74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74</v>
      </c>
    </row>
    <row r="694" spans="1:20" x14ac:dyDescent="0.3">
      <c r="A694" t="s">
        <v>67</v>
      </c>
      <c r="B694">
        <v>64</v>
      </c>
      <c r="C694" t="s">
        <v>71</v>
      </c>
      <c r="D694" t="s">
        <v>74</v>
      </c>
      <c r="E694" t="s">
        <v>74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74</v>
      </c>
    </row>
    <row r="695" spans="1:20" x14ac:dyDescent="0.3">
      <c r="A695" t="s">
        <v>59</v>
      </c>
      <c r="B695">
        <v>120</v>
      </c>
      <c r="C695" t="s">
        <v>72</v>
      </c>
      <c r="D695" t="s">
        <v>74</v>
      </c>
      <c r="E695" t="s">
        <v>74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74</v>
      </c>
    </row>
    <row r="696" spans="1:20" x14ac:dyDescent="0.3">
      <c r="A696" t="s">
        <v>33</v>
      </c>
      <c r="B696">
        <v>121</v>
      </c>
      <c r="C696" t="s">
        <v>73</v>
      </c>
      <c r="D696" t="s">
        <v>75</v>
      </c>
      <c r="E696" t="s">
        <v>74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75</v>
      </c>
    </row>
    <row r="697" spans="1:20" x14ac:dyDescent="0.3">
      <c r="A697" t="s">
        <v>46</v>
      </c>
      <c r="B697">
        <v>88</v>
      </c>
      <c r="C697" t="s">
        <v>71</v>
      </c>
      <c r="D697" t="s">
        <v>74</v>
      </c>
      <c r="E697" t="s">
        <v>74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74</v>
      </c>
    </row>
    <row r="698" spans="1:20" x14ac:dyDescent="0.3">
      <c r="A698" t="s">
        <v>43</v>
      </c>
      <c r="B698">
        <v>87</v>
      </c>
      <c r="C698" t="s">
        <v>73</v>
      </c>
      <c r="D698" t="s">
        <v>74</v>
      </c>
      <c r="E698" t="s">
        <v>74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75</v>
      </c>
    </row>
    <row r="699" spans="1:20" x14ac:dyDescent="0.3">
      <c r="A699" t="s">
        <v>51</v>
      </c>
      <c r="B699">
        <v>100</v>
      </c>
      <c r="C699" t="s">
        <v>72</v>
      </c>
      <c r="D699" t="s">
        <v>74</v>
      </c>
      <c r="E699" t="s">
        <v>74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74</v>
      </c>
    </row>
    <row r="700" spans="1:20" x14ac:dyDescent="0.3">
      <c r="A700" t="s">
        <v>39</v>
      </c>
      <c r="B700">
        <v>104</v>
      </c>
      <c r="C700" t="s">
        <v>71</v>
      </c>
      <c r="D700" t="s">
        <v>74</v>
      </c>
      <c r="E700" t="s">
        <v>74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74</v>
      </c>
    </row>
    <row r="701" spans="1:20" x14ac:dyDescent="0.3">
      <c r="A701" t="s">
        <v>27</v>
      </c>
      <c r="B701">
        <v>27</v>
      </c>
      <c r="C701" t="s">
        <v>72</v>
      </c>
      <c r="D701" t="s">
        <v>74</v>
      </c>
      <c r="E701" t="s">
        <v>74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74</v>
      </c>
    </row>
    <row r="702" spans="1:20" x14ac:dyDescent="0.3">
      <c r="A702" t="s">
        <v>25</v>
      </c>
      <c r="B702">
        <v>81</v>
      </c>
      <c r="C702" t="s">
        <v>71</v>
      </c>
      <c r="D702" t="s">
        <v>74</v>
      </c>
      <c r="E702" t="s">
        <v>75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74</v>
      </c>
    </row>
    <row r="703" spans="1:20" x14ac:dyDescent="0.3">
      <c r="A703" t="s">
        <v>66</v>
      </c>
      <c r="B703">
        <v>64</v>
      </c>
      <c r="C703" t="s">
        <v>72</v>
      </c>
      <c r="D703" t="s">
        <v>75</v>
      </c>
      <c r="E703" t="s">
        <v>75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74</v>
      </c>
    </row>
    <row r="704" spans="1:20" x14ac:dyDescent="0.3">
      <c r="A704" t="s">
        <v>23</v>
      </c>
      <c r="B704">
        <v>107</v>
      </c>
      <c r="C704" t="s">
        <v>72</v>
      </c>
      <c r="D704" t="s">
        <v>74</v>
      </c>
      <c r="E704" t="s">
        <v>75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74</v>
      </c>
    </row>
    <row r="705" spans="1:20" x14ac:dyDescent="0.3">
      <c r="A705" t="s">
        <v>23</v>
      </c>
      <c r="B705">
        <v>111</v>
      </c>
      <c r="C705" t="s">
        <v>73</v>
      </c>
      <c r="D705" t="s">
        <v>74</v>
      </c>
      <c r="E705" t="s">
        <v>74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74</v>
      </c>
    </row>
    <row r="706" spans="1:20" x14ac:dyDescent="0.3">
      <c r="A706" t="s">
        <v>68</v>
      </c>
      <c r="B706">
        <v>77</v>
      </c>
      <c r="C706" t="s">
        <v>71</v>
      </c>
      <c r="D706" t="s">
        <v>74</v>
      </c>
      <c r="E706" t="s">
        <v>74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74</v>
      </c>
    </row>
    <row r="707" spans="1:20" x14ac:dyDescent="0.3">
      <c r="A707" t="s">
        <v>58</v>
      </c>
      <c r="B707">
        <v>67</v>
      </c>
      <c r="C707" t="s">
        <v>71</v>
      </c>
      <c r="D707" t="s">
        <v>75</v>
      </c>
      <c r="E707" t="s">
        <v>74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74</v>
      </c>
    </row>
    <row r="708" spans="1:20" x14ac:dyDescent="0.3">
      <c r="A708" t="s">
        <v>21</v>
      </c>
      <c r="B708">
        <v>102</v>
      </c>
      <c r="C708" t="s">
        <v>73</v>
      </c>
      <c r="D708" t="s">
        <v>74</v>
      </c>
      <c r="E708" t="s">
        <v>74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74</v>
      </c>
    </row>
    <row r="709" spans="1:20" x14ac:dyDescent="0.3">
      <c r="A709" t="s">
        <v>64</v>
      </c>
      <c r="B709">
        <v>146</v>
      </c>
      <c r="C709" t="s">
        <v>73</v>
      </c>
      <c r="D709" t="s">
        <v>74</v>
      </c>
      <c r="E709" t="s">
        <v>75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74</v>
      </c>
    </row>
    <row r="710" spans="1:20" x14ac:dyDescent="0.3">
      <c r="A710" t="s">
        <v>24</v>
      </c>
      <c r="B710">
        <v>96</v>
      </c>
      <c r="C710" t="s">
        <v>71</v>
      </c>
      <c r="D710" t="s">
        <v>74</v>
      </c>
      <c r="E710" t="s">
        <v>74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75</v>
      </c>
    </row>
    <row r="711" spans="1:20" x14ac:dyDescent="0.3">
      <c r="A711" t="s">
        <v>64</v>
      </c>
      <c r="B711">
        <v>70</v>
      </c>
      <c r="C711" t="s">
        <v>71</v>
      </c>
      <c r="D711" t="s">
        <v>74</v>
      </c>
      <c r="E711" t="s">
        <v>75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74</v>
      </c>
    </row>
    <row r="712" spans="1:20" x14ac:dyDescent="0.3">
      <c r="A712" t="s">
        <v>59</v>
      </c>
      <c r="B712">
        <v>149</v>
      </c>
      <c r="C712" t="s">
        <v>73</v>
      </c>
      <c r="D712" t="s">
        <v>74</v>
      </c>
      <c r="E712" t="s">
        <v>74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74</v>
      </c>
    </row>
    <row r="713" spans="1:20" x14ac:dyDescent="0.3">
      <c r="A713" t="s">
        <v>25</v>
      </c>
      <c r="B713">
        <v>129</v>
      </c>
      <c r="C713" t="s">
        <v>71</v>
      </c>
      <c r="D713" t="s">
        <v>74</v>
      </c>
      <c r="E713" t="s">
        <v>74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74</v>
      </c>
    </row>
    <row r="714" spans="1:20" x14ac:dyDescent="0.3">
      <c r="A714" t="s">
        <v>41</v>
      </c>
      <c r="B714">
        <v>166</v>
      </c>
      <c r="C714" t="s">
        <v>73</v>
      </c>
      <c r="D714" t="s">
        <v>74</v>
      </c>
      <c r="E714" t="s">
        <v>74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74</v>
      </c>
    </row>
    <row r="715" spans="1:20" x14ac:dyDescent="0.3">
      <c r="A715" t="s">
        <v>36</v>
      </c>
      <c r="B715">
        <v>136</v>
      </c>
      <c r="C715" t="s">
        <v>73</v>
      </c>
      <c r="D715" t="s">
        <v>75</v>
      </c>
      <c r="E715" t="s">
        <v>74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75</v>
      </c>
    </row>
    <row r="716" spans="1:20" x14ac:dyDescent="0.3">
      <c r="A716" t="s">
        <v>20</v>
      </c>
      <c r="B716">
        <v>149</v>
      </c>
      <c r="C716" t="s">
        <v>72</v>
      </c>
      <c r="D716" t="s">
        <v>74</v>
      </c>
      <c r="E716" t="s">
        <v>74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74</v>
      </c>
    </row>
    <row r="717" spans="1:20" x14ac:dyDescent="0.3">
      <c r="A717" t="s">
        <v>55</v>
      </c>
      <c r="B717">
        <v>70</v>
      </c>
      <c r="C717" t="s">
        <v>71</v>
      </c>
      <c r="D717" t="s">
        <v>74</v>
      </c>
      <c r="E717" t="s">
        <v>74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74</v>
      </c>
    </row>
    <row r="718" spans="1:20" x14ac:dyDescent="0.3">
      <c r="A718" t="s">
        <v>22</v>
      </c>
      <c r="B718">
        <v>66</v>
      </c>
      <c r="C718" t="s">
        <v>72</v>
      </c>
      <c r="D718" t="s">
        <v>74</v>
      </c>
      <c r="E718" t="s">
        <v>74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74</v>
      </c>
    </row>
    <row r="719" spans="1:20" x14ac:dyDescent="0.3">
      <c r="A719" t="s">
        <v>30</v>
      </c>
      <c r="B719">
        <v>104</v>
      </c>
      <c r="C719" t="s">
        <v>73</v>
      </c>
      <c r="D719" t="s">
        <v>74</v>
      </c>
      <c r="E719" t="s">
        <v>74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74</v>
      </c>
    </row>
    <row r="720" spans="1:20" x14ac:dyDescent="0.3">
      <c r="A720" t="s">
        <v>68</v>
      </c>
      <c r="B720">
        <v>160</v>
      </c>
      <c r="C720" t="s">
        <v>71</v>
      </c>
      <c r="D720" t="s">
        <v>74</v>
      </c>
      <c r="E720" t="s">
        <v>74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74</v>
      </c>
    </row>
    <row r="721" spans="1:20" x14ac:dyDescent="0.3">
      <c r="A721" t="s">
        <v>31</v>
      </c>
      <c r="B721">
        <v>129</v>
      </c>
      <c r="C721" t="s">
        <v>71</v>
      </c>
      <c r="D721" t="s">
        <v>74</v>
      </c>
      <c r="E721" t="s">
        <v>75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74</v>
      </c>
    </row>
    <row r="722" spans="1:20" x14ac:dyDescent="0.3">
      <c r="A722" t="s">
        <v>21</v>
      </c>
      <c r="B722">
        <v>93</v>
      </c>
      <c r="C722" t="s">
        <v>73</v>
      </c>
      <c r="D722" t="s">
        <v>74</v>
      </c>
      <c r="E722" t="s">
        <v>74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75</v>
      </c>
    </row>
    <row r="723" spans="1:20" x14ac:dyDescent="0.3">
      <c r="A723" t="s">
        <v>67</v>
      </c>
      <c r="B723">
        <v>169</v>
      </c>
      <c r="C723" t="s">
        <v>71</v>
      </c>
      <c r="D723" t="s">
        <v>74</v>
      </c>
      <c r="E723" t="s">
        <v>74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74</v>
      </c>
    </row>
    <row r="724" spans="1:20" x14ac:dyDescent="0.3">
      <c r="A724" t="s">
        <v>37</v>
      </c>
      <c r="B724">
        <v>58</v>
      </c>
      <c r="C724" t="s">
        <v>71</v>
      </c>
      <c r="D724" t="s">
        <v>74</v>
      </c>
      <c r="E724" t="s">
        <v>74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74</v>
      </c>
    </row>
    <row r="725" spans="1:20" x14ac:dyDescent="0.3">
      <c r="A725" t="s">
        <v>60</v>
      </c>
      <c r="B725">
        <v>75</v>
      </c>
      <c r="C725" t="s">
        <v>72</v>
      </c>
      <c r="D725" t="s">
        <v>74</v>
      </c>
      <c r="E725" t="s">
        <v>75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74</v>
      </c>
    </row>
    <row r="726" spans="1:20" x14ac:dyDescent="0.3">
      <c r="A726" t="s">
        <v>37</v>
      </c>
      <c r="B726">
        <v>45</v>
      </c>
      <c r="C726" t="s">
        <v>73</v>
      </c>
      <c r="D726" t="s">
        <v>74</v>
      </c>
      <c r="E726" t="s">
        <v>74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74</v>
      </c>
    </row>
    <row r="727" spans="1:20" x14ac:dyDescent="0.3">
      <c r="A727" t="s">
        <v>54</v>
      </c>
      <c r="B727">
        <v>155</v>
      </c>
      <c r="C727" t="s">
        <v>72</v>
      </c>
      <c r="D727" t="s">
        <v>74</v>
      </c>
      <c r="E727" t="s">
        <v>74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74</v>
      </c>
    </row>
    <row r="728" spans="1:20" x14ac:dyDescent="0.3">
      <c r="A728" t="s">
        <v>49</v>
      </c>
      <c r="B728">
        <v>52</v>
      </c>
      <c r="C728" t="s">
        <v>71</v>
      </c>
      <c r="D728" t="s">
        <v>74</v>
      </c>
      <c r="E728" t="s">
        <v>74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74</v>
      </c>
    </row>
    <row r="729" spans="1:20" x14ac:dyDescent="0.3">
      <c r="A729" t="s">
        <v>61</v>
      </c>
      <c r="B729">
        <v>119</v>
      </c>
      <c r="C729" t="s">
        <v>71</v>
      </c>
      <c r="D729" t="s">
        <v>74</v>
      </c>
      <c r="E729" t="s">
        <v>75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74</v>
      </c>
    </row>
    <row r="730" spans="1:20" x14ac:dyDescent="0.3">
      <c r="A730" t="s">
        <v>68</v>
      </c>
      <c r="B730">
        <v>86</v>
      </c>
      <c r="C730" t="s">
        <v>72</v>
      </c>
      <c r="D730" t="s">
        <v>74</v>
      </c>
      <c r="E730" t="s">
        <v>74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74</v>
      </c>
    </row>
    <row r="731" spans="1:20" x14ac:dyDescent="0.3">
      <c r="A731" t="s">
        <v>49</v>
      </c>
      <c r="B731">
        <v>42</v>
      </c>
      <c r="C731" t="s">
        <v>73</v>
      </c>
      <c r="D731" t="s">
        <v>74</v>
      </c>
      <c r="E731" t="s">
        <v>74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74</v>
      </c>
    </row>
    <row r="732" spans="1:20" x14ac:dyDescent="0.3">
      <c r="A732" t="s">
        <v>24</v>
      </c>
      <c r="B732">
        <v>127</v>
      </c>
      <c r="C732" t="s">
        <v>72</v>
      </c>
      <c r="D732" t="s">
        <v>75</v>
      </c>
      <c r="E732" t="s">
        <v>74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74</v>
      </c>
    </row>
    <row r="733" spans="1:20" x14ac:dyDescent="0.3">
      <c r="A733" t="s">
        <v>44</v>
      </c>
      <c r="B733">
        <v>149</v>
      </c>
      <c r="C733" t="s">
        <v>72</v>
      </c>
      <c r="D733" t="s">
        <v>74</v>
      </c>
      <c r="E733" t="s">
        <v>75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74</v>
      </c>
    </row>
    <row r="734" spans="1:20" x14ac:dyDescent="0.3">
      <c r="A734" t="s">
        <v>36</v>
      </c>
      <c r="B734">
        <v>160</v>
      </c>
      <c r="C734" t="s">
        <v>73</v>
      </c>
      <c r="D734" t="s">
        <v>74</v>
      </c>
      <c r="E734" t="s">
        <v>74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74</v>
      </c>
    </row>
    <row r="735" spans="1:20" x14ac:dyDescent="0.3">
      <c r="A735" t="s">
        <v>33</v>
      </c>
      <c r="B735">
        <v>137</v>
      </c>
      <c r="C735" t="s">
        <v>71</v>
      </c>
      <c r="D735" t="s">
        <v>74</v>
      </c>
      <c r="E735" t="s">
        <v>74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74</v>
      </c>
    </row>
    <row r="736" spans="1:20" x14ac:dyDescent="0.3">
      <c r="A736" t="s">
        <v>39</v>
      </c>
      <c r="B736">
        <v>129</v>
      </c>
      <c r="C736" t="s">
        <v>71</v>
      </c>
      <c r="D736" t="s">
        <v>75</v>
      </c>
      <c r="E736" t="s">
        <v>74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74</v>
      </c>
    </row>
    <row r="737" spans="1:20" x14ac:dyDescent="0.3">
      <c r="A737" t="s">
        <v>31</v>
      </c>
      <c r="B737">
        <v>62</v>
      </c>
      <c r="C737" t="s">
        <v>71</v>
      </c>
      <c r="D737" t="s">
        <v>74</v>
      </c>
      <c r="E737" t="s">
        <v>74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74</v>
      </c>
    </row>
    <row r="738" spans="1:20" x14ac:dyDescent="0.3">
      <c r="A738" t="s">
        <v>29</v>
      </c>
      <c r="B738">
        <v>122</v>
      </c>
      <c r="C738" t="s">
        <v>72</v>
      </c>
      <c r="D738" t="s">
        <v>74</v>
      </c>
      <c r="E738" t="s">
        <v>75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74</v>
      </c>
    </row>
    <row r="739" spans="1:20" x14ac:dyDescent="0.3">
      <c r="A739" t="s">
        <v>30</v>
      </c>
      <c r="B739">
        <v>32</v>
      </c>
      <c r="C739" t="s">
        <v>73</v>
      </c>
      <c r="D739" t="s">
        <v>74</v>
      </c>
      <c r="E739" t="s">
        <v>74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74</v>
      </c>
    </row>
    <row r="740" spans="1:20" x14ac:dyDescent="0.3">
      <c r="A740" t="s">
        <v>39</v>
      </c>
      <c r="B740">
        <v>130</v>
      </c>
      <c r="C740" t="s">
        <v>71</v>
      </c>
      <c r="D740" t="s">
        <v>74</v>
      </c>
      <c r="E740" t="s">
        <v>74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74</v>
      </c>
    </row>
    <row r="741" spans="1:20" x14ac:dyDescent="0.3">
      <c r="A741" t="s">
        <v>30</v>
      </c>
      <c r="B741">
        <v>42</v>
      </c>
      <c r="C741" t="s">
        <v>73</v>
      </c>
      <c r="D741" t="s">
        <v>74</v>
      </c>
      <c r="E741" t="s">
        <v>74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74</v>
      </c>
    </row>
    <row r="742" spans="1:20" x14ac:dyDescent="0.3">
      <c r="A742" t="s">
        <v>45</v>
      </c>
      <c r="B742">
        <v>73</v>
      </c>
      <c r="C742" t="s">
        <v>71</v>
      </c>
      <c r="D742" t="s">
        <v>74</v>
      </c>
      <c r="E742" t="s">
        <v>74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74</v>
      </c>
    </row>
    <row r="743" spans="1:20" x14ac:dyDescent="0.3">
      <c r="A743" t="s">
        <v>59</v>
      </c>
      <c r="B743">
        <v>66</v>
      </c>
      <c r="C743" t="s">
        <v>73</v>
      </c>
      <c r="D743" t="s">
        <v>74</v>
      </c>
      <c r="E743" t="s">
        <v>75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74</v>
      </c>
    </row>
    <row r="744" spans="1:20" x14ac:dyDescent="0.3">
      <c r="A744" t="s">
        <v>63</v>
      </c>
      <c r="B744">
        <v>103</v>
      </c>
      <c r="C744" t="s">
        <v>72</v>
      </c>
      <c r="D744" t="s">
        <v>74</v>
      </c>
      <c r="E744" t="s">
        <v>75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74</v>
      </c>
    </row>
    <row r="745" spans="1:20" x14ac:dyDescent="0.3">
      <c r="A745" t="s">
        <v>22</v>
      </c>
      <c r="B745">
        <v>128</v>
      </c>
      <c r="C745" t="s">
        <v>73</v>
      </c>
      <c r="D745" t="s">
        <v>74</v>
      </c>
      <c r="E745" t="s">
        <v>74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74</v>
      </c>
    </row>
    <row r="746" spans="1:20" x14ac:dyDescent="0.3">
      <c r="A746" t="s">
        <v>32</v>
      </c>
      <c r="B746">
        <v>103</v>
      </c>
      <c r="C746" t="s">
        <v>71</v>
      </c>
      <c r="D746" t="s">
        <v>74</v>
      </c>
      <c r="E746" t="s">
        <v>74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74</v>
      </c>
    </row>
    <row r="747" spans="1:20" x14ac:dyDescent="0.3">
      <c r="A747" t="s">
        <v>23</v>
      </c>
      <c r="B747">
        <v>124</v>
      </c>
      <c r="C747" t="s">
        <v>71</v>
      </c>
      <c r="D747" t="s">
        <v>74</v>
      </c>
      <c r="E747" t="s">
        <v>74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74</v>
      </c>
    </row>
    <row r="748" spans="1:20" x14ac:dyDescent="0.3">
      <c r="A748" t="s">
        <v>48</v>
      </c>
      <c r="B748">
        <v>87</v>
      </c>
      <c r="C748" t="s">
        <v>72</v>
      </c>
      <c r="D748" t="s">
        <v>74</v>
      </c>
      <c r="E748" t="s">
        <v>74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74</v>
      </c>
    </row>
    <row r="749" spans="1:20" x14ac:dyDescent="0.3">
      <c r="A749" t="s">
        <v>26</v>
      </c>
      <c r="B749">
        <v>109</v>
      </c>
      <c r="C749" t="s">
        <v>71</v>
      </c>
      <c r="D749" t="s">
        <v>74</v>
      </c>
      <c r="E749" t="s">
        <v>75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75</v>
      </c>
    </row>
    <row r="750" spans="1:20" x14ac:dyDescent="0.3">
      <c r="A750" t="s">
        <v>37</v>
      </c>
      <c r="B750">
        <v>167</v>
      </c>
      <c r="C750" t="s">
        <v>71</v>
      </c>
      <c r="D750" t="s">
        <v>75</v>
      </c>
      <c r="E750" t="s">
        <v>74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74</v>
      </c>
    </row>
    <row r="751" spans="1:20" x14ac:dyDescent="0.3">
      <c r="A751" t="s">
        <v>59</v>
      </c>
      <c r="B751">
        <v>97</v>
      </c>
      <c r="C751" t="s">
        <v>72</v>
      </c>
      <c r="D751" t="s">
        <v>74</v>
      </c>
      <c r="E751" t="s">
        <v>74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75</v>
      </c>
    </row>
    <row r="752" spans="1:20" x14ac:dyDescent="0.3">
      <c r="A752" t="s">
        <v>23</v>
      </c>
      <c r="B752">
        <v>125</v>
      </c>
      <c r="C752" t="s">
        <v>71</v>
      </c>
      <c r="D752" t="s">
        <v>74</v>
      </c>
      <c r="E752" t="s">
        <v>74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74</v>
      </c>
    </row>
    <row r="753" spans="1:20" x14ac:dyDescent="0.3">
      <c r="A753" t="s">
        <v>63</v>
      </c>
      <c r="B753">
        <v>108</v>
      </c>
      <c r="C753" t="s">
        <v>73</v>
      </c>
      <c r="D753" t="s">
        <v>74</v>
      </c>
      <c r="E753" t="s">
        <v>75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74</v>
      </c>
    </row>
    <row r="754" spans="1:20" x14ac:dyDescent="0.3">
      <c r="A754" t="s">
        <v>50</v>
      </c>
      <c r="B754">
        <v>89</v>
      </c>
      <c r="C754" t="s">
        <v>71</v>
      </c>
      <c r="D754" t="s">
        <v>74</v>
      </c>
      <c r="E754" t="s">
        <v>75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74</v>
      </c>
    </row>
    <row r="755" spans="1:20" x14ac:dyDescent="0.3">
      <c r="A755" t="s">
        <v>54</v>
      </c>
      <c r="B755">
        <v>23</v>
      </c>
      <c r="C755" t="s">
        <v>72</v>
      </c>
      <c r="D755" t="s">
        <v>74</v>
      </c>
      <c r="E755" t="s">
        <v>74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75</v>
      </c>
    </row>
    <row r="756" spans="1:20" x14ac:dyDescent="0.3">
      <c r="A756" t="s">
        <v>67</v>
      </c>
      <c r="B756">
        <v>149</v>
      </c>
      <c r="C756" t="s">
        <v>72</v>
      </c>
      <c r="D756" t="s">
        <v>74</v>
      </c>
      <c r="E756" t="s">
        <v>74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74</v>
      </c>
    </row>
    <row r="757" spans="1:20" x14ac:dyDescent="0.3">
      <c r="A757" t="s">
        <v>31</v>
      </c>
      <c r="B757">
        <v>73</v>
      </c>
      <c r="C757" t="s">
        <v>71</v>
      </c>
      <c r="D757" t="s">
        <v>74</v>
      </c>
      <c r="E757" t="s">
        <v>74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74</v>
      </c>
    </row>
    <row r="758" spans="1:20" x14ac:dyDescent="0.3">
      <c r="A758" t="s">
        <v>49</v>
      </c>
      <c r="B758">
        <v>61</v>
      </c>
      <c r="C758" t="s">
        <v>71</v>
      </c>
      <c r="D758" t="s">
        <v>74</v>
      </c>
      <c r="E758" t="s">
        <v>74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75</v>
      </c>
    </row>
    <row r="759" spans="1:20" x14ac:dyDescent="0.3">
      <c r="A759" t="s">
        <v>65</v>
      </c>
      <c r="B759">
        <v>161</v>
      </c>
      <c r="C759" t="s">
        <v>71</v>
      </c>
      <c r="D759" t="s">
        <v>74</v>
      </c>
      <c r="E759" t="s">
        <v>74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75</v>
      </c>
    </row>
    <row r="760" spans="1:20" x14ac:dyDescent="0.3">
      <c r="A760" t="s">
        <v>42</v>
      </c>
      <c r="B760">
        <v>118</v>
      </c>
      <c r="C760" t="s">
        <v>71</v>
      </c>
      <c r="D760" t="s">
        <v>74</v>
      </c>
      <c r="E760" t="s">
        <v>75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74</v>
      </c>
    </row>
    <row r="761" spans="1:20" x14ac:dyDescent="0.3">
      <c r="A761" t="s">
        <v>33</v>
      </c>
      <c r="B761">
        <v>23</v>
      </c>
      <c r="C761" t="s">
        <v>73</v>
      </c>
      <c r="D761" t="s">
        <v>74</v>
      </c>
      <c r="E761" t="s">
        <v>74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74</v>
      </c>
    </row>
    <row r="762" spans="1:20" x14ac:dyDescent="0.3">
      <c r="A762" t="s">
        <v>66</v>
      </c>
      <c r="B762">
        <v>127</v>
      </c>
      <c r="C762" t="s">
        <v>71</v>
      </c>
      <c r="D762" t="s">
        <v>74</v>
      </c>
      <c r="E762" t="s">
        <v>75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74</v>
      </c>
    </row>
    <row r="763" spans="1:20" x14ac:dyDescent="0.3">
      <c r="A763" t="s">
        <v>28</v>
      </c>
      <c r="B763">
        <v>42</v>
      </c>
      <c r="C763" t="s">
        <v>71</v>
      </c>
      <c r="D763" t="s">
        <v>74</v>
      </c>
      <c r="E763" t="s">
        <v>75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74</v>
      </c>
    </row>
    <row r="764" spans="1:20" x14ac:dyDescent="0.3">
      <c r="A764" t="s">
        <v>22</v>
      </c>
      <c r="B764">
        <v>45</v>
      </c>
      <c r="C764" t="s">
        <v>72</v>
      </c>
      <c r="D764" t="s">
        <v>74</v>
      </c>
      <c r="E764" t="s">
        <v>74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74</v>
      </c>
    </row>
    <row r="765" spans="1:20" x14ac:dyDescent="0.3">
      <c r="A765" t="s">
        <v>27</v>
      </c>
      <c r="B765">
        <v>50</v>
      </c>
      <c r="C765" t="s">
        <v>73</v>
      </c>
      <c r="D765" t="s">
        <v>74</v>
      </c>
      <c r="E765" t="s">
        <v>75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74</v>
      </c>
    </row>
    <row r="766" spans="1:20" x14ac:dyDescent="0.3">
      <c r="A766" t="s">
        <v>37</v>
      </c>
      <c r="B766">
        <v>179</v>
      </c>
      <c r="C766" t="s">
        <v>72</v>
      </c>
      <c r="D766" t="s">
        <v>74</v>
      </c>
      <c r="E766" t="s">
        <v>74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75</v>
      </c>
    </row>
    <row r="767" spans="1:20" x14ac:dyDescent="0.3">
      <c r="A767" t="s">
        <v>37</v>
      </c>
      <c r="B767">
        <v>152</v>
      </c>
      <c r="C767" t="s">
        <v>73</v>
      </c>
      <c r="D767" t="s">
        <v>74</v>
      </c>
      <c r="E767" t="s">
        <v>74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74</v>
      </c>
    </row>
    <row r="768" spans="1:20" x14ac:dyDescent="0.3">
      <c r="A768" t="s">
        <v>67</v>
      </c>
      <c r="B768">
        <v>72</v>
      </c>
      <c r="C768" t="s">
        <v>71</v>
      </c>
      <c r="D768" t="s">
        <v>74</v>
      </c>
      <c r="E768" t="s">
        <v>74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74</v>
      </c>
    </row>
    <row r="769" spans="1:20" x14ac:dyDescent="0.3">
      <c r="A769" t="s">
        <v>47</v>
      </c>
      <c r="B769">
        <v>52</v>
      </c>
      <c r="C769" t="s">
        <v>73</v>
      </c>
      <c r="D769" t="s">
        <v>74</v>
      </c>
      <c r="E769" t="s">
        <v>74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74</v>
      </c>
    </row>
    <row r="770" spans="1:20" x14ac:dyDescent="0.3">
      <c r="A770" t="s">
        <v>34</v>
      </c>
      <c r="B770">
        <v>125</v>
      </c>
      <c r="C770" t="s">
        <v>71</v>
      </c>
      <c r="D770" t="s">
        <v>74</v>
      </c>
      <c r="E770" t="s">
        <v>74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74</v>
      </c>
    </row>
    <row r="771" spans="1:20" x14ac:dyDescent="0.3">
      <c r="A771" t="s">
        <v>50</v>
      </c>
      <c r="B771">
        <v>143</v>
      </c>
      <c r="C771" t="s">
        <v>72</v>
      </c>
      <c r="D771" t="s">
        <v>74</v>
      </c>
      <c r="E771" t="s">
        <v>74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74</v>
      </c>
    </row>
    <row r="772" spans="1:20" x14ac:dyDescent="0.3">
      <c r="A772" t="s">
        <v>55</v>
      </c>
      <c r="B772">
        <v>65</v>
      </c>
      <c r="C772" t="s">
        <v>71</v>
      </c>
      <c r="D772" t="s">
        <v>74</v>
      </c>
      <c r="E772" t="s">
        <v>74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74</v>
      </c>
    </row>
    <row r="773" spans="1:20" x14ac:dyDescent="0.3">
      <c r="A773" t="s">
        <v>53</v>
      </c>
      <c r="B773">
        <v>1</v>
      </c>
      <c r="C773" t="s">
        <v>71</v>
      </c>
      <c r="D773" t="s">
        <v>74</v>
      </c>
      <c r="E773" t="s">
        <v>74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74</v>
      </c>
    </row>
    <row r="774" spans="1:20" x14ac:dyDescent="0.3">
      <c r="A774" t="s">
        <v>70</v>
      </c>
      <c r="B774">
        <v>60</v>
      </c>
      <c r="C774" t="s">
        <v>73</v>
      </c>
      <c r="D774" t="s">
        <v>74</v>
      </c>
      <c r="E774" t="s">
        <v>74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74</v>
      </c>
    </row>
    <row r="775" spans="1:20" x14ac:dyDescent="0.3">
      <c r="A775" t="s">
        <v>66</v>
      </c>
      <c r="B775">
        <v>43</v>
      </c>
      <c r="C775" t="s">
        <v>71</v>
      </c>
      <c r="D775" t="s">
        <v>74</v>
      </c>
      <c r="E775" t="s">
        <v>74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74</v>
      </c>
    </row>
    <row r="776" spans="1:20" x14ac:dyDescent="0.3">
      <c r="A776" t="s">
        <v>68</v>
      </c>
      <c r="B776">
        <v>143</v>
      </c>
      <c r="C776" t="s">
        <v>71</v>
      </c>
      <c r="D776" t="s">
        <v>74</v>
      </c>
      <c r="E776" t="s">
        <v>74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74</v>
      </c>
    </row>
    <row r="777" spans="1:20" x14ac:dyDescent="0.3">
      <c r="A777" t="s">
        <v>42</v>
      </c>
      <c r="B777">
        <v>81</v>
      </c>
      <c r="C777" t="s">
        <v>71</v>
      </c>
      <c r="D777" t="s">
        <v>74</v>
      </c>
      <c r="E777" t="s">
        <v>75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74</v>
      </c>
    </row>
    <row r="778" spans="1:20" x14ac:dyDescent="0.3">
      <c r="A778" t="s">
        <v>67</v>
      </c>
      <c r="B778">
        <v>24</v>
      </c>
      <c r="C778" t="s">
        <v>71</v>
      </c>
      <c r="D778" t="s">
        <v>74</v>
      </c>
      <c r="E778" t="s">
        <v>74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74</v>
      </c>
    </row>
    <row r="779" spans="1:20" x14ac:dyDescent="0.3">
      <c r="A779" t="s">
        <v>65</v>
      </c>
      <c r="B779">
        <v>77</v>
      </c>
      <c r="C779" t="s">
        <v>72</v>
      </c>
      <c r="D779" t="s">
        <v>74</v>
      </c>
      <c r="E779" t="s">
        <v>74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74</v>
      </c>
    </row>
    <row r="780" spans="1:20" x14ac:dyDescent="0.3">
      <c r="A780" t="s">
        <v>44</v>
      </c>
      <c r="B780">
        <v>74</v>
      </c>
      <c r="C780" t="s">
        <v>71</v>
      </c>
      <c r="D780" t="s">
        <v>74</v>
      </c>
      <c r="E780" t="s">
        <v>74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74</v>
      </c>
    </row>
    <row r="781" spans="1:20" x14ac:dyDescent="0.3">
      <c r="A781" t="s">
        <v>70</v>
      </c>
      <c r="B781">
        <v>74</v>
      </c>
      <c r="C781" t="s">
        <v>72</v>
      </c>
      <c r="D781" t="s">
        <v>75</v>
      </c>
      <c r="E781" t="s">
        <v>74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75</v>
      </c>
    </row>
    <row r="782" spans="1:20" x14ac:dyDescent="0.3">
      <c r="A782" t="s">
        <v>21</v>
      </c>
      <c r="B782">
        <v>200</v>
      </c>
      <c r="C782" t="s">
        <v>73</v>
      </c>
      <c r="D782" t="s">
        <v>74</v>
      </c>
      <c r="E782" t="s">
        <v>74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74</v>
      </c>
    </row>
    <row r="783" spans="1:20" x14ac:dyDescent="0.3">
      <c r="A783" t="s">
        <v>49</v>
      </c>
      <c r="B783">
        <v>86</v>
      </c>
      <c r="C783" t="s">
        <v>73</v>
      </c>
      <c r="D783" t="s">
        <v>74</v>
      </c>
      <c r="E783" t="s">
        <v>74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74</v>
      </c>
    </row>
    <row r="784" spans="1:20" x14ac:dyDescent="0.3">
      <c r="A784" t="s">
        <v>24</v>
      </c>
      <c r="B784">
        <v>91</v>
      </c>
      <c r="C784" t="s">
        <v>72</v>
      </c>
      <c r="D784" t="s">
        <v>74</v>
      </c>
      <c r="E784" t="s">
        <v>75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74</v>
      </c>
    </row>
    <row r="785" spans="1:20" x14ac:dyDescent="0.3">
      <c r="A785" t="s">
        <v>34</v>
      </c>
      <c r="B785">
        <v>130</v>
      </c>
      <c r="C785" t="s">
        <v>71</v>
      </c>
      <c r="D785" t="s">
        <v>74</v>
      </c>
      <c r="E785" t="s">
        <v>74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74</v>
      </c>
    </row>
    <row r="786" spans="1:20" x14ac:dyDescent="0.3">
      <c r="A786" t="s">
        <v>61</v>
      </c>
      <c r="B786">
        <v>56</v>
      </c>
      <c r="C786" t="s">
        <v>73</v>
      </c>
      <c r="D786" t="s">
        <v>74</v>
      </c>
      <c r="E786" t="s">
        <v>74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74</v>
      </c>
    </row>
    <row r="787" spans="1:20" x14ac:dyDescent="0.3">
      <c r="A787" t="s">
        <v>45</v>
      </c>
      <c r="B787">
        <v>117</v>
      </c>
      <c r="C787" t="s">
        <v>71</v>
      </c>
      <c r="D787" t="s">
        <v>74</v>
      </c>
      <c r="E787" t="s">
        <v>74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74</v>
      </c>
    </row>
    <row r="788" spans="1:20" x14ac:dyDescent="0.3">
      <c r="A788" t="s">
        <v>22</v>
      </c>
      <c r="B788">
        <v>63</v>
      </c>
      <c r="C788" t="s">
        <v>72</v>
      </c>
      <c r="D788" t="s">
        <v>74</v>
      </c>
      <c r="E788" t="s">
        <v>74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74</v>
      </c>
    </row>
    <row r="789" spans="1:20" x14ac:dyDescent="0.3">
      <c r="A789" t="s">
        <v>23</v>
      </c>
      <c r="B789">
        <v>126</v>
      </c>
      <c r="C789" t="s">
        <v>71</v>
      </c>
      <c r="D789" t="s">
        <v>74</v>
      </c>
      <c r="E789" t="s">
        <v>74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74</v>
      </c>
    </row>
    <row r="790" spans="1:20" x14ac:dyDescent="0.3">
      <c r="A790" t="s">
        <v>58</v>
      </c>
      <c r="B790">
        <v>132</v>
      </c>
      <c r="C790" t="s">
        <v>72</v>
      </c>
      <c r="D790" t="s">
        <v>74</v>
      </c>
      <c r="E790" t="s">
        <v>74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74</v>
      </c>
    </row>
    <row r="791" spans="1:20" x14ac:dyDescent="0.3">
      <c r="A791" t="s">
        <v>68</v>
      </c>
      <c r="B791">
        <v>81</v>
      </c>
      <c r="C791" t="s">
        <v>71</v>
      </c>
      <c r="D791" t="s">
        <v>74</v>
      </c>
      <c r="E791" t="s">
        <v>75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75</v>
      </c>
    </row>
    <row r="792" spans="1:20" x14ac:dyDescent="0.3">
      <c r="A792" t="s">
        <v>66</v>
      </c>
      <c r="B792">
        <v>122</v>
      </c>
      <c r="C792" t="s">
        <v>71</v>
      </c>
      <c r="D792" t="s">
        <v>74</v>
      </c>
      <c r="E792" t="s">
        <v>74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74</v>
      </c>
    </row>
    <row r="793" spans="1:20" x14ac:dyDescent="0.3">
      <c r="A793" t="s">
        <v>28</v>
      </c>
      <c r="B793">
        <v>46</v>
      </c>
      <c r="C793" t="s">
        <v>73</v>
      </c>
      <c r="D793" t="s">
        <v>74</v>
      </c>
      <c r="E793" t="s">
        <v>74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75</v>
      </c>
    </row>
    <row r="794" spans="1:20" x14ac:dyDescent="0.3">
      <c r="A794" t="s">
        <v>32</v>
      </c>
      <c r="B794">
        <v>150</v>
      </c>
      <c r="C794" t="s">
        <v>71</v>
      </c>
      <c r="D794" t="s">
        <v>74</v>
      </c>
      <c r="E794" t="s">
        <v>75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74</v>
      </c>
    </row>
    <row r="795" spans="1:20" x14ac:dyDescent="0.3">
      <c r="A795" t="s">
        <v>29</v>
      </c>
      <c r="B795">
        <v>99</v>
      </c>
      <c r="C795" t="s">
        <v>73</v>
      </c>
      <c r="D795" t="s">
        <v>74</v>
      </c>
      <c r="E795" t="s">
        <v>74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74</v>
      </c>
    </row>
    <row r="796" spans="1:20" x14ac:dyDescent="0.3">
      <c r="A796" t="s">
        <v>21</v>
      </c>
      <c r="B796">
        <v>87</v>
      </c>
      <c r="C796" t="s">
        <v>73</v>
      </c>
      <c r="D796" t="s">
        <v>74</v>
      </c>
      <c r="E796" t="s">
        <v>74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74</v>
      </c>
    </row>
    <row r="797" spans="1:20" x14ac:dyDescent="0.3">
      <c r="A797" t="s">
        <v>23</v>
      </c>
      <c r="B797">
        <v>101</v>
      </c>
      <c r="C797" t="s">
        <v>71</v>
      </c>
      <c r="D797" t="s">
        <v>74</v>
      </c>
      <c r="E797" t="s">
        <v>74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74</v>
      </c>
    </row>
    <row r="798" spans="1:20" x14ac:dyDescent="0.3">
      <c r="A798" t="s">
        <v>47</v>
      </c>
      <c r="B798">
        <v>53</v>
      </c>
      <c r="C798" t="s">
        <v>71</v>
      </c>
      <c r="D798" t="s">
        <v>74</v>
      </c>
      <c r="E798" t="s">
        <v>74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74</v>
      </c>
    </row>
    <row r="799" spans="1:20" x14ac:dyDescent="0.3">
      <c r="A799" t="s">
        <v>35</v>
      </c>
      <c r="B799">
        <v>132</v>
      </c>
      <c r="C799" t="s">
        <v>71</v>
      </c>
      <c r="D799" t="s">
        <v>74</v>
      </c>
      <c r="E799" t="s">
        <v>75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74</v>
      </c>
    </row>
    <row r="800" spans="1:20" x14ac:dyDescent="0.3">
      <c r="A800" t="s">
        <v>60</v>
      </c>
      <c r="B800">
        <v>158</v>
      </c>
      <c r="C800" t="s">
        <v>72</v>
      </c>
      <c r="D800" t="s">
        <v>74</v>
      </c>
      <c r="E800" t="s">
        <v>74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74</v>
      </c>
    </row>
    <row r="801" spans="1:20" x14ac:dyDescent="0.3">
      <c r="A801" t="s">
        <v>53</v>
      </c>
      <c r="B801">
        <v>114</v>
      </c>
      <c r="C801" t="s">
        <v>71</v>
      </c>
      <c r="D801" t="s">
        <v>74</v>
      </c>
      <c r="E801" t="s">
        <v>75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74</v>
      </c>
    </row>
    <row r="802" spans="1:20" x14ac:dyDescent="0.3">
      <c r="A802" t="s">
        <v>68</v>
      </c>
      <c r="B802">
        <v>144</v>
      </c>
      <c r="C802" t="s">
        <v>71</v>
      </c>
      <c r="D802" t="s">
        <v>75</v>
      </c>
      <c r="E802" t="s">
        <v>74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74</v>
      </c>
    </row>
    <row r="803" spans="1:20" x14ac:dyDescent="0.3">
      <c r="A803" t="s">
        <v>21</v>
      </c>
      <c r="B803">
        <v>91</v>
      </c>
      <c r="C803" t="s">
        <v>72</v>
      </c>
      <c r="D803" t="s">
        <v>74</v>
      </c>
      <c r="E803" t="s">
        <v>75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74</v>
      </c>
    </row>
    <row r="804" spans="1:20" x14ac:dyDescent="0.3">
      <c r="A804" t="s">
        <v>27</v>
      </c>
      <c r="B804">
        <v>58</v>
      </c>
      <c r="C804" t="s">
        <v>73</v>
      </c>
      <c r="D804" t="s">
        <v>74</v>
      </c>
      <c r="E804" t="s">
        <v>74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74</v>
      </c>
    </row>
    <row r="805" spans="1:20" x14ac:dyDescent="0.3">
      <c r="A805" t="s">
        <v>62</v>
      </c>
      <c r="B805">
        <v>5</v>
      </c>
      <c r="C805" t="s">
        <v>71</v>
      </c>
      <c r="D805" t="s">
        <v>74</v>
      </c>
      <c r="E805" t="s">
        <v>74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74</v>
      </c>
    </row>
    <row r="806" spans="1:20" x14ac:dyDescent="0.3">
      <c r="A806" t="s">
        <v>36</v>
      </c>
      <c r="B806">
        <v>97</v>
      </c>
      <c r="C806" t="s">
        <v>73</v>
      </c>
      <c r="D806" t="s">
        <v>74</v>
      </c>
      <c r="E806" t="s">
        <v>74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74</v>
      </c>
    </row>
    <row r="807" spans="1:20" x14ac:dyDescent="0.3">
      <c r="A807" t="s">
        <v>28</v>
      </c>
      <c r="B807">
        <v>107</v>
      </c>
      <c r="C807" t="s">
        <v>71</v>
      </c>
      <c r="D807" t="s">
        <v>74</v>
      </c>
      <c r="E807" t="s">
        <v>74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74</v>
      </c>
    </row>
    <row r="808" spans="1:20" x14ac:dyDescent="0.3">
      <c r="A808" t="s">
        <v>37</v>
      </c>
      <c r="B808">
        <v>142</v>
      </c>
      <c r="C808" t="s">
        <v>71</v>
      </c>
      <c r="D808" t="s">
        <v>74</v>
      </c>
      <c r="E808" t="s">
        <v>75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74</v>
      </c>
    </row>
    <row r="809" spans="1:20" x14ac:dyDescent="0.3">
      <c r="A809" t="s">
        <v>48</v>
      </c>
      <c r="B809">
        <v>73</v>
      </c>
      <c r="C809" t="s">
        <v>71</v>
      </c>
      <c r="D809" t="s">
        <v>74</v>
      </c>
      <c r="E809" t="s">
        <v>74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74</v>
      </c>
    </row>
    <row r="810" spans="1:20" x14ac:dyDescent="0.3">
      <c r="A810" t="s">
        <v>28</v>
      </c>
      <c r="B810">
        <v>48</v>
      </c>
      <c r="C810" t="s">
        <v>72</v>
      </c>
      <c r="D810" t="s">
        <v>74</v>
      </c>
      <c r="E810" t="s">
        <v>75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75</v>
      </c>
    </row>
    <row r="811" spans="1:20" x14ac:dyDescent="0.3">
      <c r="A811" t="s">
        <v>65</v>
      </c>
      <c r="B811">
        <v>43</v>
      </c>
      <c r="C811" t="s">
        <v>73</v>
      </c>
      <c r="D811" t="s">
        <v>74</v>
      </c>
      <c r="E811" t="s">
        <v>74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74</v>
      </c>
    </row>
    <row r="812" spans="1:20" x14ac:dyDescent="0.3">
      <c r="A812" t="s">
        <v>52</v>
      </c>
      <c r="B812">
        <v>122</v>
      </c>
      <c r="C812" t="s">
        <v>73</v>
      </c>
      <c r="D812" t="s">
        <v>74</v>
      </c>
      <c r="E812" t="s">
        <v>75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75</v>
      </c>
    </row>
    <row r="813" spans="1:20" x14ac:dyDescent="0.3">
      <c r="A813" t="s">
        <v>43</v>
      </c>
      <c r="B813">
        <v>93</v>
      </c>
      <c r="C813" t="s">
        <v>71</v>
      </c>
      <c r="D813" t="s">
        <v>74</v>
      </c>
      <c r="E813" t="s">
        <v>74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74</v>
      </c>
    </row>
    <row r="814" spans="1:20" x14ac:dyDescent="0.3">
      <c r="A814" t="s">
        <v>23</v>
      </c>
      <c r="B814">
        <v>85</v>
      </c>
      <c r="C814" t="s">
        <v>71</v>
      </c>
      <c r="D814" t="s">
        <v>74</v>
      </c>
      <c r="E814" t="s">
        <v>74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74</v>
      </c>
    </row>
    <row r="815" spans="1:20" x14ac:dyDescent="0.3">
      <c r="A815" t="s">
        <v>69</v>
      </c>
      <c r="B815">
        <v>59</v>
      </c>
      <c r="C815" t="s">
        <v>71</v>
      </c>
      <c r="D815" t="s">
        <v>74</v>
      </c>
      <c r="E815" t="s">
        <v>74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74</v>
      </c>
    </row>
    <row r="816" spans="1:20" x14ac:dyDescent="0.3">
      <c r="A816" t="s">
        <v>26</v>
      </c>
      <c r="B816">
        <v>87</v>
      </c>
      <c r="C816" t="s">
        <v>71</v>
      </c>
      <c r="D816" t="s">
        <v>74</v>
      </c>
      <c r="E816" t="s">
        <v>74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74</v>
      </c>
    </row>
    <row r="817" spans="1:20" x14ac:dyDescent="0.3">
      <c r="A817" t="s">
        <v>61</v>
      </c>
      <c r="B817">
        <v>137</v>
      </c>
      <c r="C817" t="s">
        <v>73</v>
      </c>
      <c r="D817" t="s">
        <v>74</v>
      </c>
      <c r="E817" t="s">
        <v>74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74</v>
      </c>
    </row>
    <row r="818" spans="1:20" x14ac:dyDescent="0.3">
      <c r="A818" t="s">
        <v>58</v>
      </c>
      <c r="B818">
        <v>21</v>
      </c>
      <c r="C818" t="s">
        <v>72</v>
      </c>
      <c r="D818" t="s">
        <v>74</v>
      </c>
      <c r="E818" t="s">
        <v>75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74</v>
      </c>
    </row>
    <row r="819" spans="1:20" x14ac:dyDescent="0.3">
      <c r="A819" t="s">
        <v>45</v>
      </c>
      <c r="B819">
        <v>129</v>
      </c>
      <c r="C819" t="s">
        <v>72</v>
      </c>
      <c r="D819" t="s">
        <v>74</v>
      </c>
      <c r="E819" t="s">
        <v>74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75</v>
      </c>
    </row>
    <row r="820" spans="1:20" x14ac:dyDescent="0.3">
      <c r="A820" t="s">
        <v>70</v>
      </c>
      <c r="B820">
        <v>104</v>
      </c>
      <c r="C820" t="s">
        <v>71</v>
      </c>
      <c r="D820" t="s">
        <v>74</v>
      </c>
      <c r="E820" t="s">
        <v>74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74</v>
      </c>
    </row>
    <row r="821" spans="1:20" x14ac:dyDescent="0.3">
      <c r="A821" t="s">
        <v>27</v>
      </c>
      <c r="B821">
        <v>93</v>
      </c>
      <c r="C821" t="s">
        <v>73</v>
      </c>
      <c r="D821" t="s">
        <v>74</v>
      </c>
      <c r="E821" t="s">
        <v>75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75</v>
      </c>
    </row>
    <row r="822" spans="1:20" x14ac:dyDescent="0.3">
      <c r="A822" t="s">
        <v>23</v>
      </c>
      <c r="B822">
        <v>63</v>
      </c>
      <c r="C822" t="s">
        <v>71</v>
      </c>
      <c r="D822" t="s">
        <v>74</v>
      </c>
      <c r="E822" t="s">
        <v>74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75</v>
      </c>
    </row>
    <row r="823" spans="1:20" x14ac:dyDescent="0.3">
      <c r="A823" t="s">
        <v>58</v>
      </c>
      <c r="B823">
        <v>161</v>
      </c>
      <c r="C823" t="s">
        <v>71</v>
      </c>
      <c r="D823" t="s">
        <v>74</v>
      </c>
      <c r="E823" t="s">
        <v>74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74</v>
      </c>
    </row>
    <row r="824" spans="1:20" x14ac:dyDescent="0.3">
      <c r="A824" t="s">
        <v>34</v>
      </c>
      <c r="B824">
        <v>50</v>
      </c>
      <c r="C824" t="s">
        <v>72</v>
      </c>
      <c r="D824" t="s">
        <v>74</v>
      </c>
      <c r="E824" t="s">
        <v>74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74</v>
      </c>
    </row>
    <row r="825" spans="1:20" x14ac:dyDescent="0.3">
      <c r="A825" t="s">
        <v>37</v>
      </c>
      <c r="B825">
        <v>103</v>
      </c>
      <c r="C825" t="s">
        <v>73</v>
      </c>
      <c r="D825" t="s">
        <v>74</v>
      </c>
      <c r="E825" t="s">
        <v>75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74</v>
      </c>
    </row>
    <row r="826" spans="1:20" x14ac:dyDescent="0.3">
      <c r="A826" t="s">
        <v>64</v>
      </c>
      <c r="B826">
        <v>84</v>
      </c>
      <c r="C826" t="s">
        <v>71</v>
      </c>
      <c r="D826" t="s">
        <v>74</v>
      </c>
      <c r="E826" t="s">
        <v>75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74</v>
      </c>
    </row>
    <row r="827" spans="1:20" x14ac:dyDescent="0.3">
      <c r="A827" t="s">
        <v>32</v>
      </c>
      <c r="B827">
        <v>92</v>
      </c>
      <c r="C827" t="s">
        <v>72</v>
      </c>
      <c r="D827" t="s">
        <v>74</v>
      </c>
      <c r="E827" t="s">
        <v>74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74</v>
      </c>
    </row>
    <row r="828" spans="1:20" x14ac:dyDescent="0.3">
      <c r="A828" t="s">
        <v>68</v>
      </c>
      <c r="B828">
        <v>77</v>
      </c>
      <c r="C828" t="s">
        <v>71</v>
      </c>
      <c r="D828" t="s">
        <v>74</v>
      </c>
      <c r="E828" t="s">
        <v>74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74</v>
      </c>
    </row>
    <row r="829" spans="1:20" x14ac:dyDescent="0.3">
      <c r="A829" t="s">
        <v>38</v>
      </c>
      <c r="B829">
        <v>64</v>
      </c>
      <c r="C829" t="s">
        <v>71</v>
      </c>
      <c r="D829" t="s">
        <v>75</v>
      </c>
      <c r="E829" t="s">
        <v>74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75</v>
      </c>
    </row>
    <row r="830" spans="1:20" x14ac:dyDescent="0.3">
      <c r="A830" t="s">
        <v>39</v>
      </c>
      <c r="B830">
        <v>159</v>
      </c>
      <c r="C830" t="s">
        <v>71</v>
      </c>
      <c r="D830" t="s">
        <v>74</v>
      </c>
      <c r="E830" t="s">
        <v>75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74</v>
      </c>
    </row>
    <row r="831" spans="1:20" x14ac:dyDescent="0.3">
      <c r="A831" t="s">
        <v>20</v>
      </c>
      <c r="B831">
        <v>110</v>
      </c>
      <c r="C831" t="s">
        <v>71</v>
      </c>
      <c r="D831" t="s">
        <v>75</v>
      </c>
      <c r="E831" t="s">
        <v>75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75</v>
      </c>
    </row>
    <row r="832" spans="1:20" x14ac:dyDescent="0.3">
      <c r="A832" t="s">
        <v>68</v>
      </c>
      <c r="B832">
        <v>178</v>
      </c>
      <c r="C832" t="s">
        <v>73</v>
      </c>
      <c r="D832" t="s">
        <v>74</v>
      </c>
      <c r="E832" t="s">
        <v>74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74</v>
      </c>
    </row>
    <row r="833" spans="1:20" x14ac:dyDescent="0.3">
      <c r="A833" t="s">
        <v>40</v>
      </c>
      <c r="B833">
        <v>50</v>
      </c>
      <c r="C833" t="s">
        <v>71</v>
      </c>
      <c r="D833" t="s">
        <v>74</v>
      </c>
      <c r="E833" t="s">
        <v>75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74</v>
      </c>
    </row>
    <row r="834" spans="1:20" x14ac:dyDescent="0.3">
      <c r="A834" t="s">
        <v>40</v>
      </c>
      <c r="B834">
        <v>45</v>
      </c>
      <c r="C834" t="s">
        <v>72</v>
      </c>
      <c r="D834" t="s">
        <v>74</v>
      </c>
      <c r="E834" t="s">
        <v>75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74</v>
      </c>
    </row>
    <row r="835" spans="1:20" x14ac:dyDescent="0.3">
      <c r="A835" t="s">
        <v>69</v>
      </c>
      <c r="B835">
        <v>70</v>
      </c>
      <c r="C835" t="s">
        <v>72</v>
      </c>
      <c r="D835" t="s">
        <v>74</v>
      </c>
      <c r="E835" t="s">
        <v>74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74</v>
      </c>
    </row>
    <row r="836" spans="1:20" x14ac:dyDescent="0.3">
      <c r="A836" t="s">
        <v>68</v>
      </c>
      <c r="B836">
        <v>94</v>
      </c>
      <c r="C836" t="s">
        <v>72</v>
      </c>
      <c r="D836" t="s">
        <v>74</v>
      </c>
      <c r="E836" t="s">
        <v>74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74</v>
      </c>
    </row>
    <row r="837" spans="1:20" x14ac:dyDescent="0.3">
      <c r="A837" t="s">
        <v>25</v>
      </c>
      <c r="B837">
        <v>179</v>
      </c>
      <c r="C837" t="s">
        <v>72</v>
      </c>
      <c r="D837" t="s">
        <v>74</v>
      </c>
      <c r="E837" t="s">
        <v>74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74</v>
      </c>
    </row>
    <row r="838" spans="1:20" x14ac:dyDescent="0.3">
      <c r="A838" t="s">
        <v>53</v>
      </c>
      <c r="B838">
        <v>116</v>
      </c>
      <c r="C838" t="s">
        <v>71</v>
      </c>
      <c r="D838" t="s">
        <v>74</v>
      </c>
      <c r="E838" t="s">
        <v>74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74</v>
      </c>
    </row>
    <row r="839" spans="1:20" x14ac:dyDescent="0.3">
      <c r="A839" t="s">
        <v>64</v>
      </c>
      <c r="B839">
        <v>59</v>
      </c>
      <c r="C839" t="s">
        <v>72</v>
      </c>
      <c r="D839" t="s">
        <v>74</v>
      </c>
      <c r="E839" t="s">
        <v>74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74</v>
      </c>
    </row>
    <row r="840" spans="1:20" x14ac:dyDescent="0.3">
      <c r="A840" t="s">
        <v>66</v>
      </c>
      <c r="B840">
        <v>165</v>
      </c>
      <c r="C840" t="s">
        <v>71</v>
      </c>
      <c r="D840" t="s">
        <v>74</v>
      </c>
      <c r="E840" t="s">
        <v>74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74</v>
      </c>
    </row>
    <row r="841" spans="1:20" x14ac:dyDescent="0.3">
      <c r="A841" t="s">
        <v>69</v>
      </c>
      <c r="B841">
        <v>140</v>
      </c>
      <c r="C841" t="s">
        <v>71</v>
      </c>
      <c r="D841" t="s">
        <v>74</v>
      </c>
      <c r="E841" t="s">
        <v>74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74</v>
      </c>
    </row>
    <row r="842" spans="1:20" x14ac:dyDescent="0.3">
      <c r="A842" t="s">
        <v>23</v>
      </c>
      <c r="B842">
        <v>93</v>
      </c>
      <c r="C842" t="s">
        <v>73</v>
      </c>
      <c r="D842" t="s">
        <v>74</v>
      </c>
      <c r="E842" t="s">
        <v>75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74</v>
      </c>
    </row>
    <row r="843" spans="1:20" x14ac:dyDescent="0.3">
      <c r="A843" t="s">
        <v>44</v>
      </c>
      <c r="B843">
        <v>52</v>
      </c>
      <c r="C843" t="s">
        <v>72</v>
      </c>
      <c r="D843" t="s">
        <v>74</v>
      </c>
      <c r="E843" t="s">
        <v>75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74</v>
      </c>
    </row>
    <row r="844" spans="1:20" x14ac:dyDescent="0.3">
      <c r="A844" t="s">
        <v>45</v>
      </c>
      <c r="B844">
        <v>64</v>
      </c>
      <c r="C844" t="s">
        <v>71</v>
      </c>
      <c r="D844" t="s">
        <v>74</v>
      </c>
      <c r="E844" t="s">
        <v>75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74</v>
      </c>
    </row>
    <row r="845" spans="1:20" x14ac:dyDescent="0.3">
      <c r="A845" t="s">
        <v>58</v>
      </c>
      <c r="B845">
        <v>48</v>
      </c>
      <c r="C845" t="s">
        <v>71</v>
      </c>
      <c r="D845" t="s">
        <v>74</v>
      </c>
      <c r="E845" t="s">
        <v>74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74</v>
      </c>
    </row>
    <row r="846" spans="1:20" x14ac:dyDescent="0.3">
      <c r="A846" t="s">
        <v>38</v>
      </c>
      <c r="B846">
        <v>181</v>
      </c>
      <c r="C846" t="s">
        <v>73</v>
      </c>
      <c r="D846" t="s">
        <v>74</v>
      </c>
      <c r="E846" t="s">
        <v>74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74</v>
      </c>
    </row>
    <row r="847" spans="1:20" x14ac:dyDescent="0.3">
      <c r="A847" t="s">
        <v>37</v>
      </c>
      <c r="B847">
        <v>168</v>
      </c>
      <c r="C847" t="s">
        <v>71</v>
      </c>
      <c r="D847" t="s">
        <v>74</v>
      </c>
      <c r="E847" t="s">
        <v>75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74</v>
      </c>
    </row>
    <row r="848" spans="1:20" x14ac:dyDescent="0.3">
      <c r="A848" t="s">
        <v>39</v>
      </c>
      <c r="B848">
        <v>155</v>
      </c>
      <c r="C848" t="s">
        <v>71</v>
      </c>
      <c r="D848" t="s">
        <v>74</v>
      </c>
      <c r="E848" t="s">
        <v>74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74</v>
      </c>
    </row>
    <row r="849" spans="1:20" x14ac:dyDescent="0.3">
      <c r="A849" t="s">
        <v>64</v>
      </c>
      <c r="B849">
        <v>105</v>
      </c>
      <c r="C849" t="s">
        <v>72</v>
      </c>
      <c r="D849" t="s">
        <v>74</v>
      </c>
      <c r="E849" t="s">
        <v>74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74</v>
      </c>
    </row>
    <row r="850" spans="1:20" x14ac:dyDescent="0.3">
      <c r="A850" t="s">
        <v>64</v>
      </c>
      <c r="B850">
        <v>182</v>
      </c>
      <c r="C850" t="s">
        <v>71</v>
      </c>
      <c r="D850" t="s">
        <v>74</v>
      </c>
      <c r="E850" t="s">
        <v>74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74</v>
      </c>
    </row>
    <row r="851" spans="1:20" x14ac:dyDescent="0.3">
      <c r="A851" t="s">
        <v>38</v>
      </c>
      <c r="B851">
        <v>104</v>
      </c>
      <c r="C851" t="s">
        <v>71</v>
      </c>
      <c r="D851" t="s">
        <v>74</v>
      </c>
      <c r="E851" t="s">
        <v>74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74</v>
      </c>
    </row>
    <row r="852" spans="1:20" x14ac:dyDescent="0.3">
      <c r="A852" t="s">
        <v>61</v>
      </c>
      <c r="B852">
        <v>102</v>
      </c>
      <c r="C852" t="s">
        <v>71</v>
      </c>
      <c r="D852" t="s">
        <v>74</v>
      </c>
      <c r="E852" t="s">
        <v>74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74</v>
      </c>
    </row>
    <row r="853" spans="1:20" x14ac:dyDescent="0.3">
      <c r="A853" t="s">
        <v>21</v>
      </c>
      <c r="B853">
        <v>122</v>
      </c>
      <c r="C853" t="s">
        <v>71</v>
      </c>
      <c r="D853" t="s">
        <v>74</v>
      </c>
      <c r="E853" t="s">
        <v>74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74</v>
      </c>
    </row>
    <row r="854" spans="1:20" x14ac:dyDescent="0.3">
      <c r="A854" t="s">
        <v>43</v>
      </c>
      <c r="B854">
        <v>41</v>
      </c>
      <c r="C854" t="s">
        <v>71</v>
      </c>
      <c r="D854" t="s">
        <v>74</v>
      </c>
      <c r="E854" t="s">
        <v>74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74</v>
      </c>
    </row>
    <row r="855" spans="1:20" x14ac:dyDescent="0.3">
      <c r="A855" t="s">
        <v>27</v>
      </c>
      <c r="B855">
        <v>132</v>
      </c>
      <c r="C855" t="s">
        <v>71</v>
      </c>
      <c r="D855" t="s">
        <v>74</v>
      </c>
      <c r="E855" t="s">
        <v>74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74</v>
      </c>
    </row>
    <row r="856" spans="1:20" x14ac:dyDescent="0.3">
      <c r="A856" t="s">
        <v>30</v>
      </c>
      <c r="B856">
        <v>76</v>
      </c>
      <c r="C856" t="s">
        <v>71</v>
      </c>
      <c r="D856" t="s">
        <v>74</v>
      </c>
      <c r="E856" t="s">
        <v>74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75</v>
      </c>
    </row>
    <row r="857" spans="1:20" x14ac:dyDescent="0.3">
      <c r="A857" t="s">
        <v>65</v>
      </c>
      <c r="B857">
        <v>13</v>
      </c>
      <c r="C857" t="s">
        <v>71</v>
      </c>
      <c r="D857" t="s">
        <v>74</v>
      </c>
      <c r="E857" t="s">
        <v>74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74</v>
      </c>
    </row>
    <row r="858" spans="1:20" x14ac:dyDescent="0.3">
      <c r="A858" t="s">
        <v>67</v>
      </c>
      <c r="B858">
        <v>115</v>
      </c>
      <c r="C858" t="s">
        <v>71</v>
      </c>
      <c r="D858" t="s">
        <v>74</v>
      </c>
      <c r="E858" t="s">
        <v>75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74</v>
      </c>
    </row>
    <row r="859" spans="1:20" x14ac:dyDescent="0.3">
      <c r="A859" t="s">
        <v>65</v>
      </c>
      <c r="B859">
        <v>67</v>
      </c>
      <c r="C859" t="s">
        <v>73</v>
      </c>
      <c r="D859" t="s">
        <v>74</v>
      </c>
      <c r="E859" t="s">
        <v>74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74</v>
      </c>
    </row>
    <row r="860" spans="1:20" x14ac:dyDescent="0.3">
      <c r="A860" t="s">
        <v>62</v>
      </c>
      <c r="B860">
        <v>100</v>
      </c>
      <c r="C860" t="s">
        <v>72</v>
      </c>
      <c r="D860" t="s">
        <v>74</v>
      </c>
      <c r="E860" t="s">
        <v>74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74</v>
      </c>
    </row>
    <row r="861" spans="1:20" x14ac:dyDescent="0.3">
      <c r="A861" t="s">
        <v>35</v>
      </c>
      <c r="B861">
        <v>146</v>
      </c>
      <c r="C861" t="s">
        <v>72</v>
      </c>
      <c r="D861" t="s">
        <v>75</v>
      </c>
      <c r="E861" t="s">
        <v>74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74</v>
      </c>
    </row>
    <row r="862" spans="1:20" x14ac:dyDescent="0.3">
      <c r="A862" t="s">
        <v>63</v>
      </c>
      <c r="B862">
        <v>148</v>
      </c>
      <c r="C862" t="s">
        <v>71</v>
      </c>
      <c r="D862" t="s">
        <v>74</v>
      </c>
      <c r="E862" t="s">
        <v>75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74</v>
      </c>
    </row>
    <row r="863" spans="1:20" x14ac:dyDescent="0.3">
      <c r="A863" t="s">
        <v>21</v>
      </c>
      <c r="B863">
        <v>67</v>
      </c>
      <c r="C863" t="s">
        <v>71</v>
      </c>
      <c r="D863" t="s">
        <v>74</v>
      </c>
      <c r="E863" t="s">
        <v>75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74</v>
      </c>
    </row>
    <row r="864" spans="1:20" x14ac:dyDescent="0.3">
      <c r="A864" t="s">
        <v>42</v>
      </c>
      <c r="B864">
        <v>161</v>
      </c>
      <c r="C864" t="s">
        <v>72</v>
      </c>
      <c r="D864" t="s">
        <v>75</v>
      </c>
      <c r="E864" t="s">
        <v>74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75</v>
      </c>
    </row>
    <row r="865" spans="1:20" x14ac:dyDescent="0.3">
      <c r="A865" t="s">
        <v>20</v>
      </c>
      <c r="B865">
        <v>70</v>
      </c>
      <c r="C865" t="s">
        <v>71</v>
      </c>
      <c r="D865" t="s">
        <v>74</v>
      </c>
      <c r="E865" t="s">
        <v>74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74</v>
      </c>
    </row>
    <row r="866" spans="1:20" x14ac:dyDescent="0.3">
      <c r="A866" t="s">
        <v>50</v>
      </c>
      <c r="B866">
        <v>99</v>
      </c>
      <c r="C866" t="s">
        <v>71</v>
      </c>
      <c r="D866" t="s">
        <v>74</v>
      </c>
      <c r="E866" t="s">
        <v>75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75</v>
      </c>
    </row>
    <row r="867" spans="1:20" x14ac:dyDescent="0.3">
      <c r="A867" t="s">
        <v>42</v>
      </c>
      <c r="B867">
        <v>87</v>
      </c>
      <c r="C867" t="s">
        <v>71</v>
      </c>
      <c r="D867" t="s">
        <v>74</v>
      </c>
      <c r="E867" t="s">
        <v>74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74</v>
      </c>
    </row>
    <row r="868" spans="1:20" x14ac:dyDescent="0.3">
      <c r="A868" t="s">
        <v>45</v>
      </c>
      <c r="B868">
        <v>131</v>
      </c>
      <c r="C868" t="s">
        <v>73</v>
      </c>
      <c r="D868" t="s">
        <v>74</v>
      </c>
      <c r="E868" t="s">
        <v>74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74</v>
      </c>
    </row>
    <row r="869" spans="1:20" x14ac:dyDescent="0.3">
      <c r="A869" t="s">
        <v>23</v>
      </c>
      <c r="B869">
        <v>119</v>
      </c>
      <c r="C869" t="s">
        <v>72</v>
      </c>
      <c r="D869" t="s">
        <v>74</v>
      </c>
      <c r="E869" t="s">
        <v>74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74</v>
      </c>
    </row>
    <row r="870" spans="1:20" x14ac:dyDescent="0.3">
      <c r="A870" t="s">
        <v>37</v>
      </c>
      <c r="B870">
        <v>119</v>
      </c>
      <c r="C870" t="s">
        <v>73</v>
      </c>
      <c r="D870" t="s">
        <v>74</v>
      </c>
      <c r="E870" t="s">
        <v>75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74</v>
      </c>
    </row>
    <row r="871" spans="1:20" x14ac:dyDescent="0.3">
      <c r="A871" t="s">
        <v>55</v>
      </c>
      <c r="B871">
        <v>87</v>
      </c>
      <c r="C871" t="s">
        <v>72</v>
      </c>
      <c r="D871" t="s">
        <v>75</v>
      </c>
      <c r="E871" t="s">
        <v>74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74</v>
      </c>
    </row>
    <row r="872" spans="1:20" x14ac:dyDescent="0.3">
      <c r="A872" t="s">
        <v>60</v>
      </c>
      <c r="B872">
        <v>112</v>
      </c>
      <c r="C872" t="s">
        <v>71</v>
      </c>
      <c r="D872" t="s">
        <v>74</v>
      </c>
      <c r="E872" t="s">
        <v>74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75</v>
      </c>
    </row>
    <row r="873" spans="1:20" x14ac:dyDescent="0.3">
      <c r="A873" t="s">
        <v>55</v>
      </c>
      <c r="B873">
        <v>75</v>
      </c>
      <c r="C873" t="s">
        <v>71</v>
      </c>
      <c r="D873" t="s">
        <v>74</v>
      </c>
      <c r="E873" t="s">
        <v>74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74</v>
      </c>
    </row>
    <row r="874" spans="1:20" x14ac:dyDescent="0.3">
      <c r="A874" t="s">
        <v>54</v>
      </c>
      <c r="B874">
        <v>150</v>
      </c>
      <c r="C874" t="s">
        <v>72</v>
      </c>
      <c r="D874" t="s">
        <v>74</v>
      </c>
      <c r="E874" t="s">
        <v>74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74</v>
      </c>
    </row>
    <row r="875" spans="1:20" x14ac:dyDescent="0.3">
      <c r="A875" t="s">
        <v>51</v>
      </c>
      <c r="B875">
        <v>161</v>
      </c>
      <c r="C875" t="s">
        <v>72</v>
      </c>
      <c r="D875" t="s">
        <v>74</v>
      </c>
      <c r="E875" t="s">
        <v>75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74</v>
      </c>
    </row>
    <row r="876" spans="1:20" x14ac:dyDescent="0.3">
      <c r="A876" t="s">
        <v>39</v>
      </c>
      <c r="B876">
        <v>91</v>
      </c>
      <c r="C876" t="s">
        <v>72</v>
      </c>
      <c r="D876" t="s">
        <v>75</v>
      </c>
      <c r="E876" t="s">
        <v>75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74</v>
      </c>
    </row>
    <row r="877" spans="1:20" x14ac:dyDescent="0.3">
      <c r="A877" t="s">
        <v>20</v>
      </c>
      <c r="B877">
        <v>124</v>
      </c>
      <c r="C877" t="s">
        <v>71</v>
      </c>
      <c r="D877" t="s">
        <v>74</v>
      </c>
      <c r="E877" t="s">
        <v>74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74</v>
      </c>
    </row>
    <row r="878" spans="1:20" x14ac:dyDescent="0.3">
      <c r="A878" t="s">
        <v>38</v>
      </c>
      <c r="B878">
        <v>94</v>
      </c>
      <c r="C878" t="s">
        <v>72</v>
      </c>
      <c r="D878" t="s">
        <v>75</v>
      </c>
      <c r="E878" t="s">
        <v>74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74</v>
      </c>
    </row>
    <row r="879" spans="1:20" x14ac:dyDescent="0.3">
      <c r="A879" t="s">
        <v>34</v>
      </c>
      <c r="B879">
        <v>217</v>
      </c>
      <c r="C879" t="s">
        <v>73</v>
      </c>
      <c r="D879" t="s">
        <v>74</v>
      </c>
      <c r="E879" t="s">
        <v>74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74</v>
      </c>
    </row>
    <row r="880" spans="1:20" x14ac:dyDescent="0.3">
      <c r="A880" t="s">
        <v>55</v>
      </c>
      <c r="B880">
        <v>158</v>
      </c>
      <c r="C880" t="s">
        <v>72</v>
      </c>
      <c r="D880" t="s">
        <v>74</v>
      </c>
      <c r="E880" t="s">
        <v>74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74</v>
      </c>
    </row>
    <row r="881" spans="1:20" x14ac:dyDescent="0.3">
      <c r="A881" t="s">
        <v>68</v>
      </c>
      <c r="B881">
        <v>102</v>
      </c>
      <c r="C881" t="s">
        <v>71</v>
      </c>
      <c r="D881" t="s">
        <v>74</v>
      </c>
      <c r="E881" t="s">
        <v>74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74</v>
      </c>
    </row>
    <row r="882" spans="1:20" x14ac:dyDescent="0.3">
      <c r="A882" t="s">
        <v>42</v>
      </c>
      <c r="B882">
        <v>85</v>
      </c>
      <c r="C882" t="s">
        <v>72</v>
      </c>
      <c r="D882" t="s">
        <v>74</v>
      </c>
      <c r="E882" t="s">
        <v>74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74</v>
      </c>
    </row>
    <row r="883" spans="1:20" x14ac:dyDescent="0.3">
      <c r="A883" t="s">
        <v>44</v>
      </c>
      <c r="B883">
        <v>79</v>
      </c>
      <c r="C883" t="s">
        <v>72</v>
      </c>
      <c r="D883" t="s">
        <v>74</v>
      </c>
      <c r="E883" t="s">
        <v>74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74</v>
      </c>
    </row>
    <row r="884" spans="1:20" x14ac:dyDescent="0.3">
      <c r="A884" t="s">
        <v>32</v>
      </c>
      <c r="B884">
        <v>139</v>
      </c>
      <c r="C884" t="s">
        <v>72</v>
      </c>
      <c r="D884" t="s">
        <v>74</v>
      </c>
      <c r="E884" t="s">
        <v>75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74</v>
      </c>
    </row>
    <row r="885" spans="1:20" x14ac:dyDescent="0.3">
      <c r="A885" t="s">
        <v>66</v>
      </c>
      <c r="B885">
        <v>103</v>
      </c>
      <c r="C885" t="s">
        <v>71</v>
      </c>
      <c r="D885" t="s">
        <v>74</v>
      </c>
      <c r="E885" t="s">
        <v>74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74</v>
      </c>
    </row>
    <row r="886" spans="1:20" x14ac:dyDescent="0.3">
      <c r="A886" t="s">
        <v>46</v>
      </c>
      <c r="B886">
        <v>78</v>
      </c>
      <c r="C886" t="s">
        <v>73</v>
      </c>
      <c r="D886" t="s">
        <v>74</v>
      </c>
      <c r="E886" t="s">
        <v>74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74</v>
      </c>
    </row>
    <row r="887" spans="1:20" x14ac:dyDescent="0.3">
      <c r="A887" t="s">
        <v>35</v>
      </c>
      <c r="B887">
        <v>50</v>
      </c>
      <c r="C887" t="s">
        <v>73</v>
      </c>
      <c r="D887" t="s">
        <v>74</v>
      </c>
      <c r="E887" t="s">
        <v>74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74</v>
      </c>
    </row>
    <row r="888" spans="1:20" x14ac:dyDescent="0.3">
      <c r="A888" t="s">
        <v>20</v>
      </c>
      <c r="B888">
        <v>67</v>
      </c>
      <c r="C888" t="s">
        <v>73</v>
      </c>
      <c r="D888" t="s">
        <v>74</v>
      </c>
      <c r="E888" t="s">
        <v>74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74</v>
      </c>
    </row>
    <row r="889" spans="1:20" x14ac:dyDescent="0.3">
      <c r="A889" t="s">
        <v>65</v>
      </c>
      <c r="B889">
        <v>86</v>
      </c>
      <c r="C889" t="s">
        <v>71</v>
      </c>
      <c r="D889" t="s">
        <v>74</v>
      </c>
      <c r="E889" t="s">
        <v>75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74</v>
      </c>
    </row>
    <row r="890" spans="1:20" x14ac:dyDescent="0.3">
      <c r="A890" t="s">
        <v>52</v>
      </c>
      <c r="B890">
        <v>174</v>
      </c>
      <c r="C890" t="s">
        <v>71</v>
      </c>
      <c r="D890" t="s">
        <v>74</v>
      </c>
      <c r="E890" t="s">
        <v>74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74</v>
      </c>
    </row>
    <row r="891" spans="1:20" x14ac:dyDescent="0.3">
      <c r="A891" t="s">
        <v>61</v>
      </c>
      <c r="B891">
        <v>124</v>
      </c>
      <c r="C891" t="s">
        <v>72</v>
      </c>
      <c r="D891" t="s">
        <v>74</v>
      </c>
      <c r="E891" t="s">
        <v>74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74</v>
      </c>
    </row>
    <row r="892" spans="1:20" x14ac:dyDescent="0.3">
      <c r="A892" t="s">
        <v>55</v>
      </c>
      <c r="B892">
        <v>190</v>
      </c>
      <c r="C892" t="s">
        <v>71</v>
      </c>
      <c r="D892" t="s">
        <v>74</v>
      </c>
      <c r="E892" t="s">
        <v>75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74</v>
      </c>
    </row>
    <row r="893" spans="1:20" x14ac:dyDescent="0.3">
      <c r="A893" t="s">
        <v>67</v>
      </c>
      <c r="B893">
        <v>101</v>
      </c>
      <c r="C893" t="s">
        <v>72</v>
      </c>
      <c r="D893" t="s">
        <v>74</v>
      </c>
      <c r="E893" t="s">
        <v>74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74</v>
      </c>
    </row>
    <row r="894" spans="1:20" x14ac:dyDescent="0.3">
      <c r="A894" t="s">
        <v>38</v>
      </c>
      <c r="B894">
        <v>68</v>
      </c>
      <c r="C894" t="s">
        <v>71</v>
      </c>
      <c r="D894" t="s">
        <v>74</v>
      </c>
      <c r="E894" t="s">
        <v>75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74</v>
      </c>
    </row>
    <row r="895" spans="1:20" x14ac:dyDescent="0.3">
      <c r="A895" t="s">
        <v>20</v>
      </c>
      <c r="B895">
        <v>117</v>
      </c>
      <c r="C895" t="s">
        <v>72</v>
      </c>
      <c r="D895" t="s">
        <v>74</v>
      </c>
      <c r="E895" t="s">
        <v>75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74</v>
      </c>
    </row>
    <row r="896" spans="1:20" x14ac:dyDescent="0.3">
      <c r="A896" t="s">
        <v>26</v>
      </c>
      <c r="B896">
        <v>118</v>
      </c>
      <c r="C896" t="s">
        <v>73</v>
      </c>
      <c r="D896" t="s">
        <v>74</v>
      </c>
      <c r="E896" t="s">
        <v>74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74</v>
      </c>
    </row>
    <row r="897" spans="1:20" x14ac:dyDescent="0.3">
      <c r="A897" t="s">
        <v>68</v>
      </c>
      <c r="B897">
        <v>22</v>
      </c>
      <c r="C897" t="s">
        <v>72</v>
      </c>
      <c r="D897" t="s">
        <v>74</v>
      </c>
      <c r="E897" t="s">
        <v>74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74</v>
      </c>
    </row>
    <row r="898" spans="1:20" x14ac:dyDescent="0.3">
      <c r="A898" t="s">
        <v>47</v>
      </c>
      <c r="B898">
        <v>134</v>
      </c>
      <c r="C898" t="s">
        <v>73</v>
      </c>
      <c r="D898" t="s">
        <v>74</v>
      </c>
      <c r="E898" t="s">
        <v>74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74</v>
      </c>
    </row>
    <row r="899" spans="1:20" x14ac:dyDescent="0.3">
      <c r="A899" t="s">
        <v>37</v>
      </c>
      <c r="B899">
        <v>164</v>
      </c>
      <c r="C899" t="s">
        <v>73</v>
      </c>
      <c r="D899" t="s">
        <v>74</v>
      </c>
      <c r="E899" t="s">
        <v>75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74</v>
      </c>
    </row>
    <row r="900" spans="1:20" x14ac:dyDescent="0.3">
      <c r="A900" t="s">
        <v>59</v>
      </c>
      <c r="B900">
        <v>177</v>
      </c>
      <c r="C900" t="s">
        <v>71</v>
      </c>
      <c r="D900" t="s">
        <v>74</v>
      </c>
      <c r="E900" t="s">
        <v>74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74</v>
      </c>
    </row>
    <row r="901" spans="1:20" x14ac:dyDescent="0.3">
      <c r="A901" t="s">
        <v>46</v>
      </c>
      <c r="B901">
        <v>110</v>
      </c>
      <c r="C901" t="s">
        <v>73</v>
      </c>
      <c r="D901" t="s">
        <v>74</v>
      </c>
      <c r="E901" t="s">
        <v>74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74</v>
      </c>
    </row>
    <row r="902" spans="1:20" x14ac:dyDescent="0.3">
      <c r="A902" t="s">
        <v>30</v>
      </c>
      <c r="B902">
        <v>53</v>
      </c>
      <c r="C902" t="s">
        <v>71</v>
      </c>
      <c r="D902" t="s">
        <v>74</v>
      </c>
      <c r="E902" t="s">
        <v>75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74</v>
      </c>
    </row>
    <row r="903" spans="1:20" x14ac:dyDescent="0.3">
      <c r="A903" t="s">
        <v>59</v>
      </c>
      <c r="B903">
        <v>80</v>
      </c>
      <c r="C903" t="s">
        <v>73</v>
      </c>
      <c r="D903" t="s">
        <v>74</v>
      </c>
      <c r="E903" t="s">
        <v>74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75</v>
      </c>
    </row>
    <row r="904" spans="1:20" x14ac:dyDescent="0.3">
      <c r="A904" t="s">
        <v>32</v>
      </c>
      <c r="B904">
        <v>158</v>
      </c>
      <c r="C904" t="s">
        <v>73</v>
      </c>
      <c r="D904" t="s">
        <v>74</v>
      </c>
      <c r="E904" t="s">
        <v>74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74</v>
      </c>
    </row>
    <row r="905" spans="1:20" x14ac:dyDescent="0.3">
      <c r="A905" t="s">
        <v>61</v>
      </c>
      <c r="B905">
        <v>114</v>
      </c>
      <c r="C905" t="s">
        <v>71</v>
      </c>
      <c r="D905" t="s">
        <v>74</v>
      </c>
      <c r="E905" t="s">
        <v>74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74</v>
      </c>
    </row>
    <row r="906" spans="1:20" x14ac:dyDescent="0.3">
      <c r="A906" t="s">
        <v>66</v>
      </c>
      <c r="B906">
        <v>64</v>
      </c>
      <c r="C906" t="s">
        <v>73</v>
      </c>
      <c r="D906" t="s">
        <v>74</v>
      </c>
      <c r="E906" t="s">
        <v>75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74</v>
      </c>
    </row>
    <row r="907" spans="1:20" x14ac:dyDescent="0.3">
      <c r="A907" t="s">
        <v>56</v>
      </c>
      <c r="B907">
        <v>88</v>
      </c>
      <c r="C907" t="s">
        <v>71</v>
      </c>
      <c r="D907" t="s">
        <v>74</v>
      </c>
      <c r="E907" t="s">
        <v>74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74</v>
      </c>
    </row>
    <row r="908" spans="1:20" x14ac:dyDescent="0.3">
      <c r="A908" t="s">
        <v>42</v>
      </c>
      <c r="B908">
        <v>82</v>
      </c>
      <c r="C908" t="s">
        <v>72</v>
      </c>
      <c r="D908" t="s">
        <v>75</v>
      </c>
      <c r="E908" t="s">
        <v>74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74</v>
      </c>
    </row>
    <row r="909" spans="1:20" x14ac:dyDescent="0.3">
      <c r="A909" t="s">
        <v>70</v>
      </c>
      <c r="B909">
        <v>111</v>
      </c>
      <c r="C909" t="s">
        <v>71</v>
      </c>
      <c r="D909" t="s">
        <v>74</v>
      </c>
      <c r="E909" t="s">
        <v>74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74</v>
      </c>
    </row>
    <row r="910" spans="1:20" x14ac:dyDescent="0.3">
      <c r="A910" t="s">
        <v>57</v>
      </c>
      <c r="B910">
        <v>60</v>
      </c>
      <c r="C910" t="s">
        <v>73</v>
      </c>
      <c r="D910" t="s">
        <v>74</v>
      </c>
      <c r="E910" t="s">
        <v>74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74</v>
      </c>
    </row>
    <row r="911" spans="1:20" x14ac:dyDescent="0.3">
      <c r="A911" t="s">
        <v>28</v>
      </c>
      <c r="B911">
        <v>113</v>
      </c>
      <c r="C911" t="s">
        <v>73</v>
      </c>
      <c r="D911" t="s">
        <v>74</v>
      </c>
      <c r="E911" t="s">
        <v>74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74</v>
      </c>
    </row>
    <row r="912" spans="1:20" x14ac:dyDescent="0.3">
      <c r="A912" t="s">
        <v>39</v>
      </c>
      <c r="B912">
        <v>109</v>
      </c>
      <c r="C912" t="s">
        <v>73</v>
      </c>
      <c r="D912" t="s">
        <v>74</v>
      </c>
      <c r="E912" t="s">
        <v>74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74</v>
      </c>
    </row>
    <row r="913" spans="1:20" x14ac:dyDescent="0.3">
      <c r="A913" t="s">
        <v>51</v>
      </c>
      <c r="B913">
        <v>105</v>
      </c>
      <c r="C913" t="s">
        <v>72</v>
      </c>
      <c r="D913" t="s">
        <v>74</v>
      </c>
      <c r="E913" t="s">
        <v>75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74</v>
      </c>
    </row>
    <row r="914" spans="1:20" x14ac:dyDescent="0.3">
      <c r="A914" t="s">
        <v>45</v>
      </c>
      <c r="B914">
        <v>85</v>
      </c>
      <c r="C914" t="s">
        <v>72</v>
      </c>
      <c r="D914" t="s">
        <v>74</v>
      </c>
      <c r="E914" t="s">
        <v>74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74</v>
      </c>
    </row>
    <row r="915" spans="1:20" x14ac:dyDescent="0.3">
      <c r="A915" t="s">
        <v>59</v>
      </c>
      <c r="B915">
        <v>59</v>
      </c>
      <c r="C915" t="s">
        <v>72</v>
      </c>
      <c r="D915" t="s">
        <v>74</v>
      </c>
      <c r="E915" t="s">
        <v>74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74</v>
      </c>
    </row>
    <row r="916" spans="1:20" x14ac:dyDescent="0.3">
      <c r="A916" t="s">
        <v>56</v>
      </c>
      <c r="B916">
        <v>148</v>
      </c>
      <c r="C916" t="s">
        <v>73</v>
      </c>
      <c r="D916" t="s">
        <v>74</v>
      </c>
      <c r="E916" t="s">
        <v>74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74</v>
      </c>
    </row>
    <row r="917" spans="1:20" x14ac:dyDescent="0.3">
      <c r="A917" t="s">
        <v>35</v>
      </c>
      <c r="B917">
        <v>115</v>
      </c>
      <c r="C917" t="s">
        <v>71</v>
      </c>
      <c r="D917" t="s">
        <v>74</v>
      </c>
      <c r="E917" t="s">
        <v>74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74</v>
      </c>
    </row>
    <row r="918" spans="1:20" x14ac:dyDescent="0.3">
      <c r="A918" t="s">
        <v>29</v>
      </c>
      <c r="B918">
        <v>106</v>
      </c>
      <c r="C918" t="s">
        <v>72</v>
      </c>
      <c r="D918" t="s">
        <v>74</v>
      </c>
      <c r="E918" t="s">
        <v>74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74</v>
      </c>
    </row>
    <row r="919" spans="1:20" x14ac:dyDescent="0.3">
      <c r="A919" t="s">
        <v>55</v>
      </c>
      <c r="B919">
        <v>93</v>
      </c>
      <c r="C919" t="s">
        <v>71</v>
      </c>
      <c r="D919" t="s">
        <v>74</v>
      </c>
      <c r="E919" t="s">
        <v>74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74</v>
      </c>
    </row>
    <row r="920" spans="1:20" x14ac:dyDescent="0.3">
      <c r="A920" t="s">
        <v>70</v>
      </c>
      <c r="B920">
        <v>57</v>
      </c>
      <c r="C920" t="s">
        <v>71</v>
      </c>
      <c r="D920" t="s">
        <v>74</v>
      </c>
      <c r="E920" t="s">
        <v>75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74</v>
      </c>
    </row>
    <row r="921" spans="1:20" x14ac:dyDescent="0.3">
      <c r="A921" t="s">
        <v>64</v>
      </c>
      <c r="B921">
        <v>98</v>
      </c>
      <c r="C921" t="s">
        <v>72</v>
      </c>
      <c r="D921" t="s">
        <v>74</v>
      </c>
      <c r="E921" t="s">
        <v>74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74</v>
      </c>
    </row>
    <row r="922" spans="1:20" x14ac:dyDescent="0.3">
      <c r="A922" t="s">
        <v>67</v>
      </c>
      <c r="B922">
        <v>157</v>
      </c>
      <c r="C922" t="s">
        <v>71</v>
      </c>
      <c r="D922" t="s">
        <v>74</v>
      </c>
      <c r="E922" t="s">
        <v>74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74</v>
      </c>
    </row>
    <row r="923" spans="1:20" x14ac:dyDescent="0.3">
      <c r="A923" t="s">
        <v>31</v>
      </c>
      <c r="B923">
        <v>116</v>
      </c>
      <c r="C923" t="s">
        <v>71</v>
      </c>
      <c r="D923" t="s">
        <v>74</v>
      </c>
      <c r="E923" t="s">
        <v>75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74</v>
      </c>
    </row>
    <row r="924" spans="1:20" x14ac:dyDescent="0.3">
      <c r="A924" t="s">
        <v>65</v>
      </c>
      <c r="B924">
        <v>30</v>
      </c>
      <c r="C924" t="s">
        <v>72</v>
      </c>
      <c r="D924" t="s">
        <v>74</v>
      </c>
      <c r="E924" t="s">
        <v>74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74</v>
      </c>
    </row>
    <row r="925" spans="1:20" x14ac:dyDescent="0.3">
      <c r="A925" t="s">
        <v>28</v>
      </c>
      <c r="B925">
        <v>111</v>
      </c>
      <c r="C925" t="s">
        <v>72</v>
      </c>
      <c r="D925" t="s">
        <v>74</v>
      </c>
      <c r="E925" t="s">
        <v>74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75</v>
      </c>
    </row>
    <row r="926" spans="1:20" x14ac:dyDescent="0.3">
      <c r="A926" t="s">
        <v>20</v>
      </c>
      <c r="B926">
        <v>52</v>
      </c>
      <c r="C926" t="s">
        <v>71</v>
      </c>
      <c r="D926" t="s">
        <v>74</v>
      </c>
      <c r="E926" t="s">
        <v>74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74</v>
      </c>
    </row>
    <row r="927" spans="1:20" x14ac:dyDescent="0.3">
      <c r="A927" t="s">
        <v>21</v>
      </c>
      <c r="B927">
        <v>72</v>
      </c>
      <c r="C927" t="s">
        <v>71</v>
      </c>
      <c r="D927" t="s">
        <v>74</v>
      </c>
      <c r="E927" t="s">
        <v>74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74</v>
      </c>
    </row>
    <row r="928" spans="1:20" x14ac:dyDescent="0.3">
      <c r="A928" t="s">
        <v>28</v>
      </c>
      <c r="B928">
        <v>135</v>
      </c>
      <c r="C928" t="s">
        <v>72</v>
      </c>
      <c r="D928" t="s">
        <v>74</v>
      </c>
      <c r="E928" t="s">
        <v>75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75</v>
      </c>
    </row>
    <row r="929" spans="1:20" x14ac:dyDescent="0.3">
      <c r="A929" t="s">
        <v>66</v>
      </c>
      <c r="B929">
        <v>86</v>
      </c>
      <c r="C929" t="s">
        <v>72</v>
      </c>
      <c r="D929" t="s">
        <v>74</v>
      </c>
      <c r="E929" t="s">
        <v>74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74</v>
      </c>
    </row>
    <row r="930" spans="1:20" x14ac:dyDescent="0.3">
      <c r="A930" t="s">
        <v>45</v>
      </c>
      <c r="B930">
        <v>98</v>
      </c>
      <c r="C930" t="s">
        <v>71</v>
      </c>
      <c r="D930" t="s">
        <v>74</v>
      </c>
      <c r="E930" t="s">
        <v>75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74</v>
      </c>
    </row>
    <row r="931" spans="1:20" x14ac:dyDescent="0.3">
      <c r="A931" t="s">
        <v>30</v>
      </c>
      <c r="B931">
        <v>151</v>
      </c>
      <c r="C931" t="s">
        <v>72</v>
      </c>
      <c r="D931" t="s">
        <v>74</v>
      </c>
      <c r="E931" t="s">
        <v>74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74</v>
      </c>
    </row>
    <row r="932" spans="1:20" x14ac:dyDescent="0.3">
      <c r="A932" t="s">
        <v>29</v>
      </c>
      <c r="B932">
        <v>118</v>
      </c>
      <c r="C932" t="s">
        <v>71</v>
      </c>
      <c r="D932" t="s">
        <v>74</v>
      </c>
      <c r="E932" t="s">
        <v>74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74</v>
      </c>
    </row>
    <row r="933" spans="1:20" x14ac:dyDescent="0.3">
      <c r="A933" t="s">
        <v>38</v>
      </c>
      <c r="B933">
        <v>117</v>
      </c>
      <c r="C933" t="s">
        <v>71</v>
      </c>
      <c r="D933" t="s">
        <v>74</v>
      </c>
      <c r="E933" t="s">
        <v>74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74</v>
      </c>
    </row>
    <row r="934" spans="1:20" x14ac:dyDescent="0.3">
      <c r="A934" t="s">
        <v>37</v>
      </c>
      <c r="B934">
        <v>55</v>
      </c>
      <c r="C934" t="s">
        <v>72</v>
      </c>
      <c r="D934" t="s">
        <v>74</v>
      </c>
      <c r="E934" t="s">
        <v>74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74</v>
      </c>
    </row>
    <row r="935" spans="1:20" x14ac:dyDescent="0.3">
      <c r="A935" t="s">
        <v>29</v>
      </c>
      <c r="B935">
        <v>82</v>
      </c>
      <c r="C935" t="s">
        <v>73</v>
      </c>
      <c r="D935" t="s">
        <v>74</v>
      </c>
      <c r="E935" t="s">
        <v>74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74</v>
      </c>
    </row>
    <row r="936" spans="1:20" x14ac:dyDescent="0.3">
      <c r="A936" t="s">
        <v>22</v>
      </c>
      <c r="B936">
        <v>152</v>
      </c>
      <c r="C936" t="s">
        <v>71</v>
      </c>
      <c r="D936" t="s">
        <v>74</v>
      </c>
      <c r="E936" t="s">
        <v>74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74</v>
      </c>
    </row>
    <row r="937" spans="1:20" x14ac:dyDescent="0.3">
      <c r="A937" t="s">
        <v>69</v>
      </c>
      <c r="B937">
        <v>108</v>
      </c>
      <c r="C937" t="s">
        <v>73</v>
      </c>
      <c r="D937" t="s">
        <v>74</v>
      </c>
      <c r="E937" t="s">
        <v>75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74</v>
      </c>
    </row>
    <row r="938" spans="1:20" x14ac:dyDescent="0.3">
      <c r="A938" t="s">
        <v>61</v>
      </c>
      <c r="B938">
        <v>98</v>
      </c>
      <c r="C938" t="s">
        <v>73</v>
      </c>
      <c r="D938" t="s">
        <v>74</v>
      </c>
      <c r="E938" t="s">
        <v>74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75</v>
      </c>
    </row>
    <row r="939" spans="1:20" x14ac:dyDescent="0.3">
      <c r="A939" t="s">
        <v>25</v>
      </c>
      <c r="B939">
        <v>130</v>
      </c>
      <c r="C939" t="s">
        <v>71</v>
      </c>
      <c r="D939" t="s">
        <v>74</v>
      </c>
      <c r="E939" t="s">
        <v>74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74</v>
      </c>
    </row>
    <row r="940" spans="1:20" x14ac:dyDescent="0.3">
      <c r="A940" t="s">
        <v>39</v>
      </c>
      <c r="B940">
        <v>136</v>
      </c>
      <c r="C940" t="s">
        <v>73</v>
      </c>
      <c r="D940" t="s">
        <v>75</v>
      </c>
      <c r="E940" t="s">
        <v>74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74</v>
      </c>
    </row>
    <row r="941" spans="1:20" x14ac:dyDescent="0.3">
      <c r="A941" t="s">
        <v>36</v>
      </c>
      <c r="B941">
        <v>47</v>
      </c>
      <c r="C941" t="s">
        <v>71</v>
      </c>
      <c r="D941" t="s">
        <v>74</v>
      </c>
      <c r="E941" t="s">
        <v>74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74</v>
      </c>
    </row>
    <row r="942" spans="1:20" x14ac:dyDescent="0.3">
      <c r="A942" t="s">
        <v>44</v>
      </c>
      <c r="B942">
        <v>189</v>
      </c>
      <c r="C942" t="s">
        <v>71</v>
      </c>
      <c r="D942" t="s">
        <v>74</v>
      </c>
      <c r="E942" t="s">
        <v>74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74</v>
      </c>
    </row>
    <row r="943" spans="1:20" x14ac:dyDescent="0.3">
      <c r="A943" t="s">
        <v>70</v>
      </c>
      <c r="B943">
        <v>107</v>
      </c>
      <c r="C943" t="s">
        <v>71</v>
      </c>
      <c r="D943" t="s">
        <v>74</v>
      </c>
      <c r="E943" t="s">
        <v>74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74</v>
      </c>
    </row>
    <row r="944" spans="1:20" x14ac:dyDescent="0.3">
      <c r="A944" t="s">
        <v>40</v>
      </c>
      <c r="B944">
        <v>91</v>
      </c>
      <c r="C944" t="s">
        <v>71</v>
      </c>
      <c r="D944" t="s">
        <v>74</v>
      </c>
      <c r="E944" t="s">
        <v>74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75</v>
      </c>
    </row>
    <row r="945" spans="1:20" x14ac:dyDescent="0.3">
      <c r="A945" t="s">
        <v>24</v>
      </c>
      <c r="B945">
        <v>159</v>
      </c>
      <c r="C945" t="s">
        <v>71</v>
      </c>
      <c r="D945" t="s">
        <v>74</v>
      </c>
      <c r="E945" t="s">
        <v>74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75</v>
      </c>
    </row>
    <row r="946" spans="1:20" x14ac:dyDescent="0.3">
      <c r="A946" t="s">
        <v>50</v>
      </c>
      <c r="B946">
        <v>11</v>
      </c>
      <c r="C946" t="s">
        <v>73</v>
      </c>
      <c r="D946" t="s">
        <v>74</v>
      </c>
      <c r="E946" t="s">
        <v>75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74</v>
      </c>
    </row>
    <row r="947" spans="1:20" x14ac:dyDescent="0.3">
      <c r="A947" t="s">
        <v>38</v>
      </c>
      <c r="B947">
        <v>167</v>
      </c>
      <c r="C947" t="s">
        <v>71</v>
      </c>
      <c r="D947" t="s">
        <v>74</v>
      </c>
      <c r="E947" t="s">
        <v>74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74</v>
      </c>
    </row>
    <row r="948" spans="1:20" x14ac:dyDescent="0.3">
      <c r="A948" t="s">
        <v>23</v>
      </c>
      <c r="B948">
        <v>99</v>
      </c>
      <c r="C948" t="s">
        <v>73</v>
      </c>
      <c r="D948" t="s">
        <v>74</v>
      </c>
      <c r="E948" t="s">
        <v>75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74</v>
      </c>
    </row>
    <row r="949" spans="1:20" x14ac:dyDescent="0.3">
      <c r="A949" t="s">
        <v>20</v>
      </c>
      <c r="B949">
        <v>159</v>
      </c>
      <c r="C949" t="s">
        <v>71</v>
      </c>
      <c r="D949" t="s">
        <v>74</v>
      </c>
      <c r="E949" t="s">
        <v>75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74</v>
      </c>
    </row>
    <row r="950" spans="1:20" x14ac:dyDescent="0.3">
      <c r="A950" t="s">
        <v>21</v>
      </c>
      <c r="B950">
        <v>71</v>
      </c>
      <c r="C950" t="s">
        <v>71</v>
      </c>
      <c r="D950" t="s">
        <v>74</v>
      </c>
      <c r="E950" t="s">
        <v>74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74</v>
      </c>
    </row>
    <row r="951" spans="1:20" x14ac:dyDescent="0.3">
      <c r="A951" t="s">
        <v>47</v>
      </c>
      <c r="B951">
        <v>122</v>
      </c>
      <c r="C951" t="s">
        <v>71</v>
      </c>
      <c r="D951" t="s">
        <v>74</v>
      </c>
      <c r="E951" t="s">
        <v>74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74</v>
      </c>
    </row>
    <row r="952" spans="1:20" x14ac:dyDescent="0.3">
      <c r="A952" t="s">
        <v>65</v>
      </c>
      <c r="B952">
        <v>83</v>
      </c>
      <c r="C952" t="s">
        <v>71</v>
      </c>
      <c r="D952" t="s">
        <v>74</v>
      </c>
      <c r="E952" t="s">
        <v>75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74</v>
      </c>
    </row>
    <row r="953" spans="1:20" x14ac:dyDescent="0.3">
      <c r="A953" t="s">
        <v>68</v>
      </c>
      <c r="B953">
        <v>64</v>
      </c>
      <c r="C953" t="s">
        <v>73</v>
      </c>
      <c r="D953" t="s">
        <v>74</v>
      </c>
      <c r="E953" t="s">
        <v>74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75</v>
      </c>
    </row>
    <row r="954" spans="1:20" x14ac:dyDescent="0.3">
      <c r="A954" t="s">
        <v>29</v>
      </c>
      <c r="B954">
        <v>144</v>
      </c>
      <c r="C954" t="s">
        <v>71</v>
      </c>
      <c r="D954" t="s">
        <v>74</v>
      </c>
      <c r="E954" t="s">
        <v>75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74</v>
      </c>
    </row>
    <row r="955" spans="1:20" x14ac:dyDescent="0.3">
      <c r="A955" t="s">
        <v>30</v>
      </c>
      <c r="B955">
        <v>106</v>
      </c>
      <c r="C955" t="s">
        <v>71</v>
      </c>
      <c r="D955" t="s">
        <v>75</v>
      </c>
      <c r="E955" t="s">
        <v>75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75</v>
      </c>
    </row>
    <row r="956" spans="1:20" x14ac:dyDescent="0.3">
      <c r="A956" t="s">
        <v>34</v>
      </c>
      <c r="B956">
        <v>19</v>
      </c>
      <c r="C956" t="s">
        <v>72</v>
      </c>
      <c r="D956" t="s">
        <v>74</v>
      </c>
      <c r="E956" t="s">
        <v>75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74</v>
      </c>
    </row>
    <row r="957" spans="1:20" x14ac:dyDescent="0.3">
      <c r="A957" t="s">
        <v>36</v>
      </c>
      <c r="B957">
        <v>46</v>
      </c>
      <c r="C957" t="s">
        <v>73</v>
      </c>
      <c r="D957" t="s">
        <v>74</v>
      </c>
      <c r="E957" t="s">
        <v>74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74</v>
      </c>
    </row>
    <row r="958" spans="1:20" x14ac:dyDescent="0.3">
      <c r="A958" t="s">
        <v>25</v>
      </c>
      <c r="B958">
        <v>127</v>
      </c>
      <c r="C958" t="s">
        <v>72</v>
      </c>
      <c r="D958" t="s">
        <v>74</v>
      </c>
      <c r="E958" t="s">
        <v>74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74</v>
      </c>
    </row>
    <row r="959" spans="1:20" x14ac:dyDescent="0.3">
      <c r="A959" t="s">
        <v>26</v>
      </c>
      <c r="B959">
        <v>9</v>
      </c>
      <c r="C959" t="s">
        <v>71</v>
      </c>
      <c r="D959" t="s">
        <v>74</v>
      </c>
      <c r="E959" t="s">
        <v>75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74</v>
      </c>
    </row>
    <row r="960" spans="1:20" x14ac:dyDescent="0.3">
      <c r="A960" t="s">
        <v>33</v>
      </c>
      <c r="B960">
        <v>157</v>
      </c>
      <c r="C960" t="s">
        <v>71</v>
      </c>
      <c r="D960" t="s">
        <v>74</v>
      </c>
      <c r="E960" t="s">
        <v>74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74</v>
      </c>
    </row>
    <row r="961" spans="1:20" x14ac:dyDescent="0.3">
      <c r="A961" t="s">
        <v>40</v>
      </c>
      <c r="B961">
        <v>105</v>
      </c>
      <c r="C961" t="s">
        <v>71</v>
      </c>
      <c r="D961" t="s">
        <v>74</v>
      </c>
      <c r="E961" t="s">
        <v>75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74</v>
      </c>
    </row>
    <row r="962" spans="1:20" x14ac:dyDescent="0.3">
      <c r="A962" t="s">
        <v>46</v>
      </c>
      <c r="B962">
        <v>155</v>
      </c>
      <c r="C962" t="s">
        <v>73</v>
      </c>
      <c r="D962" t="s">
        <v>74</v>
      </c>
      <c r="E962" t="s">
        <v>74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74</v>
      </c>
    </row>
    <row r="963" spans="1:20" x14ac:dyDescent="0.3">
      <c r="A963" t="s">
        <v>41</v>
      </c>
      <c r="B963">
        <v>161</v>
      </c>
      <c r="C963" t="s">
        <v>71</v>
      </c>
      <c r="D963" t="s">
        <v>74</v>
      </c>
      <c r="E963" t="s">
        <v>74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74</v>
      </c>
    </row>
    <row r="964" spans="1:20" x14ac:dyDescent="0.3">
      <c r="A964" t="s">
        <v>32</v>
      </c>
      <c r="B964">
        <v>95</v>
      </c>
      <c r="C964" t="s">
        <v>73</v>
      </c>
      <c r="D964" t="s">
        <v>74</v>
      </c>
      <c r="E964" t="s">
        <v>75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74</v>
      </c>
    </row>
    <row r="965" spans="1:20" x14ac:dyDescent="0.3">
      <c r="A965" t="s">
        <v>38</v>
      </c>
      <c r="B965">
        <v>122</v>
      </c>
      <c r="C965" t="s">
        <v>71</v>
      </c>
      <c r="D965" t="s">
        <v>74</v>
      </c>
      <c r="E965" t="s">
        <v>74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74</v>
      </c>
    </row>
    <row r="966" spans="1:20" x14ac:dyDescent="0.3">
      <c r="A966" t="s">
        <v>67</v>
      </c>
      <c r="B966">
        <v>119</v>
      </c>
      <c r="C966" t="s">
        <v>73</v>
      </c>
      <c r="D966" t="s">
        <v>74</v>
      </c>
      <c r="E966" t="s">
        <v>75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74</v>
      </c>
    </row>
    <row r="967" spans="1:20" x14ac:dyDescent="0.3">
      <c r="A967" t="s">
        <v>54</v>
      </c>
      <c r="B967">
        <v>99</v>
      </c>
      <c r="C967" t="s">
        <v>73</v>
      </c>
      <c r="D967" t="s">
        <v>74</v>
      </c>
      <c r="E967" t="s">
        <v>74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74</v>
      </c>
    </row>
    <row r="968" spans="1:20" x14ac:dyDescent="0.3">
      <c r="A968" t="s">
        <v>33</v>
      </c>
      <c r="B968">
        <v>76</v>
      </c>
      <c r="C968" t="s">
        <v>73</v>
      </c>
      <c r="D968" t="s">
        <v>74</v>
      </c>
      <c r="E968" t="s">
        <v>75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74</v>
      </c>
    </row>
    <row r="969" spans="1:20" x14ac:dyDescent="0.3">
      <c r="A969" t="s">
        <v>20</v>
      </c>
      <c r="B969">
        <v>167</v>
      </c>
      <c r="C969" t="s">
        <v>71</v>
      </c>
      <c r="D969" t="s">
        <v>74</v>
      </c>
      <c r="E969" t="s">
        <v>74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75</v>
      </c>
    </row>
    <row r="970" spans="1:20" x14ac:dyDescent="0.3">
      <c r="A970" t="s">
        <v>28</v>
      </c>
      <c r="B970">
        <v>129</v>
      </c>
      <c r="C970" t="s">
        <v>71</v>
      </c>
      <c r="D970" t="s">
        <v>74</v>
      </c>
      <c r="E970" t="s">
        <v>74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74</v>
      </c>
    </row>
    <row r="971" spans="1:20" x14ac:dyDescent="0.3">
      <c r="A971" t="s">
        <v>39</v>
      </c>
      <c r="B971">
        <v>116</v>
      </c>
      <c r="C971" t="s">
        <v>73</v>
      </c>
      <c r="D971" t="s">
        <v>74</v>
      </c>
      <c r="E971" t="s">
        <v>74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74</v>
      </c>
    </row>
    <row r="972" spans="1:20" x14ac:dyDescent="0.3">
      <c r="A972" t="s">
        <v>60</v>
      </c>
      <c r="B972">
        <v>60</v>
      </c>
      <c r="C972" t="s">
        <v>71</v>
      </c>
      <c r="D972" t="s">
        <v>75</v>
      </c>
      <c r="E972" t="s">
        <v>74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74</v>
      </c>
    </row>
    <row r="973" spans="1:20" x14ac:dyDescent="0.3">
      <c r="A973" t="s">
        <v>20</v>
      </c>
      <c r="B973">
        <v>128</v>
      </c>
      <c r="C973" t="s">
        <v>71</v>
      </c>
      <c r="D973" t="s">
        <v>74</v>
      </c>
      <c r="E973" t="s">
        <v>74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74</v>
      </c>
    </row>
    <row r="974" spans="1:20" x14ac:dyDescent="0.3">
      <c r="A974" t="s">
        <v>34</v>
      </c>
      <c r="B974">
        <v>47</v>
      </c>
      <c r="C974" t="s">
        <v>73</v>
      </c>
      <c r="D974" t="s">
        <v>74</v>
      </c>
      <c r="E974" t="s">
        <v>75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74</v>
      </c>
    </row>
    <row r="975" spans="1:20" x14ac:dyDescent="0.3">
      <c r="A975" t="s">
        <v>32</v>
      </c>
      <c r="B975">
        <v>40</v>
      </c>
      <c r="C975" t="s">
        <v>72</v>
      </c>
      <c r="D975" t="s">
        <v>75</v>
      </c>
      <c r="E975" t="s">
        <v>74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74</v>
      </c>
    </row>
    <row r="976" spans="1:20" x14ac:dyDescent="0.3">
      <c r="A976" t="s">
        <v>35</v>
      </c>
      <c r="B976">
        <v>173</v>
      </c>
      <c r="C976" t="s">
        <v>72</v>
      </c>
      <c r="D976" t="s">
        <v>74</v>
      </c>
      <c r="E976" t="s">
        <v>74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74</v>
      </c>
    </row>
    <row r="977" spans="1:20" x14ac:dyDescent="0.3">
      <c r="A977" t="s">
        <v>53</v>
      </c>
      <c r="B977">
        <v>66</v>
      </c>
      <c r="C977" t="s">
        <v>73</v>
      </c>
      <c r="D977" t="s">
        <v>74</v>
      </c>
      <c r="E977" t="s">
        <v>75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74</v>
      </c>
    </row>
    <row r="978" spans="1:20" x14ac:dyDescent="0.3">
      <c r="A978" t="s">
        <v>23</v>
      </c>
      <c r="B978">
        <v>50</v>
      </c>
      <c r="C978" t="s">
        <v>71</v>
      </c>
      <c r="D978" t="s">
        <v>75</v>
      </c>
      <c r="E978" t="s">
        <v>75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74</v>
      </c>
    </row>
    <row r="979" spans="1:20" x14ac:dyDescent="0.3">
      <c r="A979" t="s">
        <v>20</v>
      </c>
      <c r="B979">
        <v>130</v>
      </c>
      <c r="C979" t="s">
        <v>72</v>
      </c>
      <c r="D979" t="s">
        <v>74</v>
      </c>
      <c r="E979" t="s">
        <v>74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74</v>
      </c>
    </row>
    <row r="980" spans="1:20" x14ac:dyDescent="0.3">
      <c r="A980" t="s">
        <v>45</v>
      </c>
      <c r="B980">
        <v>89</v>
      </c>
      <c r="C980" t="s">
        <v>72</v>
      </c>
      <c r="D980" t="s">
        <v>75</v>
      </c>
      <c r="E980" t="s">
        <v>74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74</v>
      </c>
    </row>
    <row r="981" spans="1:20" x14ac:dyDescent="0.3">
      <c r="A981" t="s">
        <v>51</v>
      </c>
      <c r="B981">
        <v>108</v>
      </c>
      <c r="C981" t="s">
        <v>71</v>
      </c>
      <c r="D981" t="s">
        <v>74</v>
      </c>
      <c r="E981" t="s">
        <v>74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74</v>
      </c>
    </row>
    <row r="982" spans="1:20" x14ac:dyDescent="0.3">
      <c r="A982" t="s">
        <v>34</v>
      </c>
      <c r="B982">
        <v>32</v>
      </c>
      <c r="C982" t="s">
        <v>73</v>
      </c>
      <c r="D982" t="s">
        <v>74</v>
      </c>
      <c r="E982" t="s">
        <v>74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74</v>
      </c>
    </row>
    <row r="983" spans="1:20" x14ac:dyDescent="0.3">
      <c r="A983" t="s">
        <v>36</v>
      </c>
      <c r="B983">
        <v>166</v>
      </c>
      <c r="C983" t="s">
        <v>71</v>
      </c>
      <c r="D983" t="s">
        <v>74</v>
      </c>
      <c r="E983" t="s">
        <v>74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74</v>
      </c>
    </row>
    <row r="984" spans="1:20" x14ac:dyDescent="0.3">
      <c r="A984" t="s">
        <v>60</v>
      </c>
      <c r="B984">
        <v>72</v>
      </c>
      <c r="C984" t="s">
        <v>73</v>
      </c>
      <c r="D984" t="s">
        <v>74</v>
      </c>
      <c r="E984" t="s">
        <v>75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74</v>
      </c>
    </row>
    <row r="985" spans="1:20" x14ac:dyDescent="0.3">
      <c r="A985" t="s">
        <v>22</v>
      </c>
      <c r="B985">
        <v>134</v>
      </c>
      <c r="C985" t="s">
        <v>71</v>
      </c>
      <c r="D985" t="s">
        <v>74</v>
      </c>
      <c r="E985" t="s">
        <v>75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74</v>
      </c>
    </row>
    <row r="986" spans="1:20" x14ac:dyDescent="0.3">
      <c r="A986" t="s">
        <v>46</v>
      </c>
      <c r="B986">
        <v>13</v>
      </c>
      <c r="C986" t="s">
        <v>71</v>
      </c>
      <c r="D986" t="s">
        <v>74</v>
      </c>
      <c r="E986" t="s">
        <v>74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74</v>
      </c>
    </row>
    <row r="987" spans="1:20" x14ac:dyDescent="0.3">
      <c r="A987" t="s">
        <v>27</v>
      </c>
      <c r="B987">
        <v>90</v>
      </c>
      <c r="C987" t="s">
        <v>71</v>
      </c>
      <c r="D987" t="s">
        <v>74</v>
      </c>
      <c r="E987" t="s">
        <v>74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74</v>
      </c>
    </row>
    <row r="988" spans="1:20" x14ac:dyDescent="0.3">
      <c r="A988" t="s">
        <v>31</v>
      </c>
      <c r="B988">
        <v>111</v>
      </c>
      <c r="C988" t="s">
        <v>71</v>
      </c>
      <c r="D988" t="s">
        <v>74</v>
      </c>
      <c r="E988" t="s">
        <v>75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74</v>
      </c>
    </row>
    <row r="989" spans="1:20" x14ac:dyDescent="0.3">
      <c r="A989" t="s">
        <v>43</v>
      </c>
      <c r="B989">
        <v>72</v>
      </c>
      <c r="C989" t="s">
        <v>71</v>
      </c>
      <c r="D989" t="s">
        <v>74</v>
      </c>
      <c r="E989" t="s">
        <v>74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74</v>
      </c>
    </row>
    <row r="990" spans="1:20" x14ac:dyDescent="0.3">
      <c r="A990" t="s">
        <v>40</v>
      </c>
      <c r="B990">
        <v>67</v>
      </c>
      <c r="C990" t="s">
        <v>72</v>
      </c>
      <c r="D990" t="s">
        <v>74</v>
      </c>
      <c r="E990" t="s">
        <v>75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74</v>
      </c>
    </row>
    <row r="991" spans="1:20" x14ac:dyDescent="0.3">
      <c r="A991" t="s">
        <v>49</v>
      </c>
      <c r="B991">
        <v>172</v>
      </c>
      <c r="C991" t="s">
        <v>73</v>
      </c>
      <c r="D991" t="s">
        <v>74</v>
      </c>
      <c r="E991" t="s">
        <v>74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75</v>
      </c>
    </row>
    <row r="992" spans="1:20" x14ac:dyDescent="0.3">
      <c r="A992" t="s">
        <v>51</v>
      </c>
      <c r="B992">
        <v>154</v>
      </c>
      <c r="C992" t="s">
        <v>72</v>
      </c>
      <c r="D992" t="s">
        <v>74</v>
      </c>
      <c r="E992" t="s">
        <v>75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74</v>
      </c>
    </row>
    <row r="993" spans="1:20" x14ac:dyDescent="0.3">
      <c r="A993" t="s">
        <v>59</v>
      </c>
      <c r="B993">
        <v>69</v>
      </c>
      <c r="C993" t="s">
        <v>72</v>
      </c>
      <c r="D993" t="s">
        <v>74</v>
      </c>
      <c r="E993" t="s">
        <v>74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74</v>
      </c>
    </row>
    <row r="994" spans="1:20" x14ac:dyDescent="0.3">
      <c r="A994" t="s">
        <v>63</v>
      </c>
      <c r="B994">
        <v>123</v>
      </c>
      <c r="C994" t="s">
        <v>71</v>
      </c>
      <c r="D994" t="s">
        <v>74</v>
      </c>
      <c r="E994" t="s">
        <v>74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74</v>
      </c>
    </row>
    <row r="995" spans="1:20" x14ac:dyDescent="0.3">
      <c r="A995" t="s">
        <v>69</v>
      </c>
      <c r="B995">
        <v>130</v>
      </c>
      <c r="C995" t="s">
        <v>71</v>
      </c>
      <c r="D995" t="s">
        <v>74</v>
      </c>
      <c r="E995" t="s">
        <v>75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74</v>
      </c>
    </row>
    <row r="996" spans="1:20" x14ac:dyDescent="0.3">
      <c r="A996" t="s">
        <v>39</v>
      </c>
      <c r="B996">
        <v>142</v>
      </c>
      <c r="C996" t="s">
        <v>71</v>
      </c>
      <c r="D996" t="s">
        <v>74</v>
      </c>
      <c r="E996" t="s">
        <v>75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74</v>
      </c>
    </row>
    <row r="997" spans="1:20" x14ac:dyDescent="0.3">
      <c r="A997" t="s">
        <v>41</v>
      </c>
      <c r="B997">
        <v>29</v>
      </c>
      <c r="C997" t="s">
        <v>71</v>
      </c>
      <c r="D997" t="s">
        <v>74</v>
      </c>
      <c r="E997" t="s">
        <v>74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74</v>
      </c>
    </row>
    <row r="998" spans="1:20" x14ac:dyDescent="0.3">
      <c r="A998" t="s">
        <v>67</v>
      </c>
      <c r="B998">
        <v>87</v>
      </c>
      <c r="C998" t="s">
        <v>73</v>
      </c>
      <c r="D998" t="s">
        <v>74</v>
      </c>
      <c r="E998" t="s">
        <v>75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74</v>
      </c>
    </row>
    <row r="999" spans="1:20" x14ac:dyDescent="0.3">
      <c r="A999" t="s">
        <v>24</v>
      </c>
      <c r="B999">
        <v>149</v>
      </c>
      <c r="C999" t="s">
        <v>71</v>
      </c>
      <c r="D999" t="s">
        <v>74</v>
      </c>
      <c r="E999" t="s">
        <v>74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74</v>
      </c>
    </row>
    <row r="1000" spans="1:20" x14ac:dyDescent="0.3">
      <c r="A1000" t="s">
        <v>69</v>
      </c>
      <c r="B1000">
        <v>146</v>
      </c>
      <c r="C1000" t="s">
        <v>73</v>
      </c>
      <c r="D1000" t="s">
        <v>75</v>
      </c>
      <c r="E1000" t="s">
        <v>74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74</v>
      </c>
    </row>
    <row r="1001" spans="1:20" x14ac:dyDescent="0.3">
      <c r="A1001" t="s">
        <v>49</v>
      </c>
      <c r="B1001">
        <v>88</v>
      </c>
      <c r="C1001" t="s">
        <v>71</v>
      </c>
      <c r="D1001" t="s">
        <v>75</v>
      </c>
      <c r="E1001" t="s">
        <v>74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75</v>
      </c>
    </row>
    <row r="1002" spans="1:20" x14ac:dyDescent="0.3">
      <c r="A1002" t="s">
        <v>52</v>
      </c>
      <c r="B1002">
        <v>119</v>
      </c>
      <c r="C1002" t="s">
        <v>71</v>
      </c>
      <c r="D1002" t="s">
        <v>75</v>
      </c>
      <c r="E1002" t="s">
        <v>75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75</v>
      </c>
    </row>
    <row r="1003" spans="1:20" x14ac:dyDescent="0.3">
      <c r="A1003" t="s">
        <v>58</v>
      </c>
      <c r="B1003">
        <v>135</v>
      </c>
      <c r="C1003" t="s">
        <v>71</v>
      </c>
      <c r="D1003" t="s">
        <v>74</v>
      </c>
      <c r="E1003" t="s">
        <v>74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74</v>
      </c>
    </row>
    <row r="1004" spans="1:20" x14ac:dyDescent="0.3">
      <c r="A1004" t="s">
        <v>51</v>
      </c>
      <c r="B1004">
        <v>100</v>
      </c>
      <c r="C1004" t="s">
        <v>72</v>
      </c>
      <c r="D1004" t="s">
        <v>74</v>
      </c>
      <c r="E1004" t="s">
        <v>74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74</v>
      </c>
    </row>
    <row r="1005" spans="1:20" x14ac:dyDescent="0.3">
      <c r="A1005" t="s">
        <v>37</v>
      </c>
      <c r="B1005">
        <v>98</v>
      </c>
      <c r="C1005" t="s">
        <v>71</v>
      </c>
      <c r="D1005" t="s">
        <v>74</v>
      </c>
      <c r="E1005" t="s">
        <v>74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74</v>
      </c>
    </row>
    <row r="1006" spans="1:20" x14ac:dyDescent="0.3">
      <c r="A1006" t="s">
        <v>63</v>
      </c>
      <c r="B1006">
        <v>180</v>
      </c>
      <c r="C1006" t="s">
        <v>71</v>
      </c>
      <c r="D1006" t="s">
        <v>74</v>
      </c>
      <c r="E1006" t="s">
        <v>75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74</v>
      </c>
    </row>
    <row r="1007" spans="1:20" x14ac:dyDescent="0.3">
      <c r="A1007" t="s">
        <v>23</v>
      </c>
      <c r="B1007">
        <v>100</v>
      </c>
      <c r="C1007" t="s">
        <v>71</v>
      </c>
      <c r="D1007" t="s">
        <v>74</v>
      </c>
      <c r="E1007" t="s">
        <v>75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74</v>
      </c>
    </row>
    <row r="1008" spans="1:20" x14ac:dyDescent="0.3">
      <c r="A1008" t="s">
        <v>61</v>
      </c>
      <c r="B1008">
        <v>119</v>
      </c>
      <c r="C1008" t="s">
        <v>71</v>
      </c>
      <c r="D1008" t="s">
        <v>74</v>
      </c>
      <c r="E1008" t="s">
        <v>75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74</v>
      </c>
    </row>
    <row r="1009" spans="1:20" x14ac:dyDescent="0.3">
      <c r="A1009" t="s">
        <v>37</v>
      </c>
      <c r="B1009">
        <v>86</v>
      </c>
      <c r="C1009" t="s">
        <v>71</v>
      </c>
      <c r="D1009" t="s">
        <v>74</v>
      </c>
      <c r="E1009" t="s">
        <v>74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74</v>
      </c>
    </row>
    <row r="1010" spans="1:20" x14ac:dyDescent="0.3">
      <c r="A1010" t="s">
        <v>26</v>
      </c>
      <c r="B1010">
        <v>155</v>
      </c>
      <c r="C1010" t="s">
        <v>73</v>
      </c>
      <c r="D1010" t="s">
        <v>74</v>
      </c>
      <c r="E1010" t="s">
        <v>75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74</v>
      </c>
    </row>
    <row r="1011" spans="1:20" x14ac:dyDescent="0.3">
      <c r="A1011" t="s">
        <v>25</v>
      </c>
      <c r="B1011">
        <v>78</v>
      </c>
      <c r="C1011" t="s">
        <v>71</v>
      </c>
      <c r="D1011" t="s">
        <v>75</v>
      </c>
      <c r="E1011" t="s">
        <v>74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75</v>
      </c>
    </row>
    <row r="1012" spans="1:20" x14ac:dyDescent="0.3">
      <c r="A1012" t="s">
        <v>28</v>
      </c>
      <c r="B1012">
        <v>153</v>
      </c>
      <c r="C1012" t="s">
        <v>71</v>
      </c>
      <c r="D1012" t="s">
        <v>74</v>
      </c>
      <c r="E1012" t="s">
        <v>74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74</v>
      </c>
    </row>
    <row r="1013" spans="1:20" x14ac:dyDescent="0.3">
      <c r="A1013" t="s">
        <v>22</v>
      </c>
      <c r="B1013">
        <v>92</v>
      </c>
      <c r="C1013" t="s">
        <v>72</v>
      </c>
      <c r="D1013" t="s">
        <v>74</v>
      </c>
      <c r="E1013" t="s">
        <v>75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74</v>
      </c>
    </row>
    <row r="1014" spans="1:20" x14ac:dyDescent="0.3">
      <c r="A1014" t="s">
        <v>41</v>
      </c>
      <c r="B1014">
        <v>13</v>
      </c>
      <c r="C1014" t="s">
        <v>72</v>
      </c>
      <c r="D1014" t="s">
        <v>74</v>
      </c>
      <c r="E1014" t="s">
        <v>75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74</v>
      </c>
    </row>
    <row r="1015" spans="1:20" x14ac:dyDescent="0.3">
      <c r="A1015" t="s">
        <v>24</v>
      </c>
      <c r="B1015">
        <v>154</v>
      </c>
      <c r="C1015" t="s">
        <v>71</v>
      </c>
      <c r="D1015" t="s">
        <v>74</v>
      </c>
      <c r="E1015" t="s">
        <v>74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74</v>
      </c>
    </row>
    <row r="1016" spans="1:20" x14ac:dyDescent="0.3">
      <c r="A1016" t="s">
        <v>54</v>
      </c>
      <c r="B1016">
        <v>144</v>
      </c>
      <c r="C1016" t="s">
        <v>72</v>
      </c>
      <c r="D1016" t="s">
        <v>75</v>
      </c>
      <c r="E1016" t="s">
        <v>75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74</v>
      </c>
    </row>
    <row r="1017" spans="1:20" x14ac:dyDescent="0.3">
      <c r="A1017" t="s">
        <v>65</v>
      </c>
      <c r="B1017">
        <v>48</v>
      </c>
      <c r="C1017" t="s">
        <v>73</v>
      </c>
      <c r="D1017" t="s">
        <v>74</v>
      </c>
      <c r="E1017" t="s">
        <v>74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74</v>
      </c>
    </row>
    <row r="1018" spans="1:20" x14ac:dyDescent="0.3">
      <c r="A1018" t="s">
        <v>64</v>
      </c>
      <c r="B1018">
        <v>94</v>
      </c>
      <c r="C1018" t="s">
        <v>73</v>
      </c>
      <c r="D1018" t="s">
        <v>74</v>
      </c>
      <c r="E1018" t="s">
        <v>74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74</v>
      </c>
    </row>
    <row r="1019" spans="1:20" x14ac:dyDescent="0.3">
      <c r="A1019" t="s">
        <v>42</v>
      </c>
      <c r="B1019">
        <v>139</v>
      </c>
      <c r="C1019" t="s">
        <v>71</v>
      </c>
      <c r="D1019" t="s">
        <v>74</v>
      </c>
      <c r="E1019" t="s">
        <v>74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74</v>
      </c>
    </row>
    <row r="1020" spans="1:20" x14ac:dyDescent="0.3">
      <c r="A1020" t="s">
        <v>53</v>
      </c>
      <c r="B1020">
        <v>126</v>
      </c>
      <c r="C1020" t="s">
        <v>71</v>
      </c>
      <c r="D1020" t="s">
        <v>74</v>
      </c>
      <c r="E1020" t="s">
        <v>74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74</v>
      </c>
    </row>
    <row r="1021" spans="1:20" x14ac:dyDescent="0.3">
      <c r="A1021" t="s">
        <v>32</v>
      </c>
      <c r="B1021">
        <v>122</v>
      </c>
      <c r="C1021" t="s">
        <v>71</v>
      </c>
      <c r="D1021" t="s">
        <v>74</v>
      </c>
      <c r="E1021" t="s">
        <v>74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74</v>
      </c>
    </row>
    <row r="1022" spans="1:20" x14ac:dyDescent="0.3">
      <c r="A1022" t="s">
        <v>46</v>
      </c>
      <c r="B1022">
        <v>139</v>
      </c>
      <c r="C1022" t="s">
        <v>72</v>
      </c>
      <c r="D1022" t="s">
        <v>74</v>
      </c>
      <c r="E1022" t="s">
        <v>74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74</v>
      </c>
    </row>
    <row r="1023" spans="1:20" x14ac:dyDescent="0.3">
      <c r="A1023" t="s">
        <v>26</v>
      </c>
      <c r="B1023">
        <v>95</v>
      </c>
      <c r="C1023" t="s">
        <v>71</v>
      </c>
      <c r="D1023" t="s">
        <v>74</v>
      </c>
      <c r="E1023" t="s">
        <v>74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74</v>
      </c>
    </row>
    <row r="1024" spans="1:20" x14ac:dyDescent="0.3">
      <c r="A1024" t="s">
        <v>59</v>
      </c>
      <c r="B1024">
        <v>80</v>
      </c>
      <c r="C1024" t="s">
        <v>73</v>
      </c>
      <c r="D1024" t="s">
        <v>74</v>
      </c>
      <c r="E1024" t="s">
        <v>75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74</v>
      </c>
    </row>
    <row r="1025" spans="1:20" x14ac:dyDescent="0.3">
      <c r="A1025" t="s">
        <v>20</v>
      </c>
      <c r="B1025">
        <v>131</v>
      </c>
      <c r="C1025" t="s">
        <v>71</v>
      </c>
      <c r="D1025" t="s">
        <v>74</v>
      </c>
      <c r="E1025" t="s">
        <v>75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74</v>
      </c>
    </row>
    <row r="1026" spans="1:20" x14ac:dyDescent="0.3">
      <c r="A1026" t="s">
        <v>20</v>
      </c>
      <c r="B1026">
        <v>36</v>
      </c>
      <c r="C1026" t="s">
        <v>72</v>
      </c>
      <c r="D1026" t="s">
        <v>74</v>
      </c>
      <c r="E1026" t="s">
        <v>74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74</v>
      </c>
    </row>
    <row r="1027" spans="1:20" x14ac:dyDescent="0.3">
      <c r="A1027" t="s">
        <v>68</v>
      </c>
      <c r="B1027">
        <v>180</v>
      </c>
      <c r="C1027" t="s">
        <v>72</v>
      </c>
      <c r="D1027" t="s">
        <v>74</v>
      </c>
      <c r="E1027" t="s">
        <v>74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74</v>
      </c>
    </row>
    <row r="1028" spans="1:20" x14ac:dyDescent="0.3">
      <c r="A1028" t="s">
        <v>57</v>
      </c>
      <c r="B1028">
        <v>25</v>
      </c>
      <c r="C1028" t="s">
        <v>71</v>
      </c>
      <c r="D1028" t="s">
        <v>74</v>
      </c>
      <c r="E1028" t="s">
        <v>74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74</v>
      </c>
    </row>
    <row r="1029" spans="1:20" x14ac:dyDescent="0.3">
      <c r="A1029" t="s">
        <v>57</v>
      </c>
      <c r="B1029">
        <v>113</v>
      </c>
      <c r="C1029" t="s">
        <v>71</v>
      </c>
      <c r="D1029" t="s">
        <v>74</v>
      </c>
      <c r="E1029" t="s">
        <v>74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74</v>
      </c>
    </row>
    <row r="1030" spans="1:20" x14ac:dyDescent="0.3">
      <c r="A1030" t="s">
        <v>35</v>
      </c>
      <c r="B1030">
        <v>120</v>
      </c>
      <c r="C1030" t="s">
        <v>71</v>
      </c>
      <c r="D1030" t="s">
        <v>74</v>
      </c>
      <c r="E1030" t="s">
        <v>74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74</v>
      </c>
    </row>
    <row r="1031" spans="1:20" x14ac:dyDescent="0.3">
      <c r="A1031" t="s">
        <v>42</v>
      </c>
      <c r="B1031">
        <v>74</v>
      </c>
      <c r="C1031" t="s">
        <v>71</v>
      </c>
      <c r="D1031" t="s">
        <v>74</v>
      </c>
      <c r="E1031" t="s">
        <v>74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74</v>
      </c>
    </row>
    <row r="1032" spans="1:20" x14ac:dyDescent="0.3">
      <c r="A1032" t="s">
        <v>62</v>
      </c>
      <c r="B1032">
        <v>109</v>
      </c>
      <c r="C1032" t="s">
        <v>72</v>
      </c>
      <c r="D1032" t="s">
        <v>74</v>
      </c>
      <c r="E1032" t="s">
        <v>74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74</v>
      </c>
    </row>
    <row r="1033" spans="1:20" x14ac:dyDescent="0.3">
      <c r="A1033" t="s">
        <v>26</v>
      </c>
      <c r="B1033">
        <v>162</v>
      </c>
      <c r="C1033" t="s">
        <v>72</v>
      </c>
      <c r="D1033" t="s">
        <v>74</v>
      </c>
      <c r="E1033" t="s">
        <v>75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74</v>
      </c>
    </row>
    <row r="1034" spans="1:20" x14ac:dyDescent="0.3">
      <c r="A1034" t="s">
        <v>20</v>
      </c>
      <c r="B1034">
        <v>124</v>
      </c>
      <c r="C1034" t="s">
        <v>72</v>
      </c>
      <c r="D1034" t="s">
        <v>74</v>
      </c>
      <c r="E1034" t="s">
        <v>75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74</v>
      </c>
    </row>
    <row r="1035" spans="1:20" x14ac:dyDescent="0.3">
      <c r="A1035" t="s">
        <v>58</v>
      </c>
      <c r="B1035">
        <v>177</v>
      </c>
      <c r="C1035" t="s">
        <v>73</v>
      </c>
      <c r="D1035" t="s">
        <v>74</v>
      </c>
      <c r="E1035" t="s">
        <v>74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74</v>
      </c>
    </row>
    <row r="1036" spans="1:20" x14ac:dyDescent="0.3">
      <c r="A1036" t="s">
        <v>31</v>
      </c>
      <c r="B1036">
        <v>91</v>
      </c>
      <c r="C1036" t="s">
        <v>72</v>
      </c>
      <c r="D1036" t="s">
        <v>74</v>
      </c>
      <c r="E1036" t="s">
        <v>74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74</v>
      </c>
    </row>
    <row r="1037" spans="1:20" x14ac:dyDescent="0.3">
      <c r="A1037" t="s">
        <v>20</v>
      </c>
      <c r="B1037">
        <v>24</v>
      </c>
      <c r="C1037" t="s">
        <v>72</v>
      </c>
      <c r="D1037" t="s">
        <v>74</v>
      </c>
      <c r="E1037" t="s">
        <v>74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75</v>
      </c>
    </row>
    <row r="1038" spans="1:20" x14ac:dyDescent="0.3">
      <c r="A1038" t="s">
        <v>25</v>
      </c>
      <c r="B1038">
        <v>48</v>
      </c>
      <c r="C1038" t="s">
        <v>72</v>
      </c>
      <c r="D1038" t="s">
        <v>74</v>
      </c>
      <c r="E1038" t="s">
        <v>74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74</v>
      </c>
    </row>
    <row r="1039" spans="1:20" x14ac:dyDescent="0.3">
      <c r="A1039" t="s">
        <v>22</v>
      </c>
      <c r="B1039">
        <v>86</v>
      </c>
      <c r="C1039" t="s">
        <v>73</v>
      </c>
      <c r="D1039" t="s">
        <v>74</v>
      </c>
      <c r="E1039" t="s">
        <v>74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74</v>
      </c>
    </row>
    <row r="1040" spans="1:20" x14ac:dyDescent="0.3">
      <c r="A1040" t="s">
        <v>48</v>
      </c>
      <c r="B1040">
        <v>163</v>
      </c>
      <c r="C1040" t="s">
        <v>72</v>
      </c>
      <c r="D1040" t="s">
        <v>74</v>
      </c>
      <c r="E1040" t="s">
        <v>74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74</v>
      </c>
    </row>
    <row r="1041" spans="1:20" x14ac:dyDescent="0.3">
      <c r="A1041" t="s">
        <v>24</v>
      </c>
      <c r="B1041">
        <v>91</v>
      </c>
      <c r="C1041" t="s">
        <v>72</v>
      </c>
      <c r="D1041" t="s">
        <v>74</v>
      </c>
      <c r="E1041" t="s">
        <v>74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74</v>
      </c>
    </row>
    <row r="1042" spans="1:20" x14ac:dyDescent="0.3">
      <c r="A1042" t="s">
        <v>29</v>
      </c>
      <c r="B1042">
        <v>56</v>
      </c>
      <c r="C1042" t="s">
        <v>72</v>
      </c>
      <c r="D1042" t="s">
        <v>74</v>
      </c>
      <c r="E1042" t="s">
        <v>74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74</v>
      </c>
    </row>
    <row r="1043" spans="1:20" x14ac:dyDescent="0.3">
      <c r="A1043" t="s">
        <v>61</v>
      </c>
      <c r="B1043">
        <v>147</v>
      </c>
      <c r="C1043" t="s">
        <v>71</v>
      </c>
      <c r="D1043" t="s">
        <v>75</v>
      </c>
      <c r="E1043" t="s">
        <v>75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74</v>
      </c>
    </row>
    <row r="1044" spans="1:20" x14ac:dyDescent="0.3">
      <c r="A1044" t="s">
        <v>34</v>
      </c>
      <c r="B1044">
        <v>64</v>
      </c>
      <c r="C1044" t="s">
        <v>71</v>
      </c>
      <c r="D1044" t="s">
        <v>74</v>
      </c>
      <c r="E1044" t="s">
        <v>74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74</v>
      </c>
    </row>
    <row r="1045" spans="1:20" x14ac:dyDescent="0.3">
      <c r="A1045" t="s">
        <v>69</v>
      </c>
      <c r="B1045">
        <v>108</v>
      </c>
      <c r="C1045" t="s">
        <v>72</v>
      </c>
      <c r="D1045" t="s">
        <v>74</v>
      </c>
      <c r="E1045" t="s">
        <v>75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75</v>
      </c>
    </row>
    <row r="1046" spans="1:20" x14ac:dyDescent="0.3">
      <c r="A1046" t="s">
        <v>44</v>
      </c>
      <c r="B1046">
        <v>159</v>
      </c>
      <c r="C1046" t="s">
        <v>72</v>
      </c>
      <c r="D1046" t="s">
        <v>74</v>
      </c>
      <c r="E1046" t="s">
        <v>74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74</v>
      </c>
    </row>
    <row r="1047" spans="1:20" x14ac:dyDescent="0.3">
      <c r="A1047" t="s">
        <v>64</v>
      </c>
      <c r="B1047">
        <v>136</v>
      </c>
      <c r="C1047" t="s">
        <v>72</v>
      </c>
      <c r="D1047" t="s">
        <v>75</v>
      </c>
      <c r="E1047" t="s">
        <v>74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74</v>
      </c>
    </row>
    <row r="1048" spans="1:20" x14ac:dyDescent="0.3">
      <c r="A1048" t="s">
        <v>66</v>
      </c>
      <c r="B1048">
        <v>45</v>
      </c>
      <c r="C1048" t="s">
        <v>73</v>
      </c>
      <c r="D1048" t="s">
        <v>74</v>
      </c>
      <c r="E1048" t="s">
        <v>75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74</v>
      </c>
    </row>
    <row r="1049" spans="1:20" x14ac:dyDescent="0.3">
      <c r="A1049" t="s">
        <v>32</v>
      </c>
      <c r="B1049">
        <v>122</v>
      </c>
      <c r="C1049" t="s">
        <v>71</v>
      </c>
      <c r="D1049" t="s">
        <v>74</v>
      </c>
      <c r="E1049" t="s">
        <v>74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74</v>
      </c>
    </row>
    <row r="1050" spans="1:20" x14ac:dyDescent="0.3">
      <c r="A1050" t="s">
        <v>32</v>
      </c>
      <c r="B1050">
        <v>138</v>
      </c>
      <c r="C1050" t="s">
        <v>71</v>
      </c>
      <c r="D1050" t="s">
        <v>74</v>
      </c>
      <c r="E1050" t="s">
        <v>74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74</v>
      </c>
    </row>
    <row r="1051" spans="1:20" x14ac:dyDescent="0.3">
      <c r="A1051" t="s">
        <v>36</v>
      </c>
      <c r="B1051">
        <v>132</v>
      </c>
      <c r="C1051" t="s">
        <v>71</v>
      </c>
      <c r="D1051" t="s">
        <v>74</v>
      </c>
      <c r="E1051" t="s">
        <v>74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74</v>
      </c>
    </row>
    <row r="1052" spans="1:20" x14ac:dyDescent="0.3">
      <c r="A1052" t="s">
        <v>47</v>
      </c>
      <c r="B1052">
        <v>101</v>
      </c>
      <c r="C1052" t="s">
        <v>71</v>
      </c>
      <c r="D1052" t="s">
        <v>75</v>
      </c>
      <c r="E1052" t="s">
        <v>74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74</v>
      </c>
    </row>
    <row r="1053" spans="1:20" x14ac:dyDescent="0.3">
      <c r="A1053" t="s">
        <v>27</v>
      </c>
      <c r="B1053">
        <v>58</v>
      </c>
      <c r="C1053" t="s">
        <v>72</v>
      </c>
      <c r="D1053" t="s">
        <v>74</v>
      </c>
      <c r="E1053" t="s">
        <v>74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74</v>
      </c>
    </row>
    <row r="1054" spans="1:20" x14ac:dyDescent="0.3">
      <c r="A1054" t="s">
        <v>68</v>
      </c>
      <c r="B1054">
        <v>81</v>
      </c>
      <c r="C1054" t="s">
        <v>71</v>
      </c>
      <c r="D1054" t="s">
        <v>74</v>
      </c>
      <c r="E1054" t="s">
        <v>74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74</v>
      </c>
    </row>
    <row r="1055" spans="1:20" x14ac:dyDescent="0.3">
      <c r="A1055" t="s">
        <v>59</v>
      </c>
      <c r="B1055">
        <v>116</v>
      </c>
      <c r="C1055" t="s">
        <v>72</v>
      </c>
      <c r="D1055" t="s">
        <v>74</v>
      </c>
      <c r="E1055" t="s">
        <v>74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74</v>
      </c>
    </row>
    <row r="1056" spans="1:20" x14ac:dyDescent="0.3">
      <c r="A1056" t="s">
        <v>32</v>
      </c>
      <c r="B1056">
        <v>62</v>
      </c>
      <c r="C1056" t="s">
        <v>72</v>
      </c>
      <c r="D1056" t="s">
        <v>74</v>
      </c>
      <c r="E1056" t="s">
        <v>75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75</v>
      </c>
    </row>
    <row r="1057" spans="1:20" x14ac:dyDescent="0.3">
      <c r="A1057" t="s">
        <v>46</v>
      </c>
      <c r="B1057">
        <v>90</v>
      </c>
      <c r="C1057" t="s">
        <v>71</v>
      </c>
      <c r="D1057" t="s">
        <v>74</v>
      </c>
      <c r="E1057" t="s">
        <v>74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74</v>
      </c>
    </row>
    <row r="1058" spans="1:20" x14ac:dyDescent="0.3">
      <c r="A1058" t="s">
        <v>69</v>
      </c>
      <c r="B1058">
        <v>98</v>
      </c>
      <c r="C1058" t="s">
        <v>71</v>
      </c>
      <c r="D1058" t="s">
        <v>74</v>
      </c>
      <c r="E1058" t="s">
        <v>74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74</v>
      </c>
    </row>
    <row r="1059" spans="1:20" x14ac:dyDescent="0.3">
      <c r="A1059" t="s">
        <v>42</v>
      </c>
      <c r="B1059">
        <v>73</v>
      </c>
      <c r="C1059" t="s">
        <v>71</v>
      </c>
      <c r="D1059" t="s">
        <v>74</v>
      </c>
      <c r="E1059" t="s">
        <v>74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74</v>
      </c>
    </row>
    <row r="1060" spans="1:20" x14ac:dyDescent="0.3">
      <c r="A1060" t="s">
        <v>55</v>
      </c>
      <c r="B1060">
        <v>107</v>
      </c>
      <c r="C1060" t="s">
        <v>72</v>
      </c>
      <c r="D1060" t="s">
        <v>75</v>
      </c>
      <c r="E1060" t="s">
        <v>74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74</v>
      </c>
    </row>
    <row r="1061" spans="1:20" x14ac:dyDescent="0.3">
      <c r="A1061" t="s">
        <v>46</v>
      </c>
      <c r="B1061">
        <v>55</v>
      </c>
      <c r="C1061" t="s">
        <v>73</v>
      </c>
      <c r="D1061" t="s">
        <v>74</v>
      </c>
      <c r="E1061" t="s">
        <v>75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74</v>
      </c>
    </row>
    <row r="1062" spans="1:20" x14ac:dyDescent="0.3">
      <c r="A1062" t="s">
        <v>35</v>
      </c>
      <c r="B1062">
        <v>76</v>
      </c>
      <c r="C1062" t="s">
        <v>71</v>
      </c>
      <c r="D1062" t="s">
        <v>74</v>
      </c>
      <c r="E1062" t="s">
        <v>75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74</v>
      </c>
    </row>
    <row r="1063" spans="1:20" x14ac:dyDescent="0.3">
      <c r="A1063" t="s">
        <v>66</v>
      </c>
      <c r="B1063">
        <v>30</v>
      </c>
      <c r="C1063" t="s">
        <v>72</v>
      </c>
      <c r="D1063" t="s">
        <v>74</v>
      </c>
      <c r="E1063" t="s">
        <v>74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74</v>
      </c>
    </row>
    <row r="1064" spans="1:20" x14ac:dyDescent="0.3">
      <c r="A1064" t="s">
        <v>48</v>
      </c>
      <c r="B1064">
        <v>157</v>
      </c>
      <c r="C1064" t="s">
        <v>71</v>
      </c>
      <c r="D1064" t="s">
        <v>74</v>
      </c>
      <c r="E1064" t="s">
        <v>74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74</v>
      </c>
    </row>
    <row r="1065" spans="1:20" x14ac:dyDescent="0.3">
      <c r="A1065" t="s">
        <v>36</v>
      </c>
      <c r="B1065">
        <v>40</v>
      </c>
      <c r="C1065" t="s">
        <v>73</v>
      </c>
      <c r="D1065" t="s">
        <v>74</v>
      </c>
      <c r="E1065" t="s">
        <v>75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75</v>
      </c>
    </row>
    <row r="1066" spans="1:20" x14ac:dyDescent="0.3">
      <c r="A1066" t="s">
        <v>69</v>
      </c>
      <c r="B1066">
        <v>72</v>
      </c>
      <c r="C1066" t="s">
        <v>73</v>
      </c>
      <c r="D1066" t="s">
        <v>74</v>
      </c>
      <c r="E1066" t="s">
        <v>74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74</v>
      </c>
    </row>
    <row r="1067" spans="1:20" x14ac:dyDescent="0.3">
      <c r="A1067" t="s">
        <v>30</v>
      </c>
      <c r="B1067">
        <v>95</v>
      </c>
      <c r="C1067" t="s">
        <v>71</v>
      </c>
      <c r="D1067" t="s">
        <v>74</v>
      </c>
      <c r="E1067" t="s">
        <v>75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74</v>
      </c>
    </row>
    <row r="1068" spans="1:20" x14ac:dyDescent="0.3">
      <c r="A1068" t="s">
        <v>22</v>
      </c>
      <c r="B1068">
        <v>42</v>
      </c>
      <c r="C1068" t="s">
        <v>71</v>
      </c>
      <c r="D1068" t="s">
        <v>74</v>
      </c>
      <c r="E1068" t="s">
        <v>74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74</v>
      </c>
    </row>
    <row r="1069" spans="1:20" x14ac:dyDescent="0.3">
      <c r="A1069" t="s">
        <v>51</v>
      </c>
      <c r="B1069">
        <v>86</v>
      </c>
      <c r="C1069" t="s">
        <v>71</v>
      </c>
      <c r="D1069" t="s">
        <v>74</v>
      </c>
      <c r="E1069" t="s">
        <v>74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74</v>
      </c>
    </row>
    <row r="1070" spans="1:20" x14ac:dyDescent="0.3">
      <c r="A1070" t="s">
        <v>28</v>
      </c>
      <c r="B1070">
        <v>131</v>
      </c>
      <c r="C1070" t="s">
        <v>71</v>
      </c>
      <c r="D1070" t="s">
        <v>74</v>
      </c>
      <c r="E1070" t="s">
        <v>74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74</v>
      </c>
    </row>
    <row r="1071" spans="1:20" x14ac:dyDescent="0.3">
      <c r="A1071" t="s">
        <v>57</v>
      </c>
      <c r="B1071">
        <v>74</v>
      </c>
      <c r="C1071" t="s">
        <v>71</v>
      </c>
      <c r="D1071" t="s">
        <v>74</v>
      </c>
      <c r="E1071" t="s">
        <v>74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74</v>
      </c>
    </row>
    <row r="1072" spans="1:20" x14ac:dyDescent="0.3">
      <c r="A1072" t="s">
        <v>64</v>
      </c>
      <c r="B1072">
        <v>81</v>
      </c>
      <c r="C1072" t="s">
        <v>73</v>
      </c>
      <c r="D1072" t="s">
        <v>75</v>
      </c>
      <c r="E1072" t="s">
        <v>75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74</v>
      </c>
    </row>
    <row r="1073" spans="1:20" x14ac:dyDescent="0.3">
      <c r="A1073" t="s">
        <v>40</v>
      </c>
      <c r="B1073">
        <v>81</v>
      </c>
      <c r="C1073" t="s">
        <v>73</v>
      </c>
      <c r="D1073" t="s">
        <v>74</v>
      </c>
      <c r="E1073" t="s">
        <v>74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74</v>
      </c>
    </row>
    <row r="1074" spans="1:20" x14ac:dyDescent="0.3">
      <c r="A1074" t="s">
        <v>57</v>
      </c>
      <c r="B1074">
        <v>28</v>
      </c>
      <c r="C1074" t="s">
        <v>71</v>
      </c>
      <c r="D1074" t="s">
        <v>74</v>
      </c>
      <c r="E1074" t="s">
        <v>74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75</v>
      </c>
    </row>
    <row r="1075" spans="1:20" x14ac:dyDescent="0.3">
      <c r="A1075" t="s">
        <v>21</v>
      </c>
      <c r="B1075">
        <v>111</v>
      </c>
      <c r="C1075" t="s">
        <v>72</v>
      </c>
      <c r="D1075" t="s">
        <v>74</v>
      </c>
      <c r="E1075" t="s">
        <v>74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74</v>
      </c>
    </row>
    <row r="1076" spans="1:20" x14ac:dyDescent="0.3">
      <c r="A1076" t="s">
        <v>68</v>
      </c>
      <c r="B1076">
        <v>3</v>
      </c>
      <c r="C1076" t="s">
        <v>72</v>
      </c>
      <c r="D1076" t="s">
        <v>74</v>
      </c>
      <c r="E1076" t="s">
        <v>75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74</v>
      </c>
    </row>
    <row r="1077" spans="1:20" x14ac:dyDescent="0.3">
      <c r="A1077" t="s">
        <v>40</v>
      </c>
      <c r="B1077">
        <v>51</v>
      </c>
      <c r="C1077" t="s">
        <v>71</v>
      </c>
      <c r="D1077" t="s">
        <v>74</v>
      </c>
      <c r="E1077" t="s">
        <v>74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75</v>
      </c>
    </row>
    <row r="1078" spans="1:20" x14ac:dyDescent="0.3">
      <c r="A1078" t="s">
        <v>39</v>
      </c>
      <c r="B1078">
        <v>68</v>
      </c>
      <c r="C1078" t="s">
        <v>71</v>
      </c>
      <c r="D1078" t="s">
        <v>74</v>
      </c>
      <c r="E1078" t="s">
        <v>75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74</v>
      </c>
    </row>
    <row r="1079" spans="1:20" x14ac:dyDescent="0.3">
      <c r="A1079" t="s">
        <v>38</v>
      </c>
      <c r="B1079">
        <v>163</v>
      </c>
      <c r="C1079" t="s">
        <v>73</v>
      </c>
      <c r="D1079" t="s">
        <v>74</v>
      </c>
      <c r="E1079" t="s">
        <v>74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75</v>
      </c>
    </row>
    <row r="1080" spans="1:20" x14ac:dyDescent="0.3">
      <c r="A1080" t="s">
        <v>20</v>
      </c>
      <c r="B1080">
        <v>87</v>
      </c>
      <c r="C1080" t="s">
        <v>72</v>
      </c>
      <c r="D1080" t="s">
        <v>74</v>
      </c>
      <c r="E1080" t="s">
        <v>74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74</v>
      </c>
    </row>
    <row r="1081" spans="1:20" x14ac:dyDescent="0.3">
      <c r="A1081" t="s">
        <v>66</v>
      </c>
      <c r="B1081">
        <v>58</v>
      </c>
      <c r="C1081" t="s">
        <v>72</v>
      </c>
      <c r="D1081" t="s">
        <v>74</v>
      </c>
      <c r="E1081" t="s">
        <v>74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75</v>
      </c>
    </row>
    <row r="1082" spans="1:20" x14ac:dyDescent="0.3">
      <c r="A1082" t="s">
        <v>32</v>
      </c>
      <c r="B1082">
        <v>109</v>
      </c>
      <c r="C1082" t="s">
        <v>73</v>
      </c>
      <c r="D1082" t="s">
        <v>74</v>
      </c>
      <c r="E1082" t="s">
        <v>74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74</v>
      </c>
    </row>
    <row r="1083" spans="1:20" x14ac:dyDescent="0.3">
      <c r="A1083" t="s">
        <v>55</v>
      </c>
      <c r="B1083">
        <v>111</v>
      </c>
      <c r="C1083" t="s">
        <v>71</v>
      </c>
      <c r="D1083" t="s">
        <v>74</v>
      </c>
      <c r="E1083" t="s">
        <v>74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74</v>
      </c>
    </row>
    <row r="1084" spans="1:20" x14ac:dyDescent="0.3">
      <c r="A1084" t="s">
        <v>42</v>
      </c>
      <c r="B1084">
        <v>144</v>
      </c>
      <c r="C1084" t="s">
        <v>71</v>
      </c>
      <c r="D1084" t="s">
        <v>74</v>
      </c>
      <c r="E1084" t="s">
        <v>74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74</v>
      </c>
    </row>
    <row r="1085" spans="1:20" x14ac:dyDescent="0.3">
      <c r="A1085" t="s">
        <v>58</v>
      </c>
      <c r="B1085">
        <v>135</v>
      </c>
      <c r="C1085" t="s">
        <v>71</v>
      </c>
      <c r="D1085" t="s">
        <v>74</v>
      </c>
      <c r="E1085" t="s">
        <v>74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75</v>
      </c>
    </row>
    <row r="1086" spans="1:20" x14ac:dyDescent="0.3">
      <c r="A1086" t="s">
        <v>25</v>
      </c>
      <c r="B1086">
        <v>107</v>
      </c>
      <c r="C1086" t="s">
        <v>71</v>
      </c>
      <c r="D1086" t="s">
        <v>74</v>
      </c>
      <c r="E1086" t="s">
        <v>75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74</v>
      </c>
    </row>
    <row r="1087" spans="1:20" x14ac:dyDescent="0.3">
      <c r="A1087" t="s">
        <v>61</v>
      </c>
      <c r="B1087">
        <v>149</v>
      </c>
      <c r="C1087" t="s">
        <v>73</v>
      </c>
      <c r="D1087" t="s">
        <v>74</v>
      </c>
      <c r="E1087" t="s">
        <v>74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74</v>
      </c>
    </row>
    <row r="1088" spans="1:20" x14ac:dyDescent="0.3">
      <c r="A1088" t="s">
        <v>36</v>
      </c>
      <c r="B1088">
        <v>56</v>
      </c>
      <c r="C1088" t="s">
        <v>72</v>
      </c>
      <c r="D1088" t="s">
        <v>74</v>
      </c>
      <c r="E1088" t="s">
        <v>74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74</v>
      </c>
    </row>
    <row r="1089" spans="1:20" x14ac:dyDescent="0.3">
      <c r="A1089" t="s">
        <v>58</v>
      </c>
      <c r="B1089">
        <v>129</v>
      </c>
      <c r="C1089" t="s">
        <v>73</v>
      </c>
      <c r="D1089" t="s">
        <v>74</v>
      </c>
      <c r="E1089" t="s">
        <v>74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74</v>
      </c>
    </row>
    <row r="1090" spans="1:20" x14ac:dyDescent="0.3">
      <c r="A1090" t="s">
        <v>60</v>
      </c>
      <c r="B1090">
        <v>92</v>
      </c>
      <c r="C1090" t="s">
        <v>73</v>
      </c>
      <c r="D1090" t="s">
        <v>74</v>
      </c>
      <c r="E1090" t="s">
        <v>74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74</v>
      </c>
    </row>
    <row r="1091" spans="1:20" x14ac:dyDescent="0.3">
      <c r="A1091" t="s">
        <v>65</v>
      </c>
      <c r="B1091">
        <v>67</v>
      </c>
      <c r="C1091" t="s">
        <v>71</v>
      </c>
      <c r="D1091" t="s">
        <v>74</v>
      </c>
      <c r="E1091" t="s">
        <v>75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74</v>
      </c>
    </row>
    <row r="1092" spans="1:20" x14ac:dyDescent="0.3">
      <c r="A1092" t="s">
        <v>23</v>
      </c>
      <c r="B1092">
        <v>120</v>
      </c>
      <c r="C1092" t="s">
        <v>71</v>
      </c>
      <c r="D1092" t="s">
        <v>74</v>
      </c>
      <c r="E1092" t="s">
        <v>74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74</v>
      </c>
    </row>
    <row r="1093" spans="1:20" x14ac:dyDescent="0.3">
      <c r="A1093" t="s">
        <v>29</v>
      </c>
      <c r="B1093">
        <v>166</v>
      </c>
      <c r="C1093" t="s">
        <v>71</v>
      </c>
      <c r="D1093" t="s">
        <v>74</v>
      </c>
      <c r="E1093" t="s">
        <v>74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74</v>
      </c>
    </row>
    <row r="1094" spans="1:20" x14ac:dyDescent="0.3">
      <c r="A1094" t="s">
        <v>58</v>
      </c>
      <c r="B1094">
        <v>66</v>
      </c>
      <c r="C1094" t="s">
        <v>73</v>
      </c>
      <c r="D1094" t="s">
        <v>74</v>
      </c>
      <c r="E1094" t="s">
        <v>74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74</v>
      </c>
    </row>
    <row r="1095" spans="1:20" x14ac:dyDescent="0.3">
      <c r="A1095" t="s">
        <v>27</v>
      </c>
      <c r="B1095">
        <v>76</v>
      </c>
      <c r="C1095" t="s">
        <v>73</v>
      </c>
      <c r="D1095" t="s">
        <v>74</v>
      </c>
      <c r="E1095" t="s">
        <v>74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74</v>
      </c>
    </row>
    <row r="1096" spans="1:20" x14ac:dyDescent="0.3">
      <c r="A1096" t="s">
        <v>59</v>
      </c>
      <c r="B1096">
        <v>79</v>
      </c>
      <c r="C1096" t="s">
        <v>71</v>
      </c>
      <c r="D1096" t="s">
        <v>74</v>
      </c>
      <c r="E1096" t="s">
        <v>74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74</v>
      </c>
    </row>
    <row r="1097" spans="1:20" x14ac:dyDescent="0.3">
      <c r="A1097" t="s">
        <v>67</v>
      </c>
      <c r="B1097">
        <v>98</v>
      </c>
      <c r="C1097" t="s">
        <v>71</v>
      </c>
      <c r="D1097" t="s">
        <v>74</v>
      </c>
      <c r="E1097" t="s">
        <v>75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74</v>
      </c>
    </row>
    <row r="1098" spans="1:20" x14ac:dyDescent="0.3">
      <c r="A1098" t="s">
        <v>48</v>
      </c>
      <c r="B1098">
        <v>141</v>
      </c>
      <c r="C1098" t="s">
        <v>72</v>
      </c>
      <c r="D1098" t="s">
        <v>74</v>
      </c>
      <c r="E1098" t="s">
        <v>75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74</v>
      </c>
    </row>
    <row r="1099" spans="1:20" x14ac:dyDescent="0.3">
      <c r="A1099" t="s">
        <v>22</v>
      </c>
      <c r="B1099">
        <v>46</v>
      </c>
      <c r="C1099" t="s">
        <v>72</v>
      </c>
      <c r="D1099" t="s">
        <v>74</v>
      </c>
      <c r="E1099" t="s">
        <v>74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74</v>
      </c>
    </row>
    <row r="1100" spans="1:20" x14ac:dyDescent="0.3">
      <c r="A1100" t="s">
        <v>54</v>
      </c>
      <c r="B1100">
        <v>137</v>
      </c>
      <c r="C1100" t="s">
        <v>71</v>
      </c>
      <c r="D1100" t="s">
        <v>74</v>
      </c>
      <c r="E1100" t="s">
        <v>74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74</v>
      </c>
    </row>
    <row r="1101" spans="1:20" x14ac:dyDescent="0.3">
      <c r="A1101" t="s">
        <v>41</v>
      </c>
      <c r="B1101">
        <v>171</v>
      </c>
      <c r="C1101" t="s">
        <v>73</v>
      </c>
      <c r="D1101" t="s">
        <v>74</v>
      </c>
      <c r="E1101" t="s">
        <v>74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75</v>
      </c>
    </row>
    <row r="1102" spans="1:20" x14ac:dyDescent="0.3">
      <c r="A1102" t="s">
        <v>50</v>
      </c>
      <c r="B1102">
        <v>10</v>
      </c>
      <c r="C1102" t="s">
        <v>71</v>
      </c>
      <c r="D1102" t="s">
        <v>74</v>
      </c>
      <c r="E1102" t="s">
        <v>74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74</v>
      </c>
    </row>
    <row r="1103" spans="1:20" x14ac:dyDescent="0.3">
      <c r="A1103" t="s">
        <v>33</v>
      </c>
      <c r="B1103">
        <v>88</v>
      </c>
      <c r="C1103" t="s">
        <v>72</v>
      </c>
      <c r="D1103" t="s">
        <v>74</v>
      </c>
      <c r="E1103" t="s">
        <v>74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74</v>
      </c>
    </row>
    <row r="1104" spans="1:20" x14ac:dyDescent="0.3">
      <c r="A1104" t="s">
        <v>26</v>
      </c>
      <c r="B1104">
        <v>89</v>
      </c>
      <c r="C1104" t="s">
        <v>71</v>
      </c>
      <c r="D1104" t="s">
        <v>74</v>
      </c>
      <c r="E1104" t="s">
        <v>74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74</v>
      </c>
    </row>
    <row r="1105" spans="1:20" x14ac:dyDescent="0.3">
      <c r="A1105" t="s">
        <v>34</v>
      </c>
      <c r="B1105">
        <v>82</v>
      </c>
      <c r="C1105" t="s">
        <v>71</v>
      </c>
      <c r="D1105" t="s">
        <v>74</v>
      </c>
      <c r="E1105" t="s">
        <v>74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75</v>
      </c>
    </row>
    <row r="1106" spans="1:20" x14ac:dyDescent="0.3">
      <c r="A1106" t="s">
        <v>56</v>
      </c>
      <c r="B1106">
        <v>139</v>
      </c>
      <c r="C1106" t="s">
        <v>72</v>
      </c>
      <c r="D1106" t="s">
        <v>74</v>
      </c>
      <c r="E1106" t="s">
        <v>74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74</v>
      </c>
    </row>
    <row r="1107" spans="1:20" x14ac:dyDescent="0.3">
      <c r="A1107" t="s">
        <v>50</v>
      </c>
      <c r="B1107">
        <v>87</v>
      </c>
      <c r="C1107" t="s">
        <v>71</v>
      </c>
      <c r="D1107" t="s">
        <v>74</v>
      </c>
      <c r="E1107" t="s">
        <v>74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74</v>
      </c>
    </row>
    <row r="1108" spans="1:20" x14ac:dyDescent="0.3">
      <c r="A1108" t="s">
        <v>38</v>
      </c>
      <c r="B1108">
        <v>137</v>
      </c>
      <c r="C1108" t="s">
        <v>71</v>
      </c>
      <c r="D1108" t="s">
        <v>75</v>
      </c>
      <c r="E1108" t="s">
        <v>74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74</v>
      </c>
    </row>
    <row r="1109" spans="1:20" x14ac:dyDescent="0.3">
      <c r="A1109" t="s">
        <v>41</v>
      </c>
      <c r="B1109">
        <v>45</v>
      </c>
      <c r="C1109" t="s">
        <v>72</v>
      </c>
      <c r="D1109" t="s">
        <v>74</v>
      </c>
      <c r="E1109" t="s">
        <v>74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75</v>
      </c>
    </row>
    <row r="1110" spans="1:20" x14ac:dyDescent="0.3">
      <c r="A1110" t="s">
        <v>31</v>
      </c>
      <c r="B1110">
        <v>90</v>
      </c>
      <c r="C1110" t="s">
        <v>71</v>
      </c>
      <c r="D1110" t="s">
        <v>74</v>
      </c>
      <c r="E1110" t="s">
        <v>74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74</v>
      </c>
    </row>
    <row r="1111" spans="1:20" x14ac:dyDescent="0.3">
      <c r="A1111" t="s">
        <v>69</v>
      </c>
      <c r="B1111">
        <v>103</v>
      </c>
      <c r="C1111" t="s">
        <v>71</v>
      </c>
      <c r="D1111" t="s">
        <v>74</v>
      </c>
      <c r="E1111" t="s">
        <v>74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74</v>
      </c>
    </row>
    <row r="1112" spans="1:20" x14ac:dyDescent="0.3">
      <c r="A1112" t="s">
        <v>54</v>
      </c>
      <c r="B1112">
        <v>100</v>
      </c>
      <c r="C1112" t="s">
        <v>71</v>
      </c>
      <c r="D1112" t="s">
        <v>74</v>
      </c>
      <c r="E1112" t="s">
        <v>74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74</v>
      </c>
    </row>
    <row r="1113" spans="1:20" x14ac:dyDescent="0.3">
      <c r="A1113" t="s">
        <v>41</v>
      </c>
      <c r="B1113">
        <v>110</v>
      </c>
      <c r="C1113" t="s">
        <v>72</v>
      </c>
      <c r="D1113" t="s">
        <v>74</v>
      </c>
      <c r="E1113" t="s">
        <v>74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74</v>
      </c>
    </row>
    <row r="1114" spans="1:20" x14ac:dyDescent="0.3">
      <c r="A1114" t="s">
        <v>46</v>
      </c>
      <c r="B1114">
        <v>124</v>
      </c>
      <c r="C1114" t="s">
        <v>71</v>
      </c>
      <c r="D1114" t="s">
        <v>74</v>
      </c>
      <c r="E1114" t="s">
        <v>74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74</v>
      </c>
    </row>
    <row r="1115" spans="1:20" x14ac:dyDescent="0.3">
      <c r="A1115" t="s">
        <v>57</v>
      </c>
      <c r="B1115">
        <v>10</v>
      </c>
      <c r="C1115" t="s">
        <v>72</v>
      </c>
      <c r="D1115" t="s">
        <v>74</v>
      </c>
      <c r="E1115" t="s">
        <v>74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74</v>
      </c>
    </row>
    <row r="1116" spans="1:20" x14ac:dyDescent="0.3">
      <c r="A1116" t="s">
        <v>24</v>
      </c>
      <c r="B1116">
        <v>89</v>
      </c>
      <c r="C1116" t="s">
        <v>71</v>
      </c>
      <c r="D1116" t="s">
        <v>74</v>
      </c>
      <c r="E1116" t="s">
        <v>75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74</v>
      </c>
    </row>
    <row r="1117" spans="1:20" x14ac:dyDescent="0.3">
      <c r="A1117" t="s">
        <v>41</v>
      </c>
      <c r="B1117">
        <v>121</v>
      </c>
      <c r="C1117" t="s">
        <v>73</v>
      </c>
      <c r="D1117" t="s">
        <v>74</v>
      </c>
      <c r="E1117" t="s">
        <v>74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74</v>
      </c>
    </row>
    <row r="1118" spans="1:20" x14ac:dyDescent="0.3">
      <c r="A1118" t="s">
        <v>31</v>
      </c>
      <c r="B1118">
        <v>101</v>
      </c>
      <c r="C1118" t="s">
        <v>71</v>
      </c>
      <c r="D1118" t="s">
        <v>74</v>
      </c>
      <c r="E1118" t="s">
        <v>74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74</v>
      </c>
    </row>
    <row r="1119" spans="1:20" x14ac:dyDescent="0.3">
      <c r="A1119" t="s">
        <v>62</v>
      </c>
      <c r="B1119">
        <v>103</v>
      </c>
      <c r="C1119" t="s">
        <v>71</v>
      </c>
      <c r="D1119" t="s">
        <v>74</v>
      </c>
      <c r="E1119" t="s">
        <v>75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74</v>
      </c>
    </row>
    <row r="1120" spans="1:20" x14ac:dyDescent="0.3">
      <c r="A1120" t="s">
        <v>31</v>
      </c>
      <c r="B1120">
        <v>51</v>
      </c>
      <c r="C1120" t="s">
        <v>73</v>
      </c>
      <c r="D1120" t="s">
        <v>74</v>
      </c>
      <c r="E1120" t="s">
        <v>74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74</v>
      </c>
    </row>
    <row r="1121" spans="1:20" x14ac:dyDescent="0.3">
      <c r="A1121" t="s">
        <v>45</v>
      </c>
      <c r="B1121">
        <v>2</v>
      </c>
      <c r="C1121" t="s">
        <v>71</v>
      </c>
      <c r="D1121" t="s">
        <v>75</v>
      </c>
      <c r="E1121" t="s">
        <v>74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75</v>
      </c>
    </row>
    <row r="1122" spans="1:20" x14ac:dyDescent="0.3">
      <c r="A1122" t="s">
        <v>46</v>
      </c>
      <c r="B1122">
        <v>111</v>
      </c>
      <c r="C1122" t="s">
        <v>72</v>
      </c>
      <c r="D1122" t="s">
        <v>74</v>
      </c>
      <c r="E1122" t="s">
        <v>74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74</v>
      </c>
    </row>
    <row r="1123" spans="1:20" x14ac:dyDescent="0.3">
      <c r="A1123" t="s">
        <v>50</v>
      </c>
      <c r="B1123">
        <v>118</v>
      </c>
      <c r="C1123" t="s">
        <v>71</v>
      </c>
      <c r="D1123" t="s">
        <v>74</v>
      </c>
      <c r="E1123" t="s">
        <v>74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74</v>
      </c>
    </row>
    <row r="1124" spans="1:20" x14ac:dyDescent="0.3">
      <c r="A1124" t="s">
        <v>29</v>
      </c>
      <c r="B1124">
        <v>193</v>
      </c>
      <c r="C1124" t="s">
        <v>71</v>
      </c>
      <c r="D1124" t="s">
        <v>74</v>
      </c>
      <c r="E1124" t="s">
        <v>74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75</v>
      </c>
    </row>
    <row r="1125" spans="1:20" x14ac:dyDescent="0.3">
      <c r="A1125" t="s">
        <v>69</v>
      </c>
      <c r="B1125">
        <v>114</v>
      </c>
      <c r="C1125" t="s">
        <v>72</v>
      </c>
      <c r="D1125" t="s">
        <v>74</v>
      </c>
      <c r="E1125" t="s">
        <v>74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74</v>
      </c>
    </row>
    <row r="1126" spans="1:20" x14ac:dyDescent="0.3">
      <c r="A1126" t="s">
        <v>57</v>
      </c>
      <c r="B1126">
        <v>185</v>
      </c>
      <c r="C1126" t="s">
        <v>73</v>
      </c>
      <c r="D1126" t="s">
        <v>74</v>
      </c>
      <c r="E1126" t="s">
        <v>75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74</v>
      </c>
    </row>
    <row r="1127" spans="1:20" x14ac:dyDescent="0.3">
      <c r="A1127" t="s">
        <v>44</v>
      </c>
      <c r="B1127">
        <v>101</v>
      </c>
      <c r="C1127" t="s">
        <v>73</v>
      </c>
      <c r="D1127" t="s">
        <v>74</v>
      </c>
      <c r="E1127" t="s">
        <v>74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74</v>
      </c>
    </row>
    <row r="1128" spans="1:20" x14ac:dyDescent="0.3">
      <c r="A1128" t="s">
        <v>29</v>
      </c>
      <c r="B1128">
        <v>95</v>
      </c>
      <c r="C1128" t="s">
        <v>71</v>
      </c>
      <c r="D1128" t="s">
        <v>74</v>
      </c>
      <c r="E1128" t="s">
        <v>75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74</v>
      </c>
    </row>
    <row r="1129" spans="1:20" x14ac:dyDescent="0.3">
      <c r="A1129" t="s">
        <v>68</v>
      </c>
      <c r="B1129">
        <v>7</v>
      </c>
      <c r="C1129" t="s">
        <v>73</v>
      </c>
      <c r="D1129" t="s">
        <v>74</v>
      </c>
      <c r="E1129" t="s">
        <v>75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74</v>
      </c>
    </row>
    <row r="1130" spans="1:20" x14ac:dyDescent="0.3">
      <c r="A1130" t="s">
        <v>20</v>
      </c>
      <c r="B1130">
        <v>126</v>
      </c>
      <c r="C1130" t="s">
        <v>73</v>
      </c>
      <c r="D1130" t="s">
        <v>74</v>
      </c>
      <c r="E1130" t="s">
        <v>74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75</v>
      </c>
    </row>
    <row r="1131" spans="1:20" x14ac:dyDescent="0.3">
      <c r="A1131" t="s">
        <v>30</v>
      </c>
      <c r="B1131">
        <v>71</v>
      </c>
      <c r="C1131" t="s">
        <v>71</v>
      </c>
      <c r="D1131" t="s">
        <v>74</v>
      </c>
      <c r="E1131" t="s">
        <v>74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74</v>
      </c>
    </row>
    <row r="1132" spans="1:20" x14ac:dyDescent="0.3">
      <c r="A1132" t="s">
        <v>53</v>
      </c>
      <c r="B1132">
        <v>124</v>
      </c>
      <c r="C1132" t="s">
        <v>71</v>
      </c>
      <c r="D1132" t="s">
        <v>74</v>
      </c>
      <c r="E1132" t="s">
        <v>74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74</v>
      </c>
    </row>
    <row r="1133" spans="1:20" x14ac:dyDescent="0.3">
      <c r="A1133" t="s">
        <v>30</v>
      </c>
      <c r="B1133">
        <v>97</v>
      </c>
      <c r="C1133" t="s">
        <v>72</v>
      </c>
      <c r="D1133" t="s">
        <v>75</v>
      </c>
      <c r="E1133" t="s">
        <v>74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75</v>
      </c>
    </row>
    <row r="1134" spans="1:20" x14ac:dyDescent="0.3">
      <c r="A1134" t="s">
        <v>34</v>
      </c>
      <c r="B1134">
        <v>28</v>
      </c>
      <c r="C1134" t="s">
        <v>71</v>
      </c>
      <c r="D1134" t="s">
        <v>74</v>
      </c>
      <c r="E1134" t="s">
        <v>74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74</v>
      </c>
    </row>
    <row r="1135" spans="1:20" x14ac:dyDescent="0.3">
      <c r="A1135" t="s">
        <v>41</v>
      </c>
      <c r="B1135">
        <v>90</v>
      </c>
      <c r="C1135" t="s">
        <v>71</v>
      </c>
      <c r="D1135" t="s">
        <v>75</v>
      </c>
      <c r="E1135" t="s">
        <v>74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75</v>
      </c>
    </row>
    <row r="1136" spans="1:20" x14ac:dyDescent="0.3">
      <c r="A1136" t="s">
        <v>67</v>
      </c>
      <c r="B1136">
        <v>190</v>
      </c>
      <c r="C1136" t="s">
        <v>73</v>
      </c>
      <c r="D1136" t="s">
        <v>74</v>
      </c>
      <c r="E1136" t="s">
        <v>74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74</v>
      </c>
    </row>
    <row r="1137" spans="1:20" x14ac:dyDescent="0.3">
      <c r="A1137" t="s">
        <v>25</v>
      </c>
      <c r="B1137">
        <v>31</v>
      </c>
      <c r="C1137" t="s">
        <v>71</v>
      </c>
      <c r="D1137" t="s">
        <v>74</v>
      </c>
      <c r="E1137" t="s">
        <v>75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74</v>
      </c>
    </row>
    <row r="1138" spans="1:20" x14ac:dyDescent="0.3">
      <c r="A1138" t="s">
        <v>49</v>
      </c>
      <c r="B1138">
        <v>73</v>
      </c>
      <c r="C1138" t="s">
        <v>72</v>
      </c>
      <c r="D1138" t="s">
        <v>74</v>
      </c>
      <c r="E1138" t="s">
        <v>74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74</v>
      </c>
    </row>
    <row r="1139" spans="1:20" x14ac:dyDescent="0.3">
      <c r="A1139" t="s">
        <v>36</v>
      </c>
      <c r="B1139">
        <v>111</v>
      </c>
      <c r="C1139" t="s">
        <v>71</v>
      </c>
      <c r="D1139" t="s">
        <v>74</v>
      </c>
      <c r="E1139" t="s">
        <v>74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75</v>
      </c>
    </row>
    <row r="1140" spans="1:20" x14ac:dyDescent="0.3">
      <c r="A1140" t="s">
        <v>56</v>
      </c>
      <c r="B1140">
        <v>98</v>
      </c>
      <c r="C1140" t="s">
        <v>71</v>
      </c>
      <c r="D1140" t="s">
        <v>74</v>
      </c>
      <c r="E1140" t="s">
        <v>74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75</v>
      </c>
    </row>
    <row r="1141" spans="1:20" x14ac:dyDescent="0.3">
      <c r="A1141" t="s">
        <v>47</v>
      </c>
      <c r="B1141">
        <v>106</v>
      </c>
      <c r="C1141" t="s">
        <v>73</v>
      </c>
      <c r="D1141" t="s">
        <v>75</v>
      </c>
      <c r="E1141" t="s">
        <v>74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75</v>
      </c>
    </row>
    <row r="1142" spans="1:20" x14ac:dyDescent="0.3">
      <c r="A1142" t="s">
        <v>66</v>
      </c>
      <c r="B1142">
        <v>111</v>
      </c>
      <c r="C1142" t="s">
        <v>73</v>
      </c>
      <c r="D1142" t="s">
        <v>74</v>
      </c>
      <c r="E1142" t="s">
        <v>74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74</v>
      </c>
    </row>
    <row r="1143" spans="1:20" x14ac:dyDescent="0.3">
      <c r="A1143" t="s">
        <v>23</v>
      </c>
      <c r="B1143">
        <v>59</v>
      </c>
      <c r="C1143" t="s">
        <v>73</v>
      </c>
      <c r="D1143" t="s">
        <v>74</v>
      </c>
      <c r="E1143" t="s">
        <v>74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74</v>
      </c>
    </row>
    <row r="1144" spans="1:20" x14ac:dyDescent="0.3">
      <c r="A1144" t="s">
        <v>70</v>
      </c>
      <c r="B1144">
        <v>71</v>
      </c>
      <c r="C1144" t="s">
        <v>72</v>
      </c>
      <c r="D1144" t="s">
        <v>74</v>
      </c>
      <c r="E1144" t="s">
        <v>75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74</v>
      </c>
    </row>
    <row r="1145" spans="1:20" x14ac:dyDescent="0.3">
      <c r="A1145" t="s">
        <v>41</v>
      </c>
      <c r="B1145">
        <v>55</v>
      </c>
      <c r="C1145" t="s">
        <v>73</v>
      </c>
      <c r="D1145" t="s">
        <v>74</v>
      </c>
      <c r="E1145" t="s">
        <v>74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75</v>
      </c>
    </row>
    <row r="1146" spans="1:20" x14ac:dyDescent="0.3">
      <c r="A1146" t="s">
        <v>26</v>
      </c>
      <c r="B1146">
        <v>13</v>
      </c>
      <c r="C1146" t="s">
        <v>71</v>
      </c>
      <c r="D1146" t="s">
        <v>74</v>
      </c>
      <c r="E1146" t="s">
        <v>74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74</v>
      </c>
    </row>
    <row r="1147" spans="1:20" x14ac:dyDescent="0.3">
      <c r="A1147" t="s">
        <v>41</v>
      </c>
      <c r="B1147">
        <v>136</v>
      </c>
      <c r="C1147" t="s">
        <v>71</v>
      </c>
      <c r="D1147" t="s">
        <v>74</v>
      </c>
      <c r="E1147" t="s">
        <v>75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74</v>
      </c>
    </row>
    <row r="1148" spans="1:20" x14ac:dyDescent="0.3">
      <c r="A1148" t="s">
        <v>59</v>
      </c>
      <c r="B1148">
        <v>123</v>
      </c>
      <c r="C1148" t="s">
        <v>73</v>
      </c>
      <c r="D1148" t="s">
        <v>74</v>
      </c>
      <c r="E1148" t="s">
        <v>74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74</v>
      </c>
    </row>
    <row r="1149" spans="1:20" x14ac:dyDescent="0.3">
      <c r="A1149" t="s">
        <v>31</v>
      </c>
      <c r="B1149">
        <v>105</v>
      </c>
      <c r="C1149" t="s">
        <v>73</v>
      </c>
      <c r="D1149" t="s">
        <v>74</v>
      </c>
      <c r="E1149" t="s">
        <v>74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74</v>
      </c>
    </row>
    <row r="1150" spans="1:20" x14ac:dyDescent="0.3">
      <c r="A1150" t="s">
        <v>34</v>
      </c>
      <c r="B1150">
        <v>50</v>
      </c>
      <c r="C1150" t="s">
        <v>73</v>
      </c>
      <c r="D1150" t="s">
        <v>74</v>
      </c>
      <c r="E1150" t="s">
        <v>75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74</v>
      </c>
    </row>
    <row r="1151" spans="1:20" x14ac:dyDescent="0.3">
      <c r="A1151" t="s">
        <v>48</v>
      </c>
      <c r="B1151">
        <v>97</v>
      </c>
      <c r="C1151" t="s">
        <v>73</v>
      </c>
      <c r="D1151" t="s">
        <v>74</v>
      </c>
      <c r="E1151" t="s">
        <v>74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74</v>
      </c>
    </row>
    <row r="1152" spans="1:20" x14ac:dyDescent="0.3">
      <c r="A1152" t="s">
        <v>64</v>
      </c>
      <c r="B1152">
        <v>51</v>
      </c>
      <c r="C1152" t="s">
        <v>72</v>
      </c>
      <c r="D1152" t="s">
        <v>74</v>
      </c>
      <c r="E1152" t="s">
        <v>74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74</v>
      </c>
    </row>
    <row r="1153" spans="1:20" x14ac:dyDescent="0.3">
      <c r="A1153" t="s">
        <v>23</v>
      </c>
      <c r="B1153">
        <v>73</v>
      </c>
      <c r="C1153" t="s">
        <v>71</v>
      </c>
      <c r="D1153" t="s">
        <v>74</v>
      </c>
      <c r="E1153" t="s">
        <v>74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75</v>
      </c>
    </row>
    <row r="1154" spans="1:20" x14ac:dyDescent="0.3">
      <c r="A1154" t="s">
        <v>67</v>
      </c>
      <c r="B1154">
        <v>35</v>
      </c>
      <c r="C1154" t="s">
        <v>71</v>
      </c>
      <c r="D1154" t="s">
        <v>74</v>
      </c>
      <c r="E1154" t="s">
        <v>74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74</v>
      </c>
    </row>
    <row r="1155" spans="1:20" x14ac:dyDescent="0.3">
      <c r="A1155" t="s">
        <v>30</v>
      </c>
      <c r="B1155">
        <v>64</v>
      </c>
      <c r="C1155" t="s">
        <v>71</v>
      </c>
      <c r="D1155" t="s">
        <v>74</v>
      </c>
      <c r="E1155" t="s">
        <v>74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74</v>
      </c>
    </row>
    <row r="1156" spans="1:20" x14ac:dyDescent="0.3">
      <c r="A1156" t="s">
        <v>65</v>
      </c>
      <c r="B1156">
        <v>63</v>
      </c>
      <c r="C1156" t="s">
        <v>72</v>
      </c>
      <c r="D1156" t="s">
        <v>74</v>
      </c>
      <c r="E1156" t="s">
        <v>74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74</v>
      </c>
    </row>
    <row r="1157" spans="1:20" x14ac:dyDescent="0.3">
      <c r="A1157" t="s">
        <v>44</v>
      </c>
      <c r="B1157">
        <v>117</v>
      </c>
      <c r="C1157" t="s">
        <v>71</v>
      </c>
      <c r="D1157" t="s">
        <v>74</v>
      </c>
      <c r="E1157" t="s">
        <v>75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74</v>
      </c>
    </row>
    <row r="1158" spans="1:20" x14ac:dyDescent="0.3">
      <c r="A1158" t="s">
        <v>54</v>
      </c>
      <c r="B1158">
        <v>115</v>
      </c>
      <c r="C1158" t="s">
        <v>71</v>
      </c>
      <c r="D1158" t="s">
        <v>74</v>
      </c>
      <c r="E1158" t="s">
        <v>74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75</v>
      </c>
    </row>
    <row r="1159" spans="1:20" x14ac:dyDescent="0.3">
      <c r="A1159" t="s">
        <v>42</v>
      </c>
      <c r="B1159">
        <v>162</v>
      </c>
      <c r="C1159" t="s">
        <v>73</v>
      </c>
      <c r="D1159" t="s">
        <v>74</v>
      </c>
      <c r="E1159" t="s">
        <v>74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74</v>
      </c>
    </row>
    <row r="1160" spans="1:20" x14ac:dyDescent="0.3">
      <c r="A1160" t="s">
        <v>38</v>
      </c>
      <c r="B1160">
        <v>89</v>
      </c>
      <c r="C1160" t="s">
        <v>71</v>
      </c>
      <c r="D1160" t="s">
        <v>74</v>
      </c>
      <c r="E1160" t="s">
        <v>74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74</v>
      </c>
    </row>
    <row r="1161" spans="1:20" x14ac:dyDescent="0.3">
      <c r="A1161" t="s">
        <v>50</v>
      </c>
      <c r="B1161">
        <v>94</v>
      </c>
      <c r="C1161" t="s">
        <v>71</v>
      </c>
      <c r="D1161" t="s">
        <v>75</v>
      </c>
      <c r="E1161" t="s">
        <v>74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74</v>
      </c>
    </row>
    <row r="1162" spans="1:20" x14ac:dyDescent="0.3">
      <c r="A1162" t="s">
        <v>23</v>
      </c>
      <c r="B1162">
        <v>129</v>
      </c>
      <c r="C1162" t="s">
        <v>73</v>
      </c>
      <c r="D1162" t="s">
        <v>74</v>
      </c>
      <c r="E1162" t="s">
        <v>74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74</v>
      </c>
    </row>
    <row r="1163" spans="1:20" x14ac:dyDescent="0.3">
      <c r="A1163" t="s">
        <v>56</v>
      </c>
      <c r="B1163">
        <v>86</v>
      </c>
      <c r="C1163" t="s">
        <v>71</v>
      </c>
      <c r="D1163" t="s">
        <v>74</v>
      </c>
      <c r="E1163" t="s">
        <v>74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74</v>
      </c>
    </row>
    <row r="1164" spans="1:20" x14ac:dyDescent="0.3">
      <c r="A1164" t="s">
        <v>47</v>
      </c>
      <c r="B1164">
        <v>96</v>
      </c>
      <c r="C1164" t="s">
        <v>72</v>
      </c>
      <c r="D1164" t="s">
        <v>74</v>
      </c>
      <c r="E1164" t="s">
        <v>74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74</v>
      </c>
    </row>
    <row r="1165" spans="1:20" x14ac:dyDescent="0.3">
      <c r="A1165" t="s">
        <v>64</v>
      </c>
      <c r="B1165">
        <v>190</v>
      </c>
      <c r="C1165" t="s">
        <v>71</v>
      </c>
      <c r="D1165" t="s">
        <v>74</v>
      </c>
      <c r="E1165" t="s">
        <v>74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74</v>
      </c>
    </row>
    <row r="1166" spans="1:20" x14ac:dyDescent="0.3">
      <c r="A1166" t="s">
        <v>54</v>
      </c>
      <c r="B1166">
        <v>80</v>
      </c>
      <c r="C1166" t="s">
        <v>73</v>
      </c>
      <c r="D1166" t="s">
        <v>74</v>
      </c>
      <c r="E1166" t="s">
        <v>74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74</v>
      </c>
    </row>
    <row r="1167" spans="1:20" x14ac:dyDescent="0.3">
      <c r="A1167" t="s">
        <v>43</v>
      </c>
      <c r="B1167">
        <v>108</v>
      </c>
      <c r="C1167" t="s">
        <v>71</v>
      </c>
      <c r="D1167" t="s">
        <v>74</v>
      </c>
      <c r="E1167" t="s">
        <v>74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75</v>
      </c>
    </row>
    <row r="1168" spans="1:20" x14ac:dyDescent="0.3">
      <c r="A1168" t="s">
        <v>40</v>
      </c>
      <c r="B1168">
        <v>97</v>
      </c>
      <c r="C1168" t="s">
        <v>73</v>
      </c>
      <c r="D1168" t="s">
        <v>74</v>
      </c>
      <c r="E1168" t="s">
        <v>75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74</v>
      </c>
    </row>
    <row r="1169" spans="1:20" x14ac:dyDescent="0.3">
      <c r="A1169" t="s">
        <v>23</v>
      </c>
      <c r="B1169">
        <v>84</v>
      </c>
      <c r="C1169" t="s">
        <v>71</v>
      </c>
      <c r="D1169" t="s">
        <v>74</v>
      </c>
      <c r="E1169" t="s">
        <v>75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74</v>
      </c>
    </row>
    <row r="1170" spans="1:20" x14ac:dyDescent="0.3">
      <c r="A1170" t="s">
        <v>61</v>
      </c>
      <c r="B1170">
        <v>65</v>
      </c>
      <c r="C1170" t="s">
        <v>71</v>
      </c>
      <c r="D1170" t="s">
        <v>74</v>
      </c>
      <c r="E1170" t="s">
        <v>74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75</v>
      </c>
    </row>
    <row r="1171" spans="1:20" x14ac:dyDescent="0.3">
      <c r="A1171" t="s">
        <v>25</v>
      </c>
      <c r="B1171">
        <v>58</v>
      </c>
      <c r="C1171" t="s">
        <v>71</v>
      </c>
      <c r="D1171" t="s">
        <v>75</v>
      </c>
      <c r="E1171" t="s">
        <v>75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74</v>
      </c>
    </row>
    <row r="1172" spans="1:20" x14ac:dyDescent="0.3">
      <c r="A1172" t="s">
        <v>37</v>
      </c>
      <c r="B1172">
        <v>36</v>
      </c>
      <c r="C1172" t="s">
        <v>71</v>
      </c>
      <c r="D1172" t="s">
        <v>74</v>
      </c>
      <c r="E1172" t="s">
        <v>74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74</v>
      </c>
    </row>
    <row r="1173" spans="1:20" x14ac:dyDescent="0.3">
      <c r="A1173" t="s">
        <v>31</v>
      </c>
      <c r="B1173">
        <v>54</v>
      </c>
      <c r="C1173" t="s">
        <v>71</v>
      </c>
      <c r="D1173" t="s">
        <v>74</v>
      </c>
      <c r="E1173" t="s">
        <v>74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74</v>
      </c>
    </row>
    <row r="1174" spans="1:20" x14ac:dyDescent="0.3">
      <c r="A1174" t="s">
        <v>28</v>
      </c>
      <c r="B1174">
        <v>45</v>
      </c>
      <c r="C1174" t="s">
        <v>72</v>
      </c>
      <c r="D1174" t="s">
        <v>74</v>
      </c>
      <c r="E1174" t="s">
        <v>74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74</v>
      </c>
    </row>
    <row r="1175" spans="1:20" x14ac:dyDescent="0.3">
      <c r="A1175" t="s">
        <v>23</v>
      </c>
      <c r="B1175">
        <v>72</v>
      </c>
      <c r="C1175" t="s">
        <v>71</v>
      </c>
      <c r="D1175" t="s">
        <v>74</v>
      </c>
      <c r="E1175" t="s">
        <v>75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74</v>
      </c>
    </row>
    <row r="1176" spans="1:20" x14ac:dyDescent="0.3">
      <c r="A1176" t="s">
        <v>54</v>
      </c>
      <c r="B1176">
        <v>141</v>
      </c>
      <c r="C1176" t="s">
        <v>73</v>
      </c>
      <c r="D1176" t="s">
        <v>74</v>
      </c>
      <c r="E1176" t="s">
        <v>74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74</v>
      </c>
    </row>
    <row r="1177" spans="1:20" x14ac:dyDescent="0.3">
      <c r="A1177" t="s">
        <v>56</v>
      </c>
      <c r="B1177">
        <v>20</v>
      </c>
      <c r="C1177" t="s">
        <v>71</v>
      </c>
      <c r="D1177" t="s">
        <v>74</v>
      </c>
      <c r="E1177" t="s">
        <v>75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74</v>
      </c>
    </row>
    <row r="1178" spans="1:20" x14ac:dyDescent="0.3">
      <c r="A1178" t="s">
        <v>61</v>
      </c>
      <c r="B1178">
        <v>94</v>
      </c>
      <c r="C1178" t="s">
        <v>72</v>
      </c>
      <c r="D1178" t="s">
        <v>74</v>
      </c>
      <c r="E1178" t="s">
        <v>74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74</v>
      </c>
    </row>
    <row r="1179" spans="1:20" x14ac:dyDescent="0.3">
      <c r="A1179" t="s">
        <v>38</v>
      </c>
      <c r="B1179">
        <v>40</v>
      </c>
      <c r="C1179" t="s">
        <v>72</v>
      </c>
      <c r="D1179" t="s">
        <v>74</v>
      </c>
      <c r="E1179" t="s">
        <v>74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74</v>
      </c>
    </row>
    <row r="1180" spans="1:20" x14ac:dyDescent="0.3">
      <c r="A1180" t="s">
        <v>44</v>
      </c>
      <c r="B1180">
        <v>101</v>
      </c>
      <c r="C1180" t="s">
        <v>71</v>
      </c>
      <c r="D1180" t="s">
        <v>74</v>
      </c>
      <c r="E1180" t="s">
        <v>74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75</v>
      </c>
    </row>
    <row r="1181" spans="1:20" x14ac:dyDescent="0.3">
      <c r="A1181" t="s">
        <v>66</v>
      </c>
      <c r="B1181">
        <v>170</v>
      </c>
      <c r="C1181" t="s">
        <v>71</v>
      </c>
      <c r="D1181" t="s">
        <v>74</v>
      </c>
      <c r="E1181" t="s">
        <v>74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74</v>
      </c>
    </row>
    <row r="1182" spans="1:20" x14ac:dyDescent="0.3">
      <c r="A1182" t="s">
        <v>67</v>
      </c>
      <c r="B1182">
        <v>105</v>
      </c>
      <c r="C1182" t="s">
        <v>72</v>
      </c>
      <c r="D1182" t="s">
        <v>74</v>
      </c>
      <c r="E1182" t="s">
        <v>74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74</v>
      </c>
    </row>
    <row r="1183" spans="1:20" x14ac:dyDescent="0.3">
      <c r="A1183" t="s">
        <v>42</v>
      </c>
      <c r="B1183">
        <v>103</v>
      </c>
      <c r="C1183" t="s">
        <v>71</v>
      </c>
      <c r="D1183" t="s">
        <v>74</v>
      </c>
      <c r="E1183" t="s">
        <v>74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74</v>
      </c>
    </row>
    <row r="1184" spans="1:20" x14ac:dyDescent="0.3">
      <c r="A1184" t="s">
        <v>49</v>
      </c>
      <c r="B1184">
        <v>140</v>
      </c>
      <c r="C1184" t="s">
        <v>71</v>
      </c>
      <c r="D1184" t="s">
        <v>75</v>
      </c>
      <c r="E1184" t="s">
        <v>75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74</v>
      </c>
    </row>
    <row r="1185" spans="1:20" x14ac:dyDescent="0.3">
      <c r="A1185" t="s">
        <v>23</v>
      </c>
      <c r="B1185">
        <v>101</v>
      </c>
      <c r="C1185" t="s">
        <v>72</v>
      </c>
      <c r="D1185" t="s">
        <v>74</v>
      </c>
      <c r="E1185" t="s">
        <v>74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74</v>
      </c>
    </row>
    <row r="1186" spans="1:20" x14ac:dyDescent="0.3">
      <c r="A1186" t="s">
        <v>34</v>
      </c>
      <c r="B1186">
        <v>98</v>
      </c>
      <c r="C1186" t="s">
        <v>73</v>
      </c>
      <c r="D1186" t="s">
        <v>74</v>
      </c>
      <c r="E1186" t="s">
        <v>75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74</v>
      </c>
    </row>
    <row r="1187" spans="1:20" x14ac:dyDescent="0.3">
      <c r="A1187" t="s">
        <v>48</v>
      </c>
      <c r="B1187">
        <v>104</v>
      </c>
      <c r="C1187" t="s">
        <v>73</v>
      </c>
      <c r="D1187" t="s">
        <v>74</v>
      </c>
      <c r="E1187" t="s">
        <v>74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74</v>
      </c>
    </row>
    <row r="1188" spans="1:20" x14ac:dyDescent="0.3">
      <c r="A1188" t="s">
        <v>50</v>
      </c>
      <c r="B1188">
        <v>115</v>
      </c>
      <c r="C1188" t="s">
        <v>71</v>
      </c>
      <c r="D1188" t="s">
        <v>74</v>
      </c>
      <c r="E1188" t="s">
        <v>74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74</v>
      </c>
    </row>
    <row r="1189" spans="1:20" x14ac:dyDescent="0.3">
      <c r="A1189" t="s">
        <v>24</v>
      </c>
      <c r="B1189">
        <v>70</v>
      </c>
      <c r="C1189" t="s">
        <v>71</v>
      </c>
      <c r="D1189" t="s">
        <v>74</v>
      </c>
      <c r="E1189" t="s">
        <v>74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74</v>
      </c>
    </row>
    <row r="1190" spans="1:20" x14ac:dyDescent="0.3">
      <c r="A1190" t="s">
        <v>70</v>
      </c>
      <c r="B1190">
        <v>126</v>
      </c>
      <c r="C1190" t="s">
        <v>72</v>
      </c>
      <c r="D1190" t="s">
        <v>74</v>
      </c>
      <c r="E1190" t="s">
        <v>74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74</v>
      </c>
    </row>
    <row r="1191" spans="1:20" x14ac:dyDescent="0.3">
      <c r="A1191" t="s">
        <v>68</v>
      </c>
      <c r="B1191">
        <v>87</v>
      </c>
      <c r="C1191" t="s">
        <v>72</v>
      </c>
      <c r="D1191" t="s">
        <v>74</v>
      </c>
      <c r="E1191" t="s">
        <v>75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74</v>
      </c>
    </row>
    <row r="1192" spans="1:20" x14ac:dyDescent="0.3">
      <c r="A1192" t="s">
        <v>57</v>
      </c>
      <c r="B1192">
        <v>125</v>
      </c>
      <c r="C1192" t="s">
        <v>72</v>
      </c>
      <c r="D1192" t="s">
        <v>74</v>
      </c>
      <c r="E1192" t="s">
        <v>74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75</v>
      </c>
    </row>
    <row r="1193" spans="1:20" x14ac:dyDescent="0.3">
      <c r="A1193" t="s">
        <v>37</v>
      </c>
      <c r="B1193">
        <v>86</v>
      </c>
      <c r="C1193" t="s">
        <v>71</v>
      </c>
      <c r="D1193" t="s">
        <v>74</v>
      </c>
      <c r="E1193" t="s">
        <v>74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74</v>
      </c>
    </row>
    <row r="1194" spans="1:20" x14ac:dyDescent="0.3">
      <c r="A1194" t="s">
        <v>53</v>
      </c>
      <c r="B1194">
        <v>73</v>
      </c>
      <c r="C1194" t="s">
        <v>71</v>
      </c>
      <c r="D1194" t="s">
        <v>74</v>
      </c>
      <c r="E1194" t="s">
        <v>75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75</v>
      </c>
    </row>
    <row r="1195" spans="1:20" x14ac:dyDescent="0.3">
      <c r="A1195" t="s">
        <v>52</v>
      </c>
      <c r="B1195">
        <v>232</v>
      </c>
      <c r="C1195" t="s">
        <v>73</v>
      </c>
      <c r="D1195" t="s">
        <v>74</v>
      </c>
      <c r="E1195" t="s">
        <v>74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74</v>
      </c>
    </row>
    <row r="1196" spans="1:20" x14ac:dyDescent="0.3">
      <c r="A1196" t="s">
        <v>46</v>
      </c>
      <c r="B1196">
        <v>133</v>
      </c>
      <c r="C1196" t="s">
        <v>73</v>
      </c>
      <c r="D1196" t="s">
        <v>74</v>
      </c>
      <c r="E1196" t="s">
        <v>74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74</v>
      </c>
    </row>
    <row r="1197" spans="1:20" x14ac:dyDescent="0.3">
      <c r="A1197" t="s">
        <v>66</v>
      </c>
      <c r="B1197">
        <v>103</v>
      </c>
      <c r="C1197" t="s">
        <v>72</v>
      </c>
      <c r="D1197" t="s">
        <v>74</v>
      </c>
      <c r="E1197" t="s">
        <v>74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74</v>
      </c>
    </row>
    <row r="1198" spans="1:20" x14ac:dyDescent="0.3">
      <c r="A1198" t="s">
        <v>57</v>
      </c>
      <c r="B1198">
        <v>131</v>
      </c>
      <c r="C1198" t="s">
        <v>71</v>
      </c>
      <c r="D1198" t="s">
        <v>74</v>
      </c>
      <c r="E1198" t="s">
        <v>75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74</v>
      </c>
    </row>
    <row r="1199" spans="1:20" x14ac:dyDescent="0.3">
      <c r="A1199" t="s">
        <v>56</v>
      </c>
      <c r="B1199">
        <v>95</v>
      </c>
      <c r="C1199" t="s">
        <v>73</v>
      </c>
      <c r="D1199" t="s">
        <v>74</v>
      </c>
      <c r="E1199" t="s">
        <v>75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74</v>
      </c>
    </row>
    <row r="1200" spans="1:20" x14ac:dyDescent="0.3">
      <c r="A1200" t="s">
        <v>50</v>
      </c>
      <c r="B1200">
        <v>182</v>
      </c>
      <c r="C1200" t="s">
        <v>71</v>
      </c>
      <c r="D1200" t="s">
        <v>74</v>
      </c>
      <c r="E1200" t="s">
        <v>74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74</v>
      </c>
    </row>
    <row r="1201" spans="1:20" x14ac:dyDescent="0.3">
      <c r="A1201" t="s">
        <v>26</v>
      </c>
      <c r="B1201">
        <v>99</v>
      </c>
      <c r="C1201" t="s">
        <v>72</v>
      </c>
      <c r="D1201" t="s">
        <v>74</v>
      </c>
      <c r="E1201" t="s">
        <v>74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74</v>
      </c>
    </row>
    <row r="1202" spans="1:20" x14ac:dyDescent="0.3">
      <c r="A1202" t="s">
        <v>35</v>
      </c>
      <c r="B1202">
        <v>141</v>
      </c>
      <c r="C1202" t="s">
        <v>73</v>
      </c>
      <c r="D1202" t="s">
        <v>74</v>
      </c>
      <c r="E1202" t="s">
        <v>74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74</v>
      </c>
    </row>
    <row r="1203" spans="1:20" x14ac:dyDescent="0.3">
      <c r="A1203" t="s">
        <v>61</v>
      </c>
      <c r="B1203">
        <v>29</v>
      </c>
      <c r="C1203" t="s">
        <v>71</v>
      </c>
      <c r="D1203" t="s">
        <v>75</v>
      </c>
      <c r="E1203" t="s">
        <v>75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74</v>
      </c>
    </row>
    <row r="1204" spans="1:20" x14ac:dyDescent="0.3">
      <c r="A1204" t="s">
        <v>52</v>
      </c>
      <c r="B1204">
        <v>65</v>
      </c>
      <c r="C1204" t="s">
        <v>71</v>
      </c>
      <c r="D1204" t="s">
        <v>74</v>
      </c>
      <c r="E1204" t="s">
        <v>74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74</v>
      </c>
    </row>
    <row r="1205" spans="1:20" x14ac:dyDescent="0.3">
      <c r="A1205" t="s">
        <v>40</v>
      </c>
      <c r="B1205">
        <v>81</v>
      </c>
      <c r="C1205" t="s">
        <v>71</v>
      </c>
      <c r="D1205" t="s">
        <v>75</v>
      </c>
      <c r="E1205" t="s">
        <v>74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75</v>
      </c>
    </row>
    <row r="1206" spans="1:20" x14ac:dyDescent="0.3">
      <c r="A1206" t="s">
        <v>32</v>
      </c>
      <c r="B1206">
        <v>37</v>
      </c>
      <c r="C1206" t="s">
        <v>71</v>
      </c>
      <c r="D1206" t="s">
        <v>74</v>
      </c>
      <c r="E1206" t="s">
        <v>75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74</v>
      </c>
    </row>
    <row r="1207" spans="1:20" x14ac:dyDescent="0.3">
      <c r="A1207" t="s">
        <v>30</v>
      </c>
      <c r="B1207">
        <v>107</v>
      </c>
      <c r="C1207" t="s">
        <v>72</v>
      </c>
      <c r="D1207" t="s">
        <v>74</v>
      </c>
      <c r="E1207" t="s">
        <v>75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74</v>
      </c>
    </row>
    <row r="1208" spans="1:20" x14ac:dyDescent="0.3">
      <c r="A1208" t="s">
        <v>30</v>
      </c>
      <c r="B1208">
        <v>127</v>
      </c>
      <c r="C1208" t="s">
        <v>71</v>
      </c>
      <c r="D1208" t="s">
        <v>75</v>
      </c>
      <c r="E1208" t="s">
        <v>75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74</v>
      </c>
    </row>
    <row r="1209" spans="1:20" x14ac:dyDescent="0.3">
      <c r="A1209" t="s">
        <v>41</v>
      </c>
      <c r="B1209">
        <v>78</v>
      </c>
      <c r="C1209" t="s">
        <v>73</v>
      </c>
      <c r="D1209" t="s">
        <v>74</v>
      </c>
      <c r="E1209" t="s">
        <v>74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74</v>
      </c>
    </row>
    <row r="1210" spans="1:20" x14ac:dyDescent="0.3">
      <c r="A1210" t="s">
        <v>52</v>
      </c>
      <c r="B1210">
        <v>55</v>
      </c>
      <c r="C1210" t="s">
        <v>72</v>
      </c>
      <c r="D1210" t="s">
        <v>74</v>
      </c>
      <c r="E1210" t="s">
        <v>74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74</v>
      </c>
    </row>
    <row r="1211" spans="1:20" x14ac:dyDescent="0.3">
      <c r="A1211" t="s">
        <v>50</v>
      </c>
      <c r="B1211">
        <v>86</v>
      </c>
      <c r="C1211" t="s">
        <v>71</v>
      </c>
      <c r="D1211" t="s">
        <v>74</v>
      </c>
      <c r="E1211" t="s">
        <v>75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74</v>
      </c>
    </row>
    <row r="1212" spans="1:20" x14ac:dyDescent="0.3">
      <c r="A1212" t="s">
        <v>55</v>
      </c>
      <c r="B1212">
        <v>176</v>
      </c>
      <c r="C1212" t="s">
        <v>71</v>
      </c>
      <c r="D1212" t="s">
        <v>74</v>
      </c>
      <c r="E1212" t="s">
        <v>74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74</v>
      </c>
    </row>
    <row r="1213" spans="1:20" x14ac:dyDescent="0.3">
      <c r="A1213" t="s">
        <v>21</v>
      </c>
      <c r="B1213">
        <v>96</v>
      </c>
      <c r="C1213" t="s">
        <v>71</v>
      </c>
      <c r="D1213" t="s">
        <v>75</v>
      </c>
      <c r="E1213" t="s">
        <v>74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74</v>
      </c>
    </row>
    <row r="1214" spans="1:20" x14ac:dyDescent="0.3">
      <c r="A1214" t="s">
        <v>65</v>
      </c>
      <c r="B1214">
        <v>11</v>
      </c>
      <c r="C1214" t="s">
        <v>72</v>
      </c>
      <c r="D1214" t="s">
        <v>74</v>
      </c>
      <c r="E1214" t="s">
        <v>75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74</v>
      </c>
    </row>
    <row r="1215" spans="1:20" x14ac:dyDescent="0.3">
      <c r="A1215" t="s">
        <v>65</v>
      </c>
      <c r="B1215">
        <v>48</v>
      </c>
      <c r="C1215" t="s">
        <v>71</v>
      </c>
      <c r="D1215" t="s">
        <v>74</v>
      </c>
      <c r="E1215" t="s">
        <v>75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74</v>
      </c>
    </row>
    <row r="1216" spans="1:20" x14ac:dyDescent="0.3">
      <c r="A1216" t="s">
        <v>28</v>
      </c>
      <c r="B1216">
        <v>127</v>
      </c>
      <c r="C1216" t="s">
        <v>72</v>
      </c>
      <c r="D1216" t="s">
        <v>74</v>
      </c>
      <c r="E1216" t="s">
        <v>74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74</v>
      </c>
    </row>
    <row r="1217" spans="1:20" x14ac:dyDescent="0.3">
      <c r="A1217" t="s">
        <v>40</v>
      </c>
      <c r="B1217">
        <v>79</v>
      </c>
      <c r="C1217" t="s">
        <v>72</v>
      </c>
      <c r="D1217" t="s">
        <v>74</v>
      </c>
      <c r="E1217" t="s">
        <v>74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74</v>
      </c>
    </row>
    <row r="1218" spans="1:20" x14ac:dyDescent="0.3">
      <c r="A1218" t="s">
        <v>40</v>
      </c>
      <c r="B1218">
        <v>83</v>
      </c>
      <c r="C1218" t="s">
        <v>72</v>
      </c>
      <c r="D1218" t="s">
        <v>74</v>
      </c>
      <c r="E1218" t="s">
        <v>75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74</v>
      </c>
    </row>
    <row r="1219" spans="1:20" x14ac:dyDescent="0.3">
      <c r="A1219" t="s">
        <v>64</v>
      </c>
      <c r="B1219">
        <v>60</v>
      </c>
      <c r="C1219" t="s">
        <v>72</v>
      </c>
      <c r="D1219" t="s">
        <v>74</v>
      </c>
      <c r="E1219" t="s">
        <v>74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74</v>
      </c>
    </row>
    <row r="1220" spans="1:20" x14ac:dyDescent="0.3">
      <c r="A1220" t="s">
        <v>23</v>
      </c>
      <c r="B1220">
        <v>122</v>
      </c>
      <c r="C1220" t="s">
        <v>71</v>
      </c>
      <c r="D1220" t="s">
        <v>74</v>
      </c>
      <c r="E1220" t="s">
        <v>74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74</v>
      </c>
    </row>
    <row r="1221" spans="1:20" x14ac:dyDescent="0.3">
      <c r="A1221" t="s">
        <v>41</v>
      </c>
      <c r="B1221">
        <v>136</v>
      </c>
      <c r="C1221" t="s">
        <v>73</v>
      </c>
      <c r="D1221" t="s">
        <v>74</v>
      </c>
      <c r="E1221" t="s">
        <v>74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74</v>
      </c>
    </row>
    <row r="1222" spans="1:20" x14ac:dyDescent="0.3">
      <c r="A1222" t="s">
        <v>66</v>
      </c>
      <c r="B1222">
        <v>172</v>
      </c>
      <c r="C1222" t="s">
        <v>73</v>
      </c>
      <c r="D1222" t="s">
        <v>74</v>
      </c>
      <c r="E1222" t="s">
        <v>75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74</v>
      </c>
    </row>
    <row r="1223" spans="1:20" x14ac:dyDescent="0.3">
      <c r="A1223" t="s">
        <v>65</v>
      </c>
      <c r="B1223">
        <v>79</v>
      </c>
      <c r="C1223" t="s">
        <v>71</v>
      </c>
      <c r="D1223" t="s">
        <v>74</v>
      </c>
      <c r="E1223" t="s">
        <v>74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74</v>
      </c>
    </row>
    <row r="1224" spans="1:20" x14ac:dyDescent="0.3">
      <c r="A1224" t="s">
        <v>29</v>
      </c>
      <c r="B1224">
        <v>55</v>
      </c>
      <c r="C1224" t="s">
        <v>72</v>
      </c>
      <c r="D1224" t="s">
        <v>74</v>
      </c>
      <c r="E1224" t="s">
        <v>75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74</v>
      </c>
    </row>
    <row r="1225" spans="1:20" x14ac:dyDescent="0.3">
      <c r="A1225" t="s">
        <v>26</v>
      </c>
      <c r="B1225">
        <v>111</v>
      </c>
      <c r="C1225" t="s">
        <v>71</v>
      </c>
      <c r="D1225" t="s">
        <v>74</v>
      </c>
      <c r="E1225" t="s">
        <v>75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74</v>
      </c>
    </row>
    <row r="1226" spans="1:20" x14ac:dyDescent="0.3">
      <c r="A1226" t="s">
        <v>27</v>
      </c>
      <c r="B1226">
        <v>160</v>
      </c>
      <c r="C1226" t="s">
        <v>71</v>
      </c>
      <c r="D1226" t="s">
        <v>74</v>
      </c>
      <c r="E1226" t="s">
        <v>74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74</v>
      </c>
    </row>
    <row r="1227" spans="1:20" x14ac:dyDescent="0.3">
      <c r="A1227" t="s">
        <v>39</v>
      </c>
      <c r="B1227">
        <v>110</v>
      </c>
      <c r="C1227" t="s">
        <v>71</v>
      </c>
      <c r="D1227" t="s">
        <v>74</v>
      </c>
      <c r="E1227" t="s">
        <v>74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74</v>
      </c>
    </row>
    <row r="1228" spans="1:20" x14ac:dyDescent="0.3">
      <c r="A1228" t="s">
        <v>33</v>
      </c>
      <c r="B1228">
        <v>192</v>
      </c>
      <c r="C1228" t="s">
        <v>71</v>
      </c>
      <c r="D1228" t="s">
        <v>74</v>
      </c>
      <c r="E1228" t="s">
        <v>74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74</v>
      </c>
    </row>
    <row r="1229" spans="1:20" x14ac:dyDescent="0.3">
      <c r="A1229" t="s">
        <v>68</v>
      </c>
      <c r="B1229">
        <v>93</v>
      </c>
      <c r="C1229" t="s">
        <v>73</v>
      </c>
      <c r="D1229" t="s">
        <v>74</v>
      </c>
      <c r="E1229" t="s">
        <v>74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74</v>
      </c>
    </row>
    <row r="1230" spans="1:20" x14ac:dyDescent="0.3">
      <c r="A1230" t="s">
        <v>50</v>
      </c>
      <c r="B1230">
        <v>77</v>
      </c>
      <c r="C1230" t="s">
        <v>72</v>
      </c>
      <c r="D1230" t="s">
        <v>74</v>
      </c>
      <c r="E1230" t="s">
        <v>74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74</v>
      </c>
    </row>
    <row r="1231" spans="1:20" x14ac:dyDescent="0.3">
      <c r="A1231" t="s">
        <v>42</v>
      </c>
      <c r="B1231">
        <v>105</v>
      </c>
      <c r="C1231" t="s">
        <v>71</v>
      </c>
      <c r="D1231" t="s">
        <v>74</v>
      </c>
      <c r="E1231" t="s">
        <v>75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74</v>
      </c>
    </row>
    <row r="1232" spans="1:20" x14ac:dyDescent="0.3">
      <c r="A1232" t="s">
        <v>42</v>
      </c>
      <c r="B1232">
        <v>133</v>
      </c>
      <c r="C1232" t="s">
        <v>73</v>
      </c>
      <c r="D1232" t="s">
        <v>74</v>
      </c>
      <c r="E1232" t="s">
        <v>75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75</v>
      </c>
    </row>
    <row r="1233" spans="1:20" x14ac:dyDescent="0.3">
      <c r="A1233" t="s">
        <v>37</v>
      </c>
      <c r="B1233">
        <v>131</v>
      </c>
      <c r="C1233" t="s">
        <v>73</v>
      </c>
      <c r="D1233" t="s">
        <v>74</v>
      </c>
      <c r="E1233" t="s">
        <v>74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74</v>
      </c>
    </row>
    <row r="1234" spans="1:20" x14ac:dyDescent="0.3">
      <c r="A1234" t="s">
        <v>67</v>
      </c>
      <c r="B1234">
        <v>118</v>
      </c>
      <c r="C1234" t="s">
        <v>71</v>
      </c>
      <c r="D1234" t="s">
        <v>74</v>
      </c>
      <c r="E1234" t="s">
        <v>74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74</v>
      </c>
    </row>
    <row r="1235" spans="1:20" x14ac:dyDescent="0.3">
      <c r="A1235" t="s">
        <v>49</v>
      </c>
      <c r="B1235">
        <v>125</v>
      </c>
      <c r="C1235" t="s">
        <v>73</v>
      </c>
      <c r="D1235" t="s">
        <v>74</v>
      </c>
      <c r="E1235" t="s">
        <v>74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74</v>
      </c>
    </row>
    <row r="1236" spans="1:20" x14ac:dyDescent="0.3">
      <c r="A1236" t="s">
        <v>50</v>
      </c>
      <c r="B1236">
        <v>95</v>
      </c>
      <c r="C1236" t="s">
        <v>71</v>
      </c>
      <c r="D1236" t="s">
        <v>74</v>
      </c>
      <c r="E1236" t="s">
        <v>74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74</v>
      </c>
    </row>
    <row r="1237" spans="1:20" x14ac:dyDescent="0.3">
      <c r="A1237" t="s">
        <v>57</v>
      </c>
      <c r="B1237">
        <v>80</v>
      </c>
      <c r="C1237" t="s">
        <v>71</v>
      </c>
      <c r="D1237" t="s">
        <v>74</v>
      </c>
      <c r="E1237" t="s">
        <v>74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74</v>
      </c>
    </row>
    <row r="1238" spans="1:20" x14ac:dyDescent="0.3">
      <c r="A1238" t="s">
        <v>43</v>
      </c>
      <c r="B1238">
        <v>145</v>
      </c>
      <c r="C1238" t="s">
        <v>73</v>
      </c>
      <c r="D1238" t="s">
        <v>74</v>
      </c>
      <c r="E1238" t="s">
        <v>74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74</v>
      </c>
    </row>
    <row r="1239" spans="1:20" x14ac:dyDescent="0.3">
      <c r="A1239" t="s">
        <v>33</v>
      </c>
      <c r="B1239">
        <v>37</v>
      </c>
      <c r="C1239" t="s">
        <v>73</v>
      </c>
      <c r="D1239" t="s">
        <v>74</v>
      </c>
      <c r="E1239" t="s">
        <v>74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74</v>
      </c>
    </row>
    <row r="1240" spans="1:20" x14ac:dyDescent="0.3">
      <c r="A1240" t="s">
        <v>29</v>
      </c>
      <c r="B1240">
        <v>87</v>
      </c>
      <c r="C1240" t="s">
        <v>71</v>
      </c>
      <c r="D1240" t="s">
        <v>74</v>
      </c>
      <c r="E1240" t="s">
        <v>74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74</v>
      </c>
    </row>
    <row r="1241" spans="1:20" x14ac:dyDescent="0.3">
      <c r="A1241" t="s">
        <v>42</v>
      </c>
      <c r="B1241">
        <v>195</v>
      </c>
      <c r="C1241" t="s">
        <v>71</v>
      </c>
      <c r="D1241" t="s">
        <v>74</v>
      </c>
      <c r="E1241" t="s">
        <v>74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74</v>
      </c>
    </row>
    <row r="1242" spans="1:20" x14ac:dyDescent="0.3">
      <c r="A1242" t="s">
        <v>55</v>
      </c>
      <c r="B1242">
        <v>123</v>
      </c>
      <c r="C1242" t="s">
        <v>71</v>
      </c>
      <c r="D1242" t="s">
        <v>74</v>
      </c>
      <c r="E1242" t="s">
        <v>75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74</v>
      </c>
    </row>
    <row r="1243" spans="1:20" x14ac:dyDescent="0.3">
      <c r="A1243" t="s">
        <v>39</v>
      </c>
      <c r="B1243">
        <v>41</v>
      </c>
      <c r="C1243" t="s">
        <v>71</v>
      </c>
      <c r="D1243" t="s">
        <v>74</v>
      </c>
      <c r="E1243" t="s">
        <v>75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74</v>
      </c>
    </row>
    <row r="1244" spans="1:20" x14ac:dyDescent="0.3">
      <c r="A1244" t="s">
        <v>49</v>
      </c>
      <c r="B1244">
        <v>76</v>
      </c>
      <c r="C1244" t="s">
        <v>71</v>
      </c>
      <c r="D1244" t="s">
        <v>75</v>
      </c>
      <c r="E1244" t="s">
        <v>74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75</v>
      </c>
    </row>
    <row r="1245" spans="1:20" x14ac:dyDescent="0.3">
      <c r="A1245" t="s">
        <v>25</v>
      </c>
      <c r="B1245">
        <v>86</v>
      </c>
      <c r="C1245" t="s">
        <v>71</v>
      </c>
      <c r="D1245" t="s">
        <v>75</v>
      </c>
      <c r="E1245" t="s">
        <v>74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74</v>
      </c>
    </row>
    <row r="1246" spans="1:20" x14ac:dyDescent="0.3">
      <c r="A1246" t="s">
        <v>47</v>
      </c>
      <c r="B1246">
        <v>140</v>
      </c>
      <c r="C1246" t="s">
        <v>73</v>
      </c>
      <c r="D1246" t="s">
        <v>74</v>
      </c>
      <c r="E1246" t="s">
        <v>74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74</v>
      </c>
    </row>
    <row r="1247" spans="1:20" x14ac:dyDescent="0.3">
      <c r="A1247" t="s">
        <v>48</v>
      </c>
      <c r="B1247">
        <v>70</v>
      </c>
      <c r="C1247" t="s">
        <v>71</v>
      </c>
      <c r="D1247" t="s">
        <v>74</v>
      </c>
      <c r="E1247" t="s">
        <v>74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74</v>
      </c>
    </row>
    <row r="1248" spans="1:20" x14ac:dyDescent="0.3">
      <c r="A1248" t="s">
        <v>46</v>
      </c>
      <c r="B1248">
        <v>121</v>
      </c>
      <c r="C1248" t="s">
        <v>72</v>
      </c>
      <c r="D1248" t="s">
        <v>74</v>
      </c>
      <c r="E1248" t="s">
        <v>75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74</v>
      </c>
    </row>
    <row r="1249" spans="1:20" x14ac:dyDescent="0.3">
      <c r="A1249" t="s">
        <v>55</v>
      </c>
      <c r="B1249">
        <v>112</v>
      </c>
      <c r="C1249" t="s">
        <v>71</v>
      </c>
      <c r="D1249" t="s">
        <v>74</v>
      </c>
      <c r="E1249" t="s">
        <v>74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74</v>
      </c>
    </row>
    <row r="1250" spans="1:20" x14ac:dyDescent="0.3">
      <c r="A1250" t="s">
        <v>67</v>
      </c>
      <c r="B1250">
        <v>118</v>
      </c>
      <c r="C1250" t="s">
        <v>71</v>
      </c>
      <c r="D1250" t="s">
        <v>74</v>
      </c>
      <c r="E1250" t="s">
        <v>74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74</v>
      </c>
    </row>
    <row r="1251" spans="1:20" x14ac:dyDescent="0.3">
      <c r="A1251" t="s">
        <v>28</v>
      </c>
      <c r="B1251">
        <v>66</v>
      </c>
      <c r="C1251" t="s">
        <v>71</v>
      </c>
      <c r="D1251" t="s">
        <v>74</v>
      </c>
      <c r="E1251" t="s">
        <v>75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74</v>
      </c>
    </row>
    <row r="1252" spans="1:20" x14ac:dyDescent="0.3">
      <c r="A1252" t="s">
        <v>49</v>
      </c>
      <c r="B1252">
        <v>129</v>
      </c>
      <c r="C1252" t="s">
        <v>71</v>
      </c>
      <c r="D1252" t="s">
        <v>74</v>
      </c>
      <c r="E1252" t="s">
        <v>75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74</v>
      </c>
    </row>
    <row r="1253" spans="1:20" x14ac:dyDescent="0.3">
      <c r="A1253" t="s">
        <v>58</v>
      </c>
      <c r="B1253">
        <v>6</v>
      </c>
      <c r="C1253" t="s">
        <v>73</v>
      </c>
      <c r="D1253" t="s">
        <v>74</v>
      </c>
      <c r="E1253" t="s">
        <v>74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74</v>
      </c>
    </row>
    <row r="1254" spans="1:20" x14ac:dyDescent="0.3">
      <c r="A1254" t="s">
        <v>68</v>
      </c>
      <c r="B1254">
        <v>107</v>
      </c>
      <c r="C1254" t="s">
        <v>72</v>
      </c>
      <c r="D1254" t="s">
        <v>75</v>
      </c>
      <c r="E1254" t="s">
        <v>74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74</v>
      </c>
    </row>
    <row r="1255" spans="1:20" x14ac:dyDescent="0.3">
      <c r="A1255" t="s">
        <v>62</v>
      </c>
      <c r="B1255">
        <v>107</v>
      </c>
      <c r="C1255" t="s">
        <v>71</v>
      </c>
      <c r="D1255" t="s">
        <v>75</v>
      </c>
      <c r="E1255" t="s">
        <v>74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75</v>
      </c>
    </row>
    <row r="1256" spans="1:20" x14ac:dyDescent="0.3">
      <c r="A1256" t="s">
        <v>57</v>
      </c>
      <c r="B1256">
        <v>138</v>
      </c>
      <c r="C1256" t="s">
        <v>71</v>
      </c>
      <c r="D1256" t="s">
        <v>74</v>
      </c>
      <c r="E1256" t="s">
        <v>74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74</v>
      </c>
    </row>
    <row r="1257" spans="1:20" x14ac:dyDescent="0.3">
      <c r="A1257" t="s">
        <v>54</v>
      </c>
      <c r="B1257">
        <v>103</v>
      </c>
      <c r="C1257" t="s">
        <v>72</v>
      </c>
      <c r="D1257" t="s">
        <v>74</v>
      </c>
      <c r="E1257" t="s">
        <v>74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74</v>
      </c>
    </row>
    <row r="1258" spans="1:20" x14ac:dyDescent="0.3">
      <c r="A1258" t="s">
        <v>42</v>
      </c>
      <c r="B1258">
        <v>116</v>
      </c>
      <c r="C1258" t="s">
        <v>71</v>
      </c>
      <c r="D1258" t="s">
        <v>74</v>
      </c>
      <c r="E1258" t="s">
        <v>75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74</v>
      </c>
    </row>
    <row r="1259" spans="1:20" x14ac:dyDescent="0.3">
      <c r="A1259" t="s">
        <v>68</v>
      </c>
      <c r="B1259">
        <v>161</v>
      </c>
      <c r="C1259" t="s">
        <v>71</v>
      </c>
      <c r="D1259" t="s">
        <v>74</v>
      </c>
      <c r="E1259" t="s">
        <v>74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74</v>
      </c>
    </row>
    <row r="1260" spans="1:20" x14ac:dyDescent="0.3">
      <c r="A1260" t="s">
        <v>69</v>
      </c>
      <c r="B1260">
        <v>1</v>
      </c>
      <c r="C1260" t="s">
        <v>71</v>
      </c>
      <c r="D1260" t="s">
        <v>74</v>
      </c>
      <c r="E1260" t="s">
        <v>74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74</v>
      </c>
    </row>
    <row r="1261" spans="1:20" x14ac:dyDescent="0.3">
      <c r="A1261" t="s">
        <v>45</v>
      </c>
      <c r="B1261">
        <v>89</v>
      </c>
      <c r="C1261" t="s">
        <v>73</v>
      </c>
      <c r="D1261" t="s">
        <v>74</v>
      </c>
      <c r="E1261" t="s">
        <v>74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74</v>
      </c>
    </row>
    <row r="1262" spans="1:20" x14ac:dyDescent="0.3">
      <c r="A1262" t="s">
        <v>38</v>
      </c>
      <c r="B1262">
        <v>64</v>
      </c>
      <c r="C1262" t="s">
        <v>73</v>
      </c>
      <c r="D1262" t="s">
        <v>74</v>
      </c>
      <c r="E1262" t="s">
        <v>74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74</v>
      </c>
    </row>
    <row r="1263" spans="1:20" x14ac:dyDescent="0.3">
      <c r="A1263" t="s">
        <v>22</v>
      </c>
      <c r="B1263">
        <v>129</v>
      </c>
      <c r="C1263" t="s">
        <v>71</v>
      </c>
      <c r="D1263" t="s">
        <v>74</v>
      </c>
      <c r="E1263" t="s">
        <v>74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74</v>
      </c>
    </row>
    <row r="1264" spans="1:20" x14ac:dyDescent="0.3">
      <c r="A1264" t="s">
        <v>23</v>
      </c>
      <c r="B1264">
        <v>128</v>
      </c>
      <c r="C1264" t="s">
        <v>72</v>
      </c>
      <c r="D1264" t="s">
        <v>74</v>
      </c>
      <c r="E1264" t="s">
        <v>75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74</v>
      </c>
    </row>
    <row r="1265" spans="1:20" x14ac:dyDescent="0.3">
      <c r="A1265" t="s">
        <v>26</v>
      </c>
      <c r="B1265">
        <v>81</v>
      </c>
      <c r="C1265" t="s">
        <v>71</v>
      </c>
      <c r="D1265" t="s">
        <v>74</v>
      </c>
      <c r="E1265" t="s">
        <v>75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74</v>
      </c>
    </row>
    <row r="1266" spans="1:20" x14ac:dyDescent="0.3">
      <c r="A1266" t="s">
        <v>57</v>
      </c>
      <c r="B1266">
        <v>114</v>
      </c>
      <c r="C1266" t="s">
        <v>72</v>
      </c>
      <c r="D1266" t="s">
        <v>74</v>
      </c>
      <c r="E1266" t="s">
        <v>74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74</v>
      </c>
    </row>
    <row r="1267" spans="1:20" x14ac:dyDescent="0.3">
      <c r="A1267" t="s">
        <v>65</v>
      </c>
      <c r="B1267">
        <v>86</v>
      </c>
      <c r="C1267" t="s">
        <v>71</v>
      </c>
      <c r="D1267" t="s">
        <v>74</v>
      </c>
      <c r="E1267" t="s">
        <v>74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74</v>
      </c>
    </row>
    <row r="1268" spans="1:20" x14ac:dyDescent="0.3">
      <c r="A1268" t="s">
        <v>29</v>
      </c>
      <c r="B1268">
        <v>96</v>
      </c>
      <c r="C1268" t="s">
        <v>73</v>
      </c>
      <c r="D1268" t="s">
        <v>74</v>
      </c>
      <c r="E1268" t="s">
        <v>74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74</v>
      </c>
    </row>
    <row r="1269" spans="1:20" x14ac:dyDescent="0.3">
      <c r="A1269" t="s">
        <v>48</v>
      </c>
      <c r="B1269">
        <v>72</v>
      </c>
      <c r="C1269" t="s">
        <v>72</v>
      </c>
      <c r="D1269" t="s">
        <v>74</v>
      </c>
      <c r="E1269" t="s">
        <v>74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74</v>
      </c>
    </row>
    <row r="1270" spans="1:20" x14ac:dyDescent="0.3">
      <c r="A1270" t="s">
        <v>43</v>
      </c>
      <c r="B1270">
        <v>64</v>
      </c>
      <c r="C1270" t="s">
        <v>72</v>
      </c>
      <c r="D1270" t="s">
        <v>74</v>
      </c>
      <c r="E1270" t="s">
        <v>75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74</v>
      </c>
    </row>
    <row r="1271" spans="1:20" x14ac:dyDescent="0.3">
      <c r="A1271" t="s">
        <v>61</v>
      </c>
      <c r="B1271">
        <v>65</v>
      </c>
      <c r="C1271" t="s">
        <v>72</v>
      </c>
      <c r="D1271" t="s">
        <v>74</v>
      </c>
      <c r="E1271" t="s">
        <v>74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74</v>
      </c>
    </row>
    <row r="1272" spans="1:20" x14ac:dyDescent="0.3">
      <c r="A1272" t="s">
        <v>49</v>
      </c>
      <c r="B1272">
        <v>136</v>
      </c>
      <c r="C1272" t="s">
        <v>71</v>
      </c>
      <c r="D1272" t="s">
        <v>74</v>
      </c>
      <c r="E1272" t="s">
        <v>74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74</v>
      </c>
    </row>
    <row r="1273" spans="1:20" x14ac:dyDescent="0.3">
      <c r="A1273" t="s">
        <v>32</v>
      </c>
      <c r="B1273">
        <v>116</v>
      </c>
      <c r="C1273" t="s">
        <v>73</v>
      </c>
      <c r="D1273" t="s">
        <v>74</v>
      </c>
      <c r="E1273" t="s">
        <v>74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74</v>
      </c>
    </row>
    <row r="1274" spans="1:20" x14ac:dyDescent="0.3">
      <c r="A1274" t="s">
        <v>24</v>
      </c>
      <c r="B1274">
        <v>93</v>
      </c>
      <c r="C1274" t="s">
        <v>73</v>
      </c>
      <c r="D1274" t="s">
        <v>74</v>
      </c>
      <c r="E1274" t="s">
        <v>74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74</v>
      </c>
    </row>
    <row r="1275" spans="1:20" x14ac:dyDescent="0.3">
      <c r="A1275" t="s">
        <v>32</v>
      </c>
      <c r="B1275">
        <v>142</v>
      </c>
      <c r="C1275" t="s">
        <v>72</v>
      </c>
      <c r="D1275" t="s">
        <v>74</v>
      </c>
      <c r="E1275" t="s">
        <v>75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74</v>
      </c>
    </row>
    <row r="1276" spans="1:20" x14ac:dyDescent="0.3">
      <c r="A1276" t="s">
        <v>38</v>
      </c>
      <c r="B1276">
        <v>92</v>
      </c>
      <c r="C1276" t="s">
        <v>73</v>
      </c>
      <c r="D1276" t="s">
        <v>74</v>
      </c>
      <c r="E1276" t="s">
        <v>74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74</v>
      </c>
    </row>
    <row r="1277" spans="1:20" x14ac:dyDescent="0.3">
      <c r="A1277" t="s">
        <v>67</v>
      </c>
      <c r="B1277">
        <v>70</v>
      </c>
      <c r="C1277" t="s">
        <v>71</v>
      </c>
      <c r="D1277" t="s">
        <v>74</v>
      </c>
      <c r="E1277" t="s">
        <v>74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74</v>
      </c>
    </row>
    <row r="1278" spans="1:20" x14ac:dyDescent="0.3">
      <c r="A1278" t="s">
        <v>37</v>
      </c>
      <c r="B1278">
        <v>22</v>
      </c>
      <c r="C1278" t="s">
        <v>73</v>
      </c>
      <c r="D1278" t="s">
        <v>74</v>
      </c>
      <c r="E1278" t="s">
        <v>75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74</v>
      </c>
    </row>
    <row r="1279" spans="1:20" x14ac:dyDescent="0.3">
      <c r="A1279" t="s">
        <v>68</v>
      </c>
      <c r="B1279">
        <v>37</v>
      </c>
      <c r="C1279" t="s">
        <v>71</v>
      </c>
      <c r="D1279" t="s">
        <v>74</v>
      </c>
      <c r="E1279" t="s">
        <v>74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74</v>
      </c>
    </row>
    <row r="1280" spans="1:20" x14ac:dyDescent="0.3">
      <c r="A1280" t="s">
        <v>36</v>
      </c>
      <c r="B1280">
        <v>51</v>
      </c>
      <c r="C1280" t="s">
        <v>71</v>
      </c>
      <c r="D1280" t="s">
        <v>74</v>
      </c>
      <c r="E1280" t="s">
        <v>74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74</v>
      </c>
    </row>
    <row r="1281" spans="1:20" x14ac:dyDescent="0.3">
      <c r="A1281" t="s">
        <v>39</v>
      </c>
      <c r="B1281">
        <v>130</v>
      </c>
      <c r="C1281" t="s">
        <v>71</v>
      </c>
      <c r="D1281" t="s">
        <v>74</v>
      </c>
      <c r="E1281" t="s">
        <v>74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74</v>
      </c>
    </row>
    <row r="1282" spans="1:20" x14ac:dyDescent="0.3">
      <c r="A1282" t="s">
        <v>41</v>
      </c>
      <c r="B1282">
        <v>104</v>
      </c>
      <c r="C1282" t="s">
        <v>71</v>
      </c>
      <c r="D1282" t="s">
        <v>74</v>
      </c>
      <c r="E1282" t="s">
        <v>74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74</v>
      </c>
    </row>
    <row r="1283" spans="1:20" x14ac:dyDescent="0.3">
      <c r="A1283" t="s">
        <v>54</v>
      </c>
      <c r="B1283">
        <v>134</v>
      </c>
      <c r="C1283" t="s">
        <v>73</v>
      </c>
      <c r="D1283" t="s">
        <v>74</v>
      </c>
      <c r="E1283" t="s">
        <v>74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74</v>
      </c>
    </row>
    <row r="1284" spans="1:20" x14ac:dyDescent="0.3">
      <c r="A1284" t="s">
        <v>70</v>
      </c>
      <c r="B1284">
        <v>108</v>
      </c>
      <c r="C1284" t="s">
        <v>71</v>
      </c>
      <c r="D1284" t="s">
        <v>74</v>
      </c>
      <c r="E1284" t="s">
        <v>75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74</v>
      </c>
    </row>
    <row r="1285" spans="1:20" x14ac:dyDescent="0.3">
      <c r="A1285" t="s">
        <v>52</v>
      </c>
      <c r="B1285">
        <v>103</v>
      </c>
      <c r="C1285" t="s">
        <v>71</v>
      </c>
      <c r="D1285" t="s">
        <v>74</v>
      </c>
      <c r="E1285" t="s">
        <v>74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74</v>
      </c>
    </row>
    <row r="1286" spans="1:20" x14ac:dyDescent="0.3">
      <c r="A1286" t="s">
        <v>64</v>
      </c>
      <c r="B1286">
        <v>62</v>
      </c>
      <c r="C1286" t="s">
        <v>72</v>
      </c>
      <c r="D1286" t="s">
        <v>74</v>
      </c>
      <c r="E1286" t="s">
        <v>74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74</v>
      </c>
    </row>
    <row r="1287" spans="1:20" x14ac:dyDescent="0.3">
      <c r="A1287" t="s">
        <v>68</v>
      </c>
      <c r="B1287">
        <v>162</v>
      </c>
      <c r="C1287" t="s">
        <v>71</v>
      </c>
      <c r="D1287" t="s">
        <v>74</v>
      </c>
      <c r="E1287" t="s">
        <v>74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74</v>
      </c>
    </row>
    <row r="1288" spans="1:20" x14ac:dyDescent="0.3">
      <c r="A1288" t="s">
        <v>29</v>
      </c>
      <c r="B1288">
        <v>42</v>
      </c>
      <c r="C1288" t="s">
        <v>71</v>
      </c>
      <c r="D1288" t="s">
        <v>74</v>
      </c>
      <c r="E1288" t="s">
        <v>74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74</v>
      </c>
    </row>
    <row r="1289" spans="1:20" x14ac:dyDescent="0.3">
      <c r="A1289" t="s">
        <v>22</v>
      </c>
      <c r="B1289">
        <v>36</v>
      </c>
      <c r="C1289" t="s">
        <v>72</v>
      </c>
      <c r="D1289" t="s">
        <v>74</v>
      </c>
      <c r="E1289" t="s">
        <v>74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74</v>
      </c>
    </row>
    <row r="1290" spans="1:20" x14ac:dyDescent="0.3">
      <c r="A1290" t="s">
        <v>61</v>
      </c>
      <c r="B1290">
        <v>143</v>
      </c>
      <c r="C1290" t="s">
        <v>71</v>
      </c>
      <c r="D1290" t="s">
        <v>74</v>
      </c>
      <c r="E1290" t="s">
        <v>74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75</v>
      </c>
    </row>
    <row r="1291" spans="1:20" x14ac:dyDescent="0.3">
      <c r="A1291" t="s">
        <v>28</v>
      </c>
      <c r="B1291">
        <v>197</v>
      </c>
      <c r="C1291" t="s">
        <v>72</v>
      </c>
      <c r="D1291" t="s">
        <v>74</v>
      </c>
      <c r="E1291" t="s">
        <v>74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74</v>
      </c>
    </row>
    <row r="1292" spans="1:20" x14ac:dyDescent="0.3">
      <c r="A1292" t="s">
        <v>22</v>
      </c>
      <c r="B1292">
        <v>81</v>
      </c>
      <c r="C1292" t="s">
        <v>72</v>
      </c>
      <c r="D1292" t="s">
        <v>74</v>
      </c>
      <c r="E1292" t="s">
        <v>74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75</v>
      </c>
    </row>
    <row r="1293" spans="1:20" x14ac:dyDescent="0.3">
      <c r="A1293" t="s">
        <v>45</v>
      </c>
      <c r="B1293">
        <v>138</v>
      </c>
      <c r="C1293" t="s">
        <v>72</v>
      </c>
      <c r="D1293" t="s">
        <v>75</v>
      </c>
      <c r="E1293" t="s">
        <v>74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75</v>
      </c>
    </row>
    <row r="1294" spans="1:20" x14ac:dyDescent="0.3">
      <c r="A1294" t="s">
        <v>60</v>
      </c>
      <c r="B1294">
        <v>103</v>
      </c>
      <c r="C1294" t="s">
        <v>71</v>
      </c>
      <c r="D1294" t="s">
        <v>74</v>
      </c>
      <c r="E1294" t="s">
        <v>75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75</v>
      </c>
    </row>
    <row r="1295" spans="1:20" x14ac:dyDescent="0.3">
      <c r="A1295" t="s">
        <v>30</v>
      </c>
      <c r="B1295">
        <v>127</v>
      </c>
      <c r="C1295" t="s">
        <v>72</v>
      </c>
      <c r="D1295" t="s">
        <v>75</v>
      </c>
      <c r="E1295" t="s">
        <v>74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75</v>
      </c>
    </row>
    <row r="1296" spans="1:20" x14ac:dyDescent="0.3">
      <c r="A1296" t="s">
        <v>59</v>
      </c>
      <c r="B1296">
        <v>99</v>
      </c>
      <c r="C1296" t="s">
        <v>71</v>
      </c>
      <c r="D1296" t="s">
        <v>74</v>
      </c>
      <c r="E1296" t="s">
        <v>74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74</v>
      </c>
    </row>
    <row r="1297" spans="1:20" x14ac:dyDescent="0.3">
      <c r="A1297" t="s">
        <v>62</v>
      </c>
      <c r="B1297">
        <v>95</v>
      </c>
      <c r="C1297" t="s">
        <v>71</v>
      </c>
      <c r="D1297" t="s">
        <v>74</v>
      </c>
      <c r="E1297" t="s">
        <v>74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74</v>
      </c>
    </row>
    <row r="1298" spans="1:20" x14ac:dyDescent="0.3">
      <c r="A1298" t="s">
        <v>65</v>
      </c>
      <c r="B1298">
        <v>113</v>
      </c>
      <c r="C1298" t="s">
        <v>71</v>
      </c>
      <c r="D1298" t="s">
        <v>74</v>
      </c>
      <c r="E1298" t="s">
        <v>74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75</v>
      </c>
    </row>
    <row r="1299" spans="1:20" x14ac:dyDescent="0.3">
      <c r="A1299" t="s">
        <v>47</v>
      </c>
      <c r="B1299">
        <v>128</v>
      </c>
      <c r="C1299" t="s">
        <v>73</v>
      </c>
      <c r="D1299" t="s">
        <v>75</v>
      </c>
      <c r="E1299" t="s">
        <v>74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74</v>
      </c>
    </row>
    <row r="1300" spans="1:20" x14ac:dyDescent="0.3">
      <c r="A1300" t="s">
        <v>63</v>
      </c>
      <c r="B1300">
        <v>81</v>
      </c>
      <c r="C1300" t="s">
        <v>72</v>
      </c>
      <c r="D1300" t="s">
        <v>75</v>
      </c>
      <c r="E1300" t="s">
        <v>74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74</v>
      </c>
    </row>
    <row r="1301" spans="1:20" x14ac:dyDescent="0.3">
      <c r="A1301" t="s">
        <v>62</v>
      </c>
      <c r="B1301">
        <v>57</v>
      </c>
      <c r="C1301" t="s">
        <v>72</v>
      </c>
      <c r="D1301" t="s">
        <v>74</v>
      </c>
      <c r="E1301" t="s">
        <v>74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74</v>
      </c>
    </row>
    <row r="1302" spans="1:20" x14ac:dyDescent="0.3">
      <c r="A1302" t="s">
        <v>53</v>
      </c>
      <c r="B1302">
        <v>140</v>
      </c>
      <c r="C1302" t="s">
        <v>73</v>
      </c>
      <c r="D1302" t="s">
        <v>74</v>
      </c>
      <c r="E1302" t="s">
        <v>74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74</v>
      </c>
    </row>
    <row r="1303" spans="1:20" x14ac:dyDescent="0.3">
      <c r="A1303" t="s">
        <v>49</v>
      </c>
      <c r="B1303">
        <v>102</v>
      </c>
      <c r="C1303" t="s">
        <v>71</v>
      </c>
      <c r="D1303" t="s">
        <v>74</v>
      </c>
      <c r="E1303" t="s">
        <v>74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74</v>
      </c>
    </row>
    <row r="1304" spans="1:20" x14ac:dyDescent="0.3">
      <c r="A1304" t="s">
        <v>54</v>
      </c>
      <c r="B1304">
        <v>107</v>
      </c>
      <c r="C1304" t="s">
        <v>73</v>
      </c>
      <c r="D1304" t="s">
        <v>74</v>
      </c>
      <c r="E1304" t="s">
        <v>74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74</v>
      </c>
    </row>
    <row r="1305" spans="1:20" x14ac:dyDescent="0.3">
      <c r="A1305" t="s">
        <v>43</v>
      </c>
      <c r="B1305">
        <v>106</v>
      </c>
      <c r="C1305" t="s">
        <v>73</v>
      </c>
      <c r="D1305" t="s">
        <v>74</v>
      </c>
      <c r="E1305" t="s">
        <v>74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74</v>
      </c>
    </row>
    <row r="1306" spans="1:20" x14ac:dyDescent="0.3">
      <c r="A1306" t="s">
        <v>40</v>
      </c>
      <c r="B1306">
        <v>225</v>
      </c>
      <c r="C1306" t="s">
        <v>71</v>
      </c>
      <c r="D1306" t="s">
        <v>74</v>
      </c>
      <c r="E1306" t="s">
        <v>74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75</v>
      </c>
    </row>
    <row r="1307" spans="1:20" x14ac:dyDescent="0.3">
      <c r="A1307" t="s">
        <v>56</v>
      </c>
      <c r="B1307">
        <v>75</v>
      </c>
      <c r="C1307" t="s">
        <v>73</v>
      </c>
      <c r="D1307" t="s">
        <v>74</v>
      </c>
      <c r="E1307" t="s">
        <v>74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74</v>
      </c>
    </row>
    <row r="1308" spans="1:20" x14ac:dyDescent="0.3">
      <c r="A1308" t="s">
        <v>33</v>
      </c>
      <c r="B1308">
        <v>86</v>
      </c>
      <c r="C1308" t="s">
        <v>71</v>
      </c>
      <c r="D1308" t="s">
        <v>74</v>
      </c>
      <c r="E1308" t="s">
        <v>74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74</v>
      </c>
    </row>
    <row r="1309" spans="1:20" x14ac:dyDescent="0.3">
      <c r="A1309" t="s">
        <v>29</v>
      </c>
      <c r="B1309">
        <v>169</v>
      </c>
      <c r="C1309" t="s">
        <v>71</v>
      </c>
      <c r="D1309" t="s">
        <v>74</v>
      </c>
      <c r="E1309" t="s">
        <v>74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74</v>
      </c>
    </row>
    <row r="1310" spans="1:20" x14ac:dyDescent="0.3">
      <c r="A1310" t="s">
        <v>48</v>
      </c>
      <c r="B1310">
        <v>122</v>
      </c>
      <c r="C1310" t="s">
        <v>72</v>
      </c>
      <c r="D1310" t="s">
        <v>74</v>
      </c>
      <c r="E1310" t="s">
        <v>75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74</v>
      </c>
    </row>
    <row r="1311" spans="1:20" x14ac:dyDescent="0.3">
      <c r="A1311" t="s">
        <v>39</v>
      </c>
      <c r="B1311">
        <v>106</v>
      </c>
      <c r="C1311" t="s">
        <v>73</v>
      </c>
      <c r="D1311" t="s">
        <v>74</v>
      </c>
      <c r="E1311" t="s">
        <v>74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74</v>
      </c>
    </row>
    <row r="1312" spans="1:20" x14ac:dyDescent="0.3">
      <c r="A1312" t="s">
        <v>32</v>
      </c>
      <c r="B1312">
        <v>52</v>
      </c>
      <c r="C1312" t="s">
        <v>71</v>
      </c>
      <c r="D1312" t="s">
        <v>74</v>
      </c>
      <c r="E1312" t="s">
        <v>75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74</v>
      </c>
    </row>
    <row r="1313" spans="1:20" x14ac:dyDescent="0.3">
      <c r="A1313" t="s">
        <v>45</v>
      </c>
      <c r="B1313">
        <v>79</v>
      </c>
      <c r="C1313" t="s">
        <v>71</v>
      </c>
      <c r="D1313" t="s">
        <v>74</v>
      </c>
      <c r="E1313" t="s">
        <v>75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74</v>
      </c>
    </row>
    <row r="1314" spans="1:20" x14ac:dyDescent="0.3">
      <c r="A1314" t="s">
        <v>40</v>
      </c>
      <c r="B1314">
        <v>135</v>
      </c>
      <c r="C1314" t="s">
        <v>71</v>
      </c>
      <c r="D1314" t="s">
        <v>74</v>
      </c>
      <c r="E1314" t="s">
        <v>74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74</v>
      </c>
    </row>
    <row r="1315" spans="1:20" x14ac:dyDescent="0.3">
      <c r="A1315" t="s">
        <v>53</v>
      </c>
      <c r="B1315">
        <v>70</v>
      </c>
      <c r="C1315" t="s">
        <v>73</v>
      </c>
      <c r="D1315" t="s">
        <v>74</v>
      </c>
      <c r="E1315" t="s">
        <v>74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74</v>
      </c>
    </row>
    <row r="1316" spans="1:20" x14ac:dyDescent="0.3">
      <c r="A1316" t="s">
        <v>36</v>
      </c>
      <c r="B1316">
        <v>80</v>
      </c>
      <c r="C1316" t="s">
        <v>73</v>
      </c>
      <c r="D1316" t="s">
        <v>74</v>
      </c>
      <c r="E1316" t="s">
        <v>74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74</v>
      </c>
    </row>
    <row r="1317" spans="1:20" x14ac:dyDescent="0.3">
      <c r="A1317" t="s">
        <v>60</v>
      </c>
      <c r="B1317">
        <v>37</v>
      </c>
      <c r="C1317" t="s">
        <v>71</v>
      </c>
      <c r="D1317" t="s">
        <v>74</v>
      </c>
      <c r="E1317" t="s">
        <v>74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74</v>
      </c>
    </row>
    <row r="1318" spans="1:20" x14ac:dyDescent="0.3">
      <c r="A1318" t="s">
        <v>32</v>
      </c>
      <c r="B1318">
        <v>161</v>
      </c>
      <c r="C1318" t="s">
        <v>71</v>
      </c>
      <c r="D1318" t="s">
        <v>74</v>
      </c>
      <c r="E1318" t="s">
        <v>75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74</v>
      </c>
    </row>
    <row r="1319" spans="1:20" x14ac:dyDescent="0.3">
      <c r="A1319" t="s">
        <v>23</v>
      </c>
      <c r="B1319">
        <v>137</v>
      </c>
      <c r="C1319" t="s">
        <v>72</v>
      </c>
      <c r="D1319" t="s">
        <v>74</v>
      </c>
      <c r="E1319" t="s">
        <v>74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74</v>
      </c>
    </row>
    <row r="1320" spans="1:20" x14ac:dyDescent="0.3">
      <c r="A1320" t="s">
        <v>54</v>
      </c>
      <c r="B1320">
        <v>123</v>
      </c>
      <c r="C1320" t="s">
        <v>71</v>
      </c>
      <c r="D1320" t="s">
        <v>74</v>
      </c>
      <c r="E1320" t="s">
        <v>74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74</v>
      </c>
    </row>
    <row r="1321" spans="1:20" x14ac:dyDescent="0.3">
      <c r="A1321" t="s">
        <v>65</v>
      </c>
      <c r="B1321">
        <v>80</v>
      </c>
      <c r="C1321" t="s">
        <v>71</v>
      </c>
      <c r="D1321" t="s">
        <v>74</v>
      </c>
      <c r="E1321" t="s">
        <v>75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74</v>
      </c>
    </row>
    <row r="1322" spans="1:20" x14ac:dyDescent="0.3">
      <c r="A1322" t="s">
        <v>65</v>
      </c>
      <c r="B1322">
        <v>94</v>
      </c>
      <c r="C1322" t="s">
        <v>71</v>
      </c>
      <c r="D1322" t="s">
        <v>74</v>
      </c>
      <c r="E1322" t="s">
        <v>74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74</v>
      </c>
    </row>
    <row r="1323" spans="1:20" x14ac:dyDescent="0.3">
      <c r="A1323" t="s">
        <v>24</v>
      </c>
      <c r="B1323">
        <v>105</v>
      </c>
      <c r="C1323" t="s">
        <v>71</v>
      </c>
      <c r="D1323" t="s">
        <v>74</v>
      </c>
      <c r="E1323" t="s">
        <v>75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74</v>
      </c>
    </row>
    <row r="1324" spans="1:20" x14ac:dyDescent="0.3">
      <c r="A1324" t="s">
        <v>66</v>
      </c>
      <c r="B1324">
        <v>73</v>
      </c>
      <c r="C1324" t="s">
        <v>71</v>
      </c>
      <c r="D1324" t="s">
        <v>74</v>
      </c>
      <c r="E1324" t="s">
        <v>75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74</v>
      </c>
    </row>
    <row r="1325" spans="1:20" x14ac:dyDescent="0.3">
      <c r="A1325" t="s">
        <v>24</v>
      </c>
      <c r="B1325">
        <v>112</v>
      </c>
      <c r="C1325" t="s">
        <v>71</v>
      </c>
      <c r="D1325" t="s">
        <v>74</v>
      </c>
      <c r="E1325" t="s">
        <v>74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74</v>
      </c>
    </row>
    <row r="1326" spans="1:20" x14ac:dyDescent="0.3">
      <c r="A1326" t="s">
        <v>25</v>
      </c>
      <c r="B1326">
        <v>179</v>
      </c>
      <c r="C1326" t="s">
        <v>73</v>
      </c>
      <c r="D1326" t="s">
        <v>74</v>
      </c>
      <c r="E1326" t="s">
        <v>74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74</v>
      </c>
    </row>
    <row r="1327" spans="1:20" x14ac:dyDescent="0.3">
      <c r="A1327" t="s">
        <v>36</v>
      </c>
      <c r="B1327">
        <v>57</v>
      </c>
      <c r="C1327" t="s">
        <v>72</v>
      </c>
      <c r="D1327" t="s">
        <v>74</v>
      </c>
      <c r="E1327" t="s">
        <v>74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74</v>
      </c>
    </row>
    <row r="1328" spans="1:20" x14ac:dyDescent="0.3">
      <c r="A1328" t="s">
        <v>48</v>
      </c>
      <c r="B1328">
        <v>127</v>
      </c>
      <c r="C1328" t="s">
        <v>71</v>
      </c>
      <c r="D1328" t="s">
        <v>74</v>
      </c>
      <c r="E1328" t="s">
        <v>75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74</v>
      </c>
    </row>
    <row r="1329" spans="1:20" x14ac:dyDescent="0.3">
      <c r="A1329" t="s">
        <v>56</v>
      </c>
      <c r="B1329">
        <v>122</v>
      </c>
      <c r="C1329" t="s">
        <v>71</v>
      </c>
      <c r="D1329" t="s">
        <v>75</v>
      </c>
      <c r="E1329" t="s">
        <v>75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74</v>
      </c>
    </row>
    <row r="1330" spans="1:20" x14ac:dyDescent="0.3">
      <c r="A1330" t="s">
        <v>57</v>
      </c>
      <c r="B1330">
        <v>33</v>
      </c>
      <c r="C1330" t="s">
        <v>72</v>
      </c>
      <c r="D1330" t="s">
        <v>74</v>
      </c>
      <c r="E1330" t="s">
        <v>75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74</v>
      </c>
    </row>
    <row r="1331" spans="1:20" x14ac:dyDescent="0.3">
      <c r="A1331" t="s">
        <v>23</v>
      </c>
      <c r="B1331">
        <v>94</v>
      </c>
      <c r="C1331" t="s">
        <v>73</v>
      </c>
      <c r="D1331" t="s">
        <v>74</v>
      </c>
      <c r="E1331" t="s">
        <v>74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74</v>
      </c>
    </row>
    <row r="1332" spans="1:20" x14ac:dyDescent="0.3">
      <c r="A1332" t="s">
        <v>42</v>
      </c>
      <c r="B1332">
        <v>100</v>
      </c>
      <c r="C1332" t="s">
        <v>73</v>
      </c>
      <c r="D1332" t="s">
        <v>74</v>
      </c>
      <c r="E1332" t="s">
        <v>74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74</v>
      </c>
    </row>
    <row r="1333" spans="1:20" x14ac:dyDescent="0.3">
      <c r="A1333" t="s">
        <v>67</v>
      </c>
      <c r="B1333">
        <v>106</v>
      </c>
      <c r="C1333" t="s">
        <v>71</v>
      </c>
      <c r="D1333" t="s">
        <v>74</v>
      </c>
      <c r="E1333" t="s">
        <v>74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74</v>
      </c>
    </row>
    <row r="1334" spans="1:20" x14ac:dyDescent="0.3">
      <c r="A1334" t="s">
        <v>63</v>
      </c>
      <c r="B1334">
        <v>148</v>
      </c>
      <c r="C1334" t="s">
        <v>71</v>
      </c>
      <c r="D1334" t="s">
        <v>74</v>
      </c>
      <c r="E1334" t="s">
        <v>75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74</v>
      </c>
    </row>
    <row r="1335" spans="1:20" x14ac:dyDescent="0.3">
      <c r="A1335" t="s">
        <v>31</v>
      </c>
      <c r="B1335">
        <v>120</v>
      </c>
      <c r="C1335" t="s">
        <v>71</v>
      </c>
      <c r="D1335" t="s">
        <v>74</v>
      </c>
      <c r="E1335" t="s">
        <v>75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74</v>
      </c>
    </row>
    <row r="1336" spans="1:20" x14ac:dyDescent="0.3">
      <c r="A1336" t="s">
        <v>42</v>
      </c>
      <c r="B1336">
        <v>91</v>
      </c>
      <c r="C1336" t="s">
        <v>71</v>
      </c>
      <c r="D1336" t="s">
        <v>74</v>
      </c>
      <c r="E1336" t="s">
        <v>75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74</v>
      </c>
    </row>
    <row r="1337" spans="1:20" x14ac:dyDescent="0.3">
      <c r="A1337" t="s">
        <v>41</v>
      </c>
      <c r="B1337">
        <v>86</v>
      </c>
      <c r="C1337" t="s">
        <v>72</v>
      </c>
      <c r="D1337" t="s">
        <v>74</v>
      </c>
      <c r="E1337" t="s">
        <v>74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74</v>
      </c>
    </row>
    <row r="1338" spans="1:20" x14ac:dyDescent="0.3">
      <c r="A1338" t="s">
        <v>57</v>
      </c>
      <c r="B1338">
        <v>94</v>
      </c>
      <c r="C1338" t="s">
        <v>72</v>
      </c>
      <c r="D1338" t="s">
        <v>74</v>
      </c>
      <c r="E1338" t="s">
        <v>74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74</v>
      </c>
    </row>
    <row r="1339" spans="1:20" x14ac:dyDescent="0.3">
      <c r="A1339" t="s">
        <v>28</v>
      </c>
      <c r="B1339">
        <v>85</v>
      </c>
      <c r="C1339" t="s">
        <v>71</v>
      </c>
      <c r="D1339" t="s">
        <v>74</v>
      </c>
      <c r="E1339" t="s">
        <v>74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75</v>
      </c>
    </row>
    <row r="1340" spans="1:20" x14ac:dyDescent="0.3">
      <c r="A1340" t="s">
        <v>54</v>
      </c>
      <c r="B1340">
        <v>89</v>
      </c>
      <c r="C1340" t="s">
        <v>71</v>
      </c>
      <c r="D1340" t="s">
        <v>74</v>
      </c>
      <c r="E1340" t="s">
        <v>74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74</v>
      </c>
    </row>
    <row r="1341" spans="1:20" x14ac:dyDescent="0.3">
      <c r="A1341" t="s">
        <v>50</v>
      </c>
      <c r="B1341">
        <v>128</v>
      </c>
      <c r="C1341" t="s">
        <v>71</v>
      </c>
      <c r="D1341" t="s">
        <v>74</v>
      </c>
      <c r="E1341" t="s">
        <v>74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74</v>
      </c>
    </row>
    <row r="1342" spans="1:20" x14ac:dyDescent="0.3">
      <c r="A1342" t="s">
        <v>66</v>
      </c>
      <c r="B1342">
        <v>115</v>
      </c>
      <c r="C1342" t="s">
        <v>71</v>
      </c>
      <c r="D1342" t="s">
        <v>75</v>
      </c>
      <c r="E1342" t="s">
        <v>74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74</v>
      </c>
    </row>
    <row r="1343" spans="1:20" x14ac:dyDescent="0.3">
      <c r="A1343" t="s">
        <v>35</v>
      </c>
      <c r="B1343">
        <v>76</v>
      </c>
      <c r="C1343" t="s">
        <v>71</v>
      </c>
      <c r="D1343" t="s">
        <v>74</v>
      </c>
      <c r="E1343" t="s">
        <v>74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74</v>
      </c>
    </row>
    <row r="1344" spans="1:20" x14ac:dyDescent="0.3">
      <c r="A1344" t="s">
        <v>25</v>
      </c>
      <c r="B1344">
        <v>90</v>
      </c>
      <c r="C1344" t="s">
        <v>71</v>
      </c>
      <c r="D1344" t="s">
        <v>74</v>
      </c>
      <c r="E1344" t="s">
        <v>75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74</v>
      </c>
    </row>
    <row r="1345" spans="1:20" x14ac:dyDescent="0.3">
      <c r="A1345" t="s">
        <v>54</v>
      </c>
      <c r="B1345">
        <v>30</v>
      </c>
      <c r="C1345" t="s">
        <v>73</v>
      </c>
      <c r="D1345" t="s">
        <v>74</v>
      </c>
      <c r="E1345" t="s">
        <v>74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74</v>
      </c>
    </row>
    <row r="1346" spans="1:20" x14ac:dyDescent="0.3">
      <c r="A1346" t="s">
        <v>20</v>
      </c>
      <c r="B1346">
        <v>105</v>
      </c>
      <c r="C1346" t="s">
        <v>71</v>
      </c>
      <c r="D1346" t="s">
        <v>75</v>
      </c>
      <c r="E1346" t="s">
        <v>74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75</v>
      </c>
    </row>
    <row r="1347" spans="1:20" x14ac:dyDescent="0.3">
      <c r="A1347" t="s">
        <v>36</v>
      </c>
      <c r="B1347">
        <v>102</v>
      </c>
      <c r="C1347" t="s">
        <v>71</v>
      </c>
      <c r="D1347" t="s">
        <v>74</v>
      </c>
      <c r="E1347" t="s">
        <v>75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74</v>
      </c>
    </row>
    <row r="1348" spans="1:20" x14ac:dyDescent="0.3">
      <c r="A1348" t="s">
        <v>62</v>
      </c>
      <c r="B1348">
        <v>63</v>
      </c>
      <c r="C1348" t="s">
        <v>72</v>
      </c>
      <c r="D1348" t="s">
        <v>74</v>
      </c>
      <c r="E1348" t="s">
        <v>75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74</v>
      </c>
    </row>
    <row r="1349" spans="1:20" x14ac:dyDescent="0.3">
      <c r="A1349" t="s">
        <v>53</v>
      </c>
      <c r="B1349">
        <v>155</v>
      </c>
      <c r="C1349" t="s">
        <v>73</v>
      </c>
      <c r="D1349" t="s">
        <v>74</v>
      </c>
      <c r="E1349" t="s">
        <v>74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74</v>
      </c>
    </row>
    <row r="1350" spans="1:20" x14ac:dyDescent="0.3">
      <c r="A1350" t="s">
        <v>64</v>
      </c>
      <c r="B1350">
        <v>82</v>
      </c>
      <c r="C1350" t="s">
        <v>71</v>
      </c>
      <c r="D1350" t="s">
        <v>74</v>
      </c>
      <c r="E1350" t="s">
        <v>75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74</v>
      </c>
    </row>
    <row r="1351" spans="1:20" x14ac:dyDescent="0.3">
      <c r="A1351" t="s">
        <v>51</v>
      </c>
      <c r="B1351">
        <v>87</v>
      </c>
      <c r="C1351" t="s">
        <v>72</v>
      </c>
      <c r="D1351" t="s">
        <v>74</v>
      </c>
      <c r="E1351" t="s">
        <v>74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74</v>
      </c>
    </row>
    <row r="1352" spans="1:20" x14ac:dyDescent="0.3">
      <c r="A1352" t="s">
        <v>40</v>
      </c>
      <c r="B1352">
        <v>115</v>
      </c>
      <c r="C1352" t="s">
        <v>71</v>
      </c>
      <c r="D1352" t="s">
        <v>74</v>
      </c>
      <c r="E1352" t="s">
        <v>75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74</v>
      </c>
    </row>
    <row r="1353" spans="1:20" x14ac:dyDescent="0.3">
      <c r="A1353" t="s">
        <v>23</v>
      </c>
      <c r="B1353">
        <v>121</v>
      </c>
      <c r="C1353" t="s">
        <v>71</v>
      </c>
      <c r="D1353" t="s">
        <v>75</v>
      </c>
      <c r="E1353" t="s">
        <v>75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74</v>
      </c>
    </row>
    <row r="1354" spans="1:20" x14ac:dyDescent="0.3">
      <c r="A1354" t="s">
        <v>65</v>
      </c>
      <c r="B1354">
        <v>54</v>
      </c>
      <c r="C1354" t="s">
        <v>72</v>
      </c>
      <c r="D1354" t="s">
        <v>74</v>
      </c>
      <c r="E1354" t="s">
        <v>75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74</v>
      </c>
    </row>
    <row r="1355" spans="1:20" x14ac:dyDescent="0.3">
      <c r="A1355" t="s">
        <v>59</v>
      </c>
      <c r="B1355">
        <v>105</v>
      </c>
      <c r="C1355" t="s">
        <v>73</v>
      </c>
      <c r="D1355" t="s">
        <v>74</v>
      </c>
      <c r="E1355" t="s">
        <v>74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74</v>
      </c>
    </row>
    <row r="1356" spans="1:20" x14ac:dyDescent="0.3">
      <c r="A1356" t="s">
        <v>22</v>
      </c>
      <c r="B1356">
        <v>73</v>
      </c>
      <c r="C1356" t="s">
        <v>71</v>
      </c>
      <c r="D1356" t="s">
        <v>74</v>
      </c>
      <c r="E1356" t="s">
        <v>74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74</v>
      </c>
    </row>
    <row r="1357" spans="1:20" x14ac:dyDescent="0.3">
      <c r="A1357" t="s">
        <v>54</v>
      </c>
      <c r="B1357">
        <v>95</v>
      </c>
      <c r="C1357" t="s">
        <v>71</v>
      </c>
      <c r="D1357" t="s">
        <v>74</v>
      </c>
      <c r="E1357" t="s">
        <v>74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74</v>
      </c>
    </row>
    <row r="1358" spans="1:20" x14ac:dyDescent="0.3">
      <c r="A1358" t="s">
        <v>52</v>
      </c>
      <c r="B1358">
        <v>21</v>
      </c>
      <c r="C1358" t="s">
        <v>71</v>
      </c>
      <c r="D1358" t="s">
        <v>74</v>
      </c>
      <c r="E1358" t="s">
        <v>75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74</v>
      </c>
    </row>
    <row r="1359" spans="1:20" x14ac:dyDescent="0.3">
      <c r="A1359" t="s">
        <v>58</v>
      </c>
      <c r="B1359">
        <v>163</v>
      </c>
      <c r="C1359" t="s">
        <v>73</v>
      </c>
      <c r="D1359" t="s">
        <v>74</v>
      </c>
      <c r="E1359" t="s">
        <v>75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74</v>
      </c>
    </row>
    <row r="1360" spans="1:20" x14ac:dyDescent="0.3">
      <c r="A1360" t="s">
        <v>23</v>
      </c>
      <c r="B1360">
        <v>57</v>
      </c>
      <c r="C1360" t="s">
        <v>71</v>
      </c>
      <c r="D1360" t="s">
        <v>74</v>
      </c>
      <c r="E1360" t="s">
        <v>74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74</v>
      </c>
    </row>
    <row r="1361" spans="1:20" x14ac:dyDescent="0.3">
      <c r="A1361" t="s">
        <v>55</v>
      </c>
      <c r="B1361">
        <v>104</v>
      </c>
      <c r="C1361" t="s">
        <v>73</v>
      </c>
      <c r="D1361" t="s">
        <v>75</v>
      </c>
      <c r="E1361" t="s">
        <v>74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74</v>
      </c>
    </row>
    <row r="1362" spans="1:20" x14ac:dyDescent="0.3">
      <c r="A1362" t="s">
        <v>21</v>
      </c>
      <c r="B1362">
        <v>95</v>
      </c>
      <c r="C1362" t="s">
        <v>71</v>
      </c>
      <c r="D1362" t="s">
        <v>74</v>
      </c>
      <c r="E1362" t="s">
        <v>74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74</v>
      </c>
    </row>
    <row r="1363" spans="1:20" x14ac:dyDescent="0.3">
      <c r="A1363" t="s">
        <v>54</v>
      </c>
      <c r="B1363">
        <v>74</v>
      </c>
      <c r="C1363" t="s">
        <v>73</v>
      </c>
      <c r="D1363" t="s">
        <v>74</v>
      </c>
      <c r="E1363" t="s">
        <v>74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74</v>
      </c>
    </row>
    <row r="1364" spans="1:20" x14ac:dyDescent="0.3">
      <c r="A1364" t="s">
        <v>69</v>
      </c>
      <c r="B1364">
        <v>67</v>
      </c>
      <c r="C1364" t="s">
        <v>71</v>
      </c>
      <c r="D1364" t="s">
        <v>74</v>
      </c>
      <c r="E1364" t="s">
        <v>74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74</v>
      </c>
    </row>
    <row r="1365" spans="1:20" x14ac:dyDescent="0.3">
      <c r="A1365" t="s">
        <v>29</v>
      </c>
      <c r="B1365">
        <v>104</v>
      </c>
      <c r="C1365" t="s">
        <v>71</v>
      </c>
      <c r="D1365" t="s">
        <v>75</v>
      </c>
      <c r="E1365" t="s">
        <v>74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74</v>
      </c>
    </row>
    <row r="1366" spans="1:20" x14ac:dyDescent="0.3">
      <c r="A1366" t="s">
        <v>34</v>
      </c>
      <c r="B1366">
        <v>71</v>
      </c>
      <c r="C1366" t="s">
        <v>71</v>
      </c>
      <c r="D1366" t="s">
        <v>74</v>
      </c>
      <c r="E1366" t="s">
        <v>75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74</v>
      </c>
    </row>
    <row r="1367" spans="1:20" x14ac:dyDescent="0.3">
      <c r="A1367" t="s">
        <v>46</v>
      </c>
      <c r="B1367">
        <v>149</v>
      </c>
      <c r="C1367" t="s">
        <v>71</v>
      </c>
      <c r="D1367" t="s">
        <v>74</v>
      </c>
      <c r="E1367" t="s">
        <v>74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75</v>
      </c>
    </row>
    <row r="1368" spans="1:20" x14ac:dyDescent="0.3">
      <c r="A1368" t="s">
        <v>64</v>
      </c>
      <c r="B1368">
        <v>154</v>
      </c>
      <c r="C1368" t="s">
        <v>73</v>
      </c>
      <c r="D1368" t="s">
        <v>74</v>
      </c>
      <c r="E1368" t="s">
        <v>75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74</v>
      </c>
    </row>
    <row r="1369" spans="1:20" x14ac:dyDescent="0.3">
      <c r="A1369" t="s">
        <v>20</v>
      </c>
      <c r="B1369">
        <v>117</v>
      </c>
      <c r="C1369" t="s">
        <v>71</v>
      </c>
      <c r="D1369" t="s">
        <v>74</v>
      </c>
      <c r="E1369" t="s">
        <v>74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74</v>
      </c>
    </row>
    <row r="1370" spans="1:20" x14ac:dyDescent="0.3">
      <c r="A1370" t="s">
        <v>59</v>
      </c>
      <c r="B1370">
        <v>130</v>
      </c>
      <c r="C1370" t="s">
        <v>73</v>
      </c>
      <c r="D1370" t="s">
        <v>74</v>
      </c>
      <c r="E1370" t="s">
        <v>74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74</v>
      </c>
    </row>
    <row r="1371" spans="1:20" x14ac:dyDescent="0.3">
      <c r="A1371" t="s">
        <v>55</v>
      </c>
      <c r="B1371">
        <v>73</v>
      </c>
      <c r="C1371" t="s">
        <v>71</v>
      </c>
      <c r="D1371" t="s">
        <v>74</v>
      </c>
      <c r="E1371" t="s">
        <v>74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74</v>
      </c>
    </row>
    <row r="1372" spans="1:20" x14ac:dyDescent="0.3">
      <c r="A1372" t="s">
        <v>31</v>
      </c>
      <c r="B1372">
        <v>100</v>
      </c>
      <c r="C1372" t="s">
        <v>72</v>
      </c>
      <c r="D1372" t="s">
        <v>74</v>
      </c>
      <c r="E1372" t="s">
        <v>75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74</v>
      </c>
    </row>
    <row r="1373" spans="1:20" x14ac:dyDescent="0.3">
      <c r="A1373" t="s">
        <v>66</v>
      </c>
      <c r="B1373">
        <v>149</v>
      </c>
      <c r="C1373" t="s">
        <v>72</v>
      </c>
      <c r="D1373" t="s">
        <v>74</v>
      </c>
      <c r="E1373" t="s">
        <v>74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74</v>
      </c>
    </row>
    <row r="1374" spans="1:20" x14ac:dyDescent="0.3">
      <c r="A1374" t="s">
        <v>61</v>
      </c>
      <c r="B1374">
        <v>29</v>
      </c>
      <c r="C1374" t="s">
        <v>73</v>
      </c>
      <c r="D1374" t="s">
        <v>74</v>
      </c>
      <c r="E1374" t="s">
        <v>74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74</v>
      </c>
    </row>
    <row r="1375" spans="1:20" x14ac:dyDescent="0.3">
      <c r="A1375" t="s">
        <v>30</v>
      </c>
      <c r="B1375">
        <v>131</v>
      </c>
      <c r="C1375" t="s">
        <v>72</v>
      </c>
      <c r="D1375" t="s">
        <v>74</v>
      </c>
      <c r="E1375" t="s">
        <v>74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74</v>
      </c>
    </row>
    <row r="1376" spans="1:20" x14ac:dyDescent="0.3">
      <c r="A1376" t="s">
        <v>28</v>
      </c>
      <c r="B1376">
        <v>153</v>
      </c>
      <c r="C1376" t="s">
        <v>72</v>
      </c>
      <c r="D1376" t="s">
        <v>74</v>
      </c>
      <c r="E1376" t="s">
        <v>74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74</v>
      </c>
    </row>
    <row r="1377" spans="1:20" x14ac:dyDescent="0.3">
      <c r="A1377" t="s">
        <v>31</v>
      </c>
      <c r="B1377">
        <v>133</v>
      </c>
      <c r="C1377" t="s">
        <v>72</v>
      </c>
      <c r="D1377" t="s">
        <v>74</v>
      </c>
      <c r="E1377" t="s">
        <v>74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74</v>
      </c>
    </row>
    <row r="1378" spans="1:20" x14ac:dyDescent="0.3">
      <c r="A1378" t="s">
        <v>70</v>
      </c>
      <c r="B1378">
        <v>112</v>
      </c>
      <c r="C1378" t="s">
        <v>71</v>
      </c>
      <c r="D1378" t="s">
        <v>74</v>
      </c>
      <c r="E1378" t="s">
        <v>74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74</v>
      </c>
    </row>
    <row r="1379" spans="1:20" x14ac:dyDescent="0.3">
      <c r="A1379" t="s">
        <v>38</v>
      </c>
      <c r="B1379">
        <v>87</v>
      </c>
      <c r="C1379" t="s">
        <v>71</v>
      </c>
      <c r="D1379" t="s">
        <v>74</v>
      </c>
      <c r="E1379" t="s">
        <v>74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74</v>
      </c>
    </row>
    <row r="1380" spans="1:20" x14ac:dyDescent="0.3">
      <c r="A1380" t="s">
        <v>48</v>
      </c>
      <c r="B1380">
        <v>66</v>
      </c>
      <c r="C1380" t="s">
        <v>72</v>
      </c>
      <c r="D1380" t="s">
        <v>74</v>
      </c>
      <c r="E1380" t="s">
        <v>74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75</v>
      </c>
    </row>
    <row r="1381" spans="1:20" x14ac:dyDescent="0.3">
      <c r="A1381" t="s">
        <v>33</v>
      </c>
      <c r="B1381">
        <v>74</v>
      </c>
      <c r="C1381" t="s">
        <v>71</v>
      </c>
      <c r="D1381" t="s">
        <v>74</v>
      </c>
      <c r="E1381" t="s">
        <v>74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74</v>
      </c>
    </row>
    <row r="1382" spans="1:20" x14ac:dyDescent="0.3">
      <c r="A1382" t="s">
        <v>49</v>
      </c>
      <c r="B1382">
        <v>116</v>
      </c>
      <c r="C1382" t="s">
        <v>73</v>
      </c>
      <c r="D1382" t="s">
        <v>74</v>
      </c>
      <c r="E1382" t="s">
        <v>74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75</v>
      </c>
    </row>
    <row r="1383" spans="1:20" x14ac:dyDescent="0.3">
      <c r="A1383" t="s">
        <v>62</v>
      </c>
      <c r="B1383">
        <v>68</v>
      </c>
      <c r="C1383" t="s">
        <v>72</v>
      </c>
      <c r="D1383" t="s">
        <v>74</v>
      </c>
      <c r="E1383" t="s">
        <v>74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74</v>
      </c>
    </row>
    <row r="1384" spans="1:20" x14ac:dyDescent="0.3">
      <c r="A1384" t="s">
        <v>69</v>
      </c>
      <c r="B1384">
        <v>68</v>
      </c>
      <c r="C1384" t="s">
        <v>71</v>
      </c>
      <c r="D1384" t="s">
        <v>74</v>
      </c>
      <c r="E1384" t="s">
        <v>74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74</v>
      </c>
    </row>
    <row r="1385" spans="1:20" x14ac:dyDescent="0.3">
      <c r="A1385" t="s">
        <v>45</v>
      </c>
      <c r="B1385">
        <v>54</v>
      </c>
      <c r="C1385" t="s">
        <v>71</v>
      </c>
      <c r="D1385" t="s">
        <v>75</v>
      </c>
      <c r="E1385" t="s">
        <v>74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74</v>
      </c>
    </row>
    <row r="1386" spans="1:20" x14ac:dyDescent="0.3">
      <c r="A1386" t="s">
        <v>31</v>
      </c>
      <c r="B1386">
        <v>107</v>
      </c>
      <c r="C1386" t="s">
        <v>73</v>
      </c>
      <c r="D1386" t="s">
        <v>74</v>
      </c>
      <c r="E1386" t="s">
        <v>74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74</v>
      </c>
    </row>
    <row r="1387" spans="1:20" x14ac:dyDescent="0.3">
      <c r="A1387" t="s">
        <v>65</v>
      </c>
      <c r="B1387">
        <v>124</v>
      </c>
      <c r="C1387" t="s">
        <v>72</v>
      </c>
      <c r="D1387" t="s">
        <v>74</v>
      </c>
      <c r="E1387" t="s">
        <v>74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74</v>
      </c>
    </row>
    <row r="1388" spans="1:20" x14ac:dyDescent="0.3">
      <c r="A1388" t="s">
        <v>54</v>
      </c>
      <c r="B1388">
        <v>95</v>
      </c>
      <c r="C1388" t="s">
        <v>71</v>
      </c>
      <c r="D1388" t="s">
        <v>74</v>
      </c>
      <c r="E1388" t="s">
        <v>75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74</v>
      </c>
    </row>
    <row r="1389" spans="1:20" x14ac:dyDescent="0.3">
      <c r="A1389" t="s">
        <v>32</v>
      </c>
      <c r="B1389">
        <v>173</v>
      </c>
      <c r="C1389" t="s">
        <v>72</v>
      </c>
      <c r="D1389" t="s">
        <v>74</v>
      </c>
      <c r="E1389" t="s">
        <v>74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75</v>
      </c>
    </row>
    <row r="1390" spans="1:20" x14ac:dyDescent="0.3">
      <c r="A1390" t="s">
        <v>37</v>
      </c>
      <c r="B1390">
        <v>110</v>
      </c>
      <c r="C1390" t="s">
        <v>73</v>
      </c>
      <c r="D1390" t="s">
        <v>74</v>
      </c>
      <c r="E1390" t="s">
        <v>74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74</v>
      </c>
    </row>
    <row r="1391" spans="1:20" x14ac:dyDescent="0.3">
      <c r="A1391" t="s">
        <v>50</v>
      </c>
      <c r="B1391">
        <v>102</v>
      </c>
      <c r="C1391" t="s">
        <v>72</v>
      </c>
      <c r="D1391" t="s">
        <v>74</v>
      </c>
      <c r="E1391" t="s">
        <v>74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74</v>
      </c>
    </row>
    <row r="1392" spans="1:20" x14ac:dyDescent="0.3">
      <c r="A1392" t="s">
        <v>46</v>
      </c>
      <c r="B1392">
        <v>130</v>
      </c>
      <c r="C1392" t="s">
        <v>73</v>
      </c>
      <c r="D1392" t="s">
        <v>74</v>
      </c>
      <c r="E1392" t="s">
        <v>74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74</v>
      </c>
    </row>
    <row r="1393" spans="1:20" x14ac:dyDescent="0.3">
      <c r="A1393" t="s">
        <v>44</v>
      </c>
      <c r="B1393">
        <v>91</v>
      </c>
      <c r="C1393" t="s">
        <v>73</v>
      </c>
      <c r="D1393" t="s">
        <v>74</v>
      </c>
      <c r="E1393" t="s">
        <v>75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74</v>
      </c>
    </row>
    <row r="1394" spans="1:20" x14ac:dyDescent="0.3">
      <c r="A1394" t="s">
        <v>54</v>
      </c>
      <c r="B1394">
        <v>64</v>
      </c>
      <c r="C1394" t="s">
        <v>71</v>
      </c>
      <c r="D1394" t="s">
        <v>75</v>
      </c>
      <c r="E1394" t="s">
        <v>74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75</v>
      </c>
    </row>
    <row r="1395" spans="1:20" x14ac:dyDescent="0.3">
      <c r="A1395" t="s">
        <v>69</v>
      </c>
      <c r="B1395">
        <v>176</v>
      </c>
      <c r="C1395" t="s">
        <v>71</v>
      </c>
      <c r="D1395" t="s">
        <v>74</v>
      </c>
      <c r="E1395" t="s">
        <v>75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74</v>
      </c>
    </row>
    <row r="1396" spans="1:20" x14ac:dyDescent="0.3">
      <c r="A1396" t="s">
        <v>49</v>
      </c>
      <c r="B1396">
        <v>93</v>
      </c>
      <c r="C1396" t="s">
        <v>72</v>
      </c>
      <c r="D1396" t="s">
        <v>75</v>
      </c>
      <c r="E1396" t="s">
        <v>74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75</v>
      </c>
    </row>
    <row r="1397" spans="1:20" x14ac:dyDescent="0.3">
      <c r="A1397" t="s">
        <v>31</v>
      </c>
      <c r="B1397">
        <v>84</v>
      </c>
      <c r="C1397" t="s">
        <v>72</v>
      </c>
      <c r="D1397" t="s">
        <v>74</v>
      </c>
      <c r="E1397" t="s">
        <v>75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74</v>
      </c>
    </row>
    <row r="1398" spans="1:20" x14ac:dyDescent="0.3">
      <c r="A1398" t="s">
        <v>56</v>
      </c>
      <c r="B1398">
        <v>138</v>
      </c>
      <c r="C1398" t="s">
        <v>72</v>
      </c>
      <c r="D1398" t="s">
        <v>74</v>
      </c>
      <c r="E1398" t="s">
        <v>74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74</v>
      </c>
    </row>
    <row r="1399" spans="1:20" x14ac:dyDescent="0.3">
      <c r="A1399" t="s">
        <v>64</v>
      </c>
      <c r="B1399">
        <v>101</v>
      </c>
      <c r="C1399" t="s">
        <v>71</v>
      </c>
      <c r="D1399" t="s">
        <v>74</v>
      </c>
      <c r="E1399" t="s">
        <v>75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74</v>
      </c>
    </row>
    <row r="1400" spans="1:20" x14ac:dyDescent="0.3">
      <c r="A1400" t="s">
        <v>50</v>
      </c>
      <c r="B1400">
        <v>136</v>
      </c>
      <c r="C1400" t="s">
        <v>73</v>
      </c>
      <c r="D1400" t="s">
        <v>74</v>
      </c>
      <c r="E1400" t="s">
        <v>74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74</v>
      </c>
    </row>
    <row r="1401" spans="1:20" x14ac:dyDescent="0.3">
      <c r="A1401" t="s">
        <v>36</v>
      </c>
      <c r="B1401">
        <v>132</v>
      </c>
      <c r="C1401" t="s">
        <v>73</v>
      </c>
      <c r="D1401" t="s">
        <v>74</v>
      </c>
      <c r="E1401" t="s">
        <v>75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74</v>
      </c>
    </row>
    <row r="1402" spans="1:20" x14ac:dyDescent="0.3">
      <c r="A1402" t="s">
        <v>56</v>
      </c>
      <c r="B1402">
        <v>128</v>
      </c>
      <c r="C1402" t="s">
        <v>71</v>
      </c>
      <c r="D1402" t="s">
        <v>74</v>
      </c>
      <c r="E1402" t="s">
        <v>74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74</v>
      </c>
    </row>
    <row r="1403" spans="1:20" x14ac:dyDescent="0.3">
      <c r="A1403" t="s">
        <v>21</v>
      </c>
      <c r="B1403">
        <v>92</v>
      </c>
      <c r="C1403" t="s">
        <v>73</v>
      </c>
      <c r="D1403" t="s">
        <v>74</v>
      </c>
      <c r="E1403" t="s">
        <v>75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74</v>
      </c>
    </row>
    <row r="1404" spans="1:20" x14ac:dyDescent="0.3">
      <c r="A1404" t="s">
        <v>21</v>
      </c>
      <c r="B1404">
        <v>197</v>
      </c>
      <c r="C1404" t="s">
        <v>71</v>
      </c>
      <c r="D1404" t="s">
        <v>75</v>
      </c>
      <c r="E1404" t="s">
        <v>74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75</v>
      </c>
    </row>
    <row r="1405" spans="1:20" x14ac:dyDescent="0.3">
      <c r="A1405" t="s">
        <v>65</v>
      </c>
      <c r="B1405">
        <v>191</v>
      </c>
      <c r="C1405" t="s">
        <v>73</v>
      </c>
      <c r="D1405" t="s">
        <v>74</v>
      </c>
      <c r="E1405" t="s">
        <v>74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74</v>
      </c>
    </row>
    <row r="1406" spans="1:20" x14ac:dyDescent="0.3">
      <c r="A1406" t="s">
        <v>43</v>
      </c>
      <c r="B1406">
        <v>99</v>
      </c>
      <c r="C1406" t="s">
        <v>71</v>
      </c>
      <c r="D1406" t="s">
        <v>74</v>
      </c>
      <c r="E1406" t="s">
        <v>75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74</v>
      </c>
    </row>
    <row r="1407" spans="1:20" x14ac:dyDescent="0.3">
      <c r="A1407" t="s">
        <v>42</v>
      </c>
      <c r="B1407">
        <v>78</v>
      </c>
      <c r="C1407" t="s">
        <v>71</v>
      </c>
      <c r="D1407" t="s">
        <v>74</v>
      </c>
      <c r="E1407" t="s">
        <v>74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74</v>
      </c>
    </row>
    <row r="1408" spans="1:20" x14ac:dyDescent="0.3">
      <c r="A1408" t="s">
        <v>38</v>
      </c>
      <c r="B1408">
        <v>98</v>
      </c>
      <c r="C1408" t="s">
        <v>73</v>
      </c>
      <c r="D1408" t="s">
        <v>74</v>
      </c>
      <c r="E1408" t="s">
        <v>74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74</v>
      </c>
    </row>
    <row r="1409" spans="1:20" x14ac:dyDescent="0.3">
      <c r="A1409" t="s">
        <v>46</v>
      </c>
      <c r="B1409">
        <v>56</v>
      </c>
      <c r="C1409" t="s">
        <v>71</v>
      </c>
      <c r="D1409" t="s">
        <v>74</v>
      </c>
      <c r="E1409" t="s">
        <v>75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74</v>
      </c>
    </row>
    <row r="1410" spans="1:20" x14ac:dyDescent="0.3">
      <c r="A1410" t="s">
        <v>50</v>
      </c>
      <c r="B1410">
        <v>84</v>
      </c>
      <c r="C1410" t="s">
        <v>71</v>
      </c>
      <c r="D1410" t="s">
        <v>74</v>
      </c>
      <c r="E1410" t="s">
        <v>74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74</v>
      </c>
    </row>
    <row r="1411" spans="1:20" x14ac:dyDescent="0.3">
      <c r="A1411" t="s">
        <v>23</v>
      </c>
      <c r="B1411">
        <v>95</v>
      </c>
      <c r="C1411" t="s">
        <v>72</v>
      </c>
      <c r="D1411" t="s">
        <v>74</v>
      </c>
      <c r="E1411" t="s">
        <v>74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74</v>
      </c>
    </row>
    <row r="1412" spans="1:20" x14ac:dyDescent="0.3">
      <c r="A1412" t="s">
        <v>30</v>
      </c>
      <c r="B1412">
        <v>16</v>
      </c>
      <c r="C1412" t="s">
        <v>71</v>
      </c>
      <c r="D1412" t="s">
        <v>74</v>
      </c>
      <c r="E1412" t="s">
        <v>74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74</v>
      </c>
    </row>
    <row r="1413" spans="1:20" x14ac:dyDescent="0.3">
      <c r="A1413" t="s">
        <v>68</v>
      </c>
      <c r="B1413">
        <v>76</v>
      </c>
      <c r="C1413" t="s">
        <v>72</v>
      </c>
      <c r="D1413" t="s">
        <v>75</v>
      </c>
      <c r="E1413" t="s">
        <v>74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75</v>
      </c>
    </row>
    <row r="1414" spans="1:20" x14ac:dyDescent="0.3">
      <c r="A1414" t="s">
        <v>65</v>
      </c>
      <c r="B1414">
        <v>93</v>
      </c>
      <c r="C1414" t="s">
        <v>71</v>
      </c>
      <c r="D1414" t="s">
        <v>74</v>
      </c>
      <c r="E1414" t="s">
        <v>74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74</v>
      </c>
    </row>
    <row r="1415" spans="1:20" x14ac:dyDescent="0.3">
      <c r="A1415" t="s">
        <v>41</v>
      </c>
      <c r="B1415">
        <v>83</v>
      </c>
      <c r="C1415" t="s">
        <v>73</v>
      </c>
      <c r="D1415" t="s">
        <v>74</v>
      </c>
      <c r="E1415" t="s">
        <v>74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74</v>
      </c>
    </row>
    <row r="1416" spans="1:20" x14ac:dyDescent="0.3">
      <c r="A1416" t="s">
        <v>20</v>
      </c>
      <c r="B1416">
        <v>123</v>
      </c>
      <c r="C1416" t="s">
        <v>71</v>
      </c>
      <c r="D1416" t="s">
        <v>74</v>
      </c>
      <c r="E1416" t="s">
        <v>74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74</v>
      </c>
    </row>
    <row r="1417" spans="1:20" x14ac:dyDescent="0.3">
      <c r="A1417" t="s">
        <v>44</v>
      </c>
      <c r="B1417">
        <v>82</v>
      </c>
      <c r="C1417" t="s">
        <v>72</v>
      </c>
      <c r="D1417" t="s">
        <v>74</v>
      </c>
      <c r="E1417" t="s">
        <v>74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75</v>
      </c>
    </row>
    <row r="1418" spans="1:20" x14ac:dyDescent="0.3">
      <c r="A1418" t="s">
        <v>33</v>
      </c>
      <c r="B1418">
        <v>110</v>
      </c>
      <c r="C1418" t="s">
        <v>72</v>
      </c>
      <c r="D1418" t="s">
        <v>74</v>
      </c>
      <c r="E1418" t="s">
        <v>74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74</v>
      </c>
    </row>
    <row r="1419" spans="1:20" x14ac:dyDescent="0.3">
      <c r="A1419" t="s">
        <v>35</v>
      </c>
      <c r="B1419">
        <v>96</v>
      </c>
      <c r="C1419" t="s">
        <v>73</v>
      </c>
      <c r="D1419" t="s">
        <v>74</v>
      </c>
      <c r="E1419" t="s">
        <v>75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74</v>
      </c>
    </row>
    <row r="1420" spans="1:20" x14ac:dyDescent="0.3">
      <c r="A1420" t="s">
        <v>69</v>
      </c>
      <c r="B1420">
        <v>47</v>
      </c>
      <c r="C1420" t="s">
        <v>71</v>
      </c>
      <c r="D1420" t="s">
        <v>74</v>
      </c>
      <c r="E1420" t="s">
        <v>75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74</v>
      </c>
    </row>
    <row r="1421" spans="1:20" x14ac:dyDescent="0.3">
      <c r="A1421" t="s">
        <v>70</v>
      </c>
      <c r="B1421">
        <v>115</v>
      </c>
      <c r="C1421" t="s">
        <v>72</v>
      </c>
      <c r="D1421" t="s">
        <v>74</v>
      </c>
      <c r="E1421" t="s">
        <v>74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74</v>
      </c>
    </row>
    <row r="1422" spans="1:20" x14ac:dyDescent="0.3">
      <c r="A1422" t="s">
        <v>47</v>
      </c>
      <c r="B1422">
        <v>69</v>
      </c>
      <c r="C1422" t="s">
        <v>71</v>
      </c>
      <c r="D1422" t="s">
        <v>74</v>
      </c>
      <c r="E1422" t="s">
        <v>74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74</v>
      </c>
    </row>
    <row r="1423" spans="1:20" x14ac:dyDescent="0.3">
      <c r="A1423" t="s">
        <v>54</v>
      </c>
      <c r="B1423">
        <v>163</v>
      </c>
      <c r="C1423" t="s">
        <v>73</v>
      </c>
      <c r="D1423" t="s">
        <v>74</v>
      </c>
      <c r="E1423" t="s">
        <v>75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74</v>
      </c>
    </row>
    <row r="1424" spans="1:20" x14ac:dyDescent="0.3">
      <c r="A1424" t="s">
        <v>32</v>
      </c>
      <c r="B1424">
        <v>98</v>
      </c>
      <c r="C1424" t="s">
        <v>71</v>
      </c>
      <c r="D1424" t="s">
        <v>74</v>
      </c>
      <c r="E1424" t="s">
        <v>74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74</v>
      </c>
    </row>
    <row r="1425" spans="1:20" x14ac:dyDescent="0.3">
      <c r="A1425" t="s">
        <v>47</v>
      </c>
      <c r="B1425">
        <v>174</v>
      </c>
      <c r="C1425" t="s">
        <v>71</v>
      </c>
      <c r="D1425" t="s">
        <v>74</v>
      </c>
      <c r="E1425" t="s">
        <v>75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74</v>
      </c>
    </row>
    <row r="1426" spans="1:20" x14ac:dyDescent="0.3">
      <c r="A1426" t="s">
        <v>58</v>
      </c>
      <c r="B1426">
        <v>95</v>
      </c>
      <c r="C1426" t="s">
        <v>71</v>
      </c>
      <c r="D1426" t="s">
        <v>74</v>
      </c>
      <c r="E1426" t="s">
        <v>74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75</v>
      </c>
    </row>
    <row r="1427" spans="1:20" x14ac:dyDescent="0.3">
      <c r="A1427" t="s">
        <v>47</v>
      </c>
      <c r="B1427">
        <v>79</v>
      </c>
      <c r="C1427" t="s">
        <v>71</v>
      </c>
      <c r="D1427" t="s">
        <v>74</v>
      </c>
      <c r="E1427" t="s">
        <v>74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75</v>
      </c>
    </row>
    <row r="1428" spans="1:20" x14ac:dyDescent="0.3">
      <c r="A1428" t="s">
        <v>44</v>
      </c>
      <c r="B1428">
        <v>123</v>
      </c>
      <c r="C1428" t="s">
        <v>71</v>
      </c>
      <c r="D1428" t="s">
        <v>74</v>
      </c>
      <c r="E1428" t="s">
        <v>75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74</v>
      </c>
    </row>
    <row r="1429" spans="1:20" x14ac:dyDescent="0.3">
      <c r="A1429" t="s">
        <v>23</v>
      </c>
      <c r="B1429">
        <v>99</v>
      </c>
      <c r="C1429" t="s">
        <v>71</v>
      </c>
      <c r="D1429" t="s">
        <v>74</v>
      </c>
      <c r="E1429" t="s">
        <v>74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75</v>
      </c>
    </row>
    <row r="1430" spans="1:20" x14ac:dyDescent="0.3">
      <c r="A1430" t="s">
        <v>47</v>
      </c>
      <c r="B1430">
        <v>141</v>
      </c>
      <c r="C1430" t="s">
        <v>72</v>
      </c>
      <c r="D1430" t="s">
        <v>74</v>
      </c>
      <c r="E1430" t="s">
        <v>74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74</v>
      </c>
    </row>
    <row r="1431" spans="1:20" x14ac:dyDescent="0.3">
      <c r="A1431" t="s">
        <v>52</v>
      </c>
      <c r="B1431">
        <v>132</v>
      </c>
      <c r="C1431" t="s">
        <v>73</v>
      </c>
      <c r="D1431" t="s">
        <v>74</v>
      </c>
      <c r="E1431" t="s">
        <v>74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74</v>
      </c>
    </row>
    <row r="1432" spans="1:20" x14ac:dyDescent="0.3">
      <c r="A1432" t="s">
        <v>39</v>
      </c>
      <c r="B1432">
        <v>133</v>
      </c>
      <c r="C1432" t="s">
        <v>72</v>
      </c>
      <c r="D1432" t="s">
        <v>74</v>
      </c>
      <c r="E1432" t="s">
        <v>74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74</v>
      </c>
    </row>
    <row r="1433" spans="1:20" x14ac:dyDescent="0.3">
      <c r="A1433" t="s">
        <v>34</v>
      </c>
      <c r="B1433">
        <v>133</v>
      </c>
      <c r="C1433" t="s">
        <v>73</v>
      </c>
      <c r="D1433" t="s">
        <v>74</v>
      </c>
      <c r="E1433" t="s">
        <v>74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74</v>
      </c>
    </row>
    <row r="1434" spans="1:20" x14ac:dyDescent="0.3">
      <c r="A1434" t="s">
        <v>23</v>
      </c>
      <c r="B1434">
        <v>93</v>
      </c>
      <c r="C1434" t="s">
        <v>72</v>
      </c>
      <c r="D1434" t="s">
        <v>74</v>
      </c>
      <c r="E1434" t="s">
        <v>75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74</v>
      </c>
    </row>
    <row r="1435" spans="1:20" x14ac:dyDescent="0.3">
      <c r="A1435" t="s">
        <v>36</v>
      </c>
      <c r="B1435">
        <v>34</v>
      </c>
      <c r="C1435" t="s">
        <v>71</v>
      </c>
      <c r="D1435" t="s">
        <v>74</v>
      </c>
      <c r="E1435" t="s">
        <v>74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75</v>
      </c>
    </row>
    <row r="1436" spans="1:20" x14ac:dyDescent="0.3">
      <c r="A1436" t="s">
        <v>45</v>
      </c>
      <c r="B1436">
        <v>96</v>
      </c>
      <c r="C1436" t="s">
        <v>71</v>
      </c>
      <c r="D1436" t="s">
        <v>74</v>
      </c>
      <c r="E1436" t="s">
        <v>75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74</v>
      </c>
    </row>
    <row r="1437" spans="1:20" x14ac:dyDescent="0.3">
      <c r="A1437" t="s">
        <v>39</v>
      </c>
      <c r="B1437">
        <v>144</v>
      </c>
      <c r="C1437" t="s">
        <v>72</v>
      </c>
      <c r="D1437" t="s">
        <v>74</v>
      </c>
      <c r="E1437" t="s">
        <v>74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75</v>
      </c>
    </row>
    <row r="1438" spans="1:20" x14ac:dyDescent="0.3">
      <c r="A1438" t="s">
        <v>29</v>
      </c>
      <c r="B1438">
        <v>24</v>
      </c>
      <c r="C1438" t="s">
        <v>73</v>
      </c>
      <c r="D1438" t="s">
        <v>74</v>
      </c>
      <c r="E1438" t="s">
        <v>75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74</v>
      </c>
    </row>
    <row r="1439" spans="1:20" x14ac:dyDescent="0.3">
      <c r="A1439" t="s">
        <v>49</v>
      </c>
      <c r="B1439">
        <v>54</v>
      </c>
      <c r="C1439" t="s">
        <v>71</v>
      </c>
      <c r="D1439" t="s">
        <v>74</v>
      </c>
      <c r="E1439" t="s">
        <v>74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74</v>
      </c>
    </row>
    <row r="1440" spans="1:20" x14ac:dyDescent="0.3">
      <c r="A1440" t="s">
        <v>65</v>
      </c>
      <c r="B1440">
        <v>50</v>
      </c>
      <c r="C1440" t="s">
        <v>73</v>
      </c>
      <c r="D1440" t="s">
        <v>74</v>
      </c>
      <c r="E1440" t="s">
        <v>74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75</v>
      </c>
    </row>
    <row r="1441" spans="1:20" x14ac:dyDescent="0.3">
      <c r="A1441" t="s">
        <v>29</v>
      </c>
      <c r="B1441">
        <v>92</v>
      </c>
      <c r="C1441" t="s">
        <v>71</v>
      </c>
      <c r="D1441" t="s">
        <v>74</v>
      </c>
      <c r="E1441" t="s">
        <v>75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74</v>
      </c>
    </row>
    <row r="1442" spans="1:20" x14ac:dyDescent="0.3">
      <c r="A1442" t="s">
        <v>68</v>
      </c>
      <c r="B1442">
        <v>96</v>
      </c>
      <c r="C1442" t="s">
        <v>73</v>
      </c>
      <c r="D1442" t="s">
        <v>74</v>
      </c>
      <c r="E1442" t="s">
        <v>74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74</v>
      </c>
    </row>
    <row r="1443" spans="1:20" x14ac:dyDescent="0.3">
      <c r="A1443" t="s">
        <v>61</v>
      </c>
      <c r="B1443">
        <v>146</v>
      </c>
      <c r="C1443" t="s">
        <v>71</v>
      </c>
      <c r="D1443" t="s">
        <v>74</v>
      </c>
      <c r="E1443" t="s">
        <v>74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74</v>
      </c>
    </row>
    <row r="1444" spans="1:20" x14ac:dyDescent="0.3">
      <c r="A1444" t="s">
        <v>29</v>
      </c>
      <c r="B1444">
        <v>138</v>
      </c>
      <c r="C1444" t="s">
        <v>71</v>
      </c>
      <c r="D1444" t="s">
        <v>75</v>
      </c>
      <c r="E1444" t="s">
        <v>75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74</v>
      </c>
    </row>
    <row r="1445" spans="1:20" x14ac:dyDescent="0.3">
      <c r="A1445" t="s">
        <v>37</v>
      </c>
      <c r="B1445">
        <v>76</v>
      </c>
      <c r="C1445" t="s">
        <v>72</v>
      </c>
      <c r="D1445" t="s">
        <v>74</v>
      </c>
      <c r="E1445" t="s">
        <v>74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75</v>
      </c>
    </row>
    <row r="1446" spans="1:20" x14ac:dyDescent="0.3">
      <c r="A1446" t="s">
        <v>24</v>
      </c>
      <c r="B1446">
        <v>99</v>
      </c>
      <c r="C1446" t="s">
        <v>71</v>
      </c>
      <c r="D1446" t="s">
        <v>74</v>
      </c>
      <c r="E1446" t="s">
        <v>74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74</v>
      </c>
    </row>
    <row r="1447" spans="1:20" x14ac:dyDescent="0.3">
      <c r="A1447" t="s">
        <v>66</v>
      </c>
      <c r="B1447">
        <v>83</v>
      </c>
      <c r="C1447" t="s">
        <v>72</v>
      </c>
      <c r="D1447" t="s">
        <v>74</v>
      </c>
      <c r="E1447" t="s">
        <v>75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74</v>
      </c>
    </row>
    <row r="1448" spans="1:20" x14ac:dyDescent="0.3">
      <c r="A1448" t="s">
        <v>59</v>
      </c>
      <c r="B1448">
        <v>36</v>
      </c>
      <c r="C1448" t="s">
        <v>72</v>
      </c>
      <c r="D1448" t="s">
        <v>74</v>
      </c>
      <c r="E1448" t="s">
        <v>75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74</v>
      </c>
    </row>
    <row r="1449" spans="1:20" x14ac:dyDescent="0.3">
      <c r="A1449" t="s">
        <v>48</v>
      </c>
      <c r="B1449">
        <v>109</v>
      </c>
      <c r="C1449" t="s">
        <v>71</v>
      </c>
      <c r="D1449" t="s">
        <v>75</v>
      </c>
      <c r="E1449" t="s">
        <v>74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75</v>
      </c>
    </row>
    <row r="1450" spans="1:20" x14ac:dyDescent="0.3">
      <c r="A1450" t="s">
        <v>48</v>
      </c>
      <c r="B1450">
        <v>100</v>
      </c>
      <c r="C1450" t="s">
        <v>71</v>
      </c>
      <c r="D1450" t="s">
        <v>74</v>
      </c>
      <c r="E1450" t="s">
        <v>74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74</v>
      </c>
    </row>
    <row r="1451" spans="1:20" x14ac:dyDescent="0.3">
      <c r="A1451" t="s">
        <v>67</v>
      </c>
      <c r="B1451">
        <v>104</v>
      </c>
      <c r="C1451" t="s">
        <v>73</v>
      </c>
      <c r="D1451" t="s">
        <v>74</v>
      </c>
      <c r="E1451" t="s">
        <v>74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74</v>
      </c>
    </row>
    <row r="1452" spans="1:20" x14ac:dyDescent="0.3">
      <c r="A1452" t="s">
        <v>28</v>
      </c>
      <c r="B1452">
        <v>106</v>
      </c>
      <c r="C1452" t="s">
        <v>71</v>
      </c>
      <c r="D1452" t="s">
        <v>74</v>
      </c>
      <c r="E1452" t="s">
        <v>74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74</v>
      </c>
    </row>
    <row r="1453" spans="1:20" x14ac:dyDescent="0.3">
      <c r="A1453" t="s">
        <v>43</v>
      </c>
      <c r="B1453">
        <v>100</v>
      </c>
      <c r="C1453" t="s">
        <v>72</v>
      </c>
      <c r="D1453" t="s">
        <v>74</v>
      </c>
      <c r="E1453" t="s">
        <v>74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74</v>
      </c>
    </row>
    <row r="1454" spans="1:20" x14ac:dyDescent="0.3">
      <c r="A1454" t="s">
        <v>32</v>
      </c>
      <c r="B1454">
        <v>99</v>
      </c>
      <c r="C1454" t="s">
        <v>73</v>
      </c>
      <c r="D1454" t="s">
        <v>74</v>
      </c>
      <c r="E1454" t="s">
        <v>74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74</v>
      </c>
    </row>
    <row r="1455" spans="1:20" x14ac:dyDescent="0.3">
      <c r="A1455" t="s">
        <v>65</v>
      </c>
      <c r="B1455">
        <v>50</v>
      </c>
      <c r="C1455" t="s">
        <v>72</v>
      </c>
      <c r="D1455" t="s">
        <v>74</v>
      </c>
      <c r="E1455" t="s">
        <v>74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74</v>
      </c>
    </row>
    <row r="1456" spans="1:20" x14ac:dyDescent="0.3">
      <c r="A1456" t="s">
        <v>53</v>
      </c>
      <c r="B1456">
        <v>105</v>
      </c>
      <c r="C1456" t="s">
        <v>71</v>
      </c>
      <c r="D1456" t="s">
        <v>74</v>
      </c>
      <c r="E1456" t="s">
        <v>74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74</v>
      </c>
    </row>
    <row r="1457" spans="1:20" x14ac:dyDescent="0.3">
      <c r="A1457" t="s">
        <v>52</v>
      </c>
      <c r="B1457">
        <v>161</v>
      </c>
      <c r="C1457" t="s">
        <v>73</v>
      </c>
      <c r="D1457" t="s">
        <v>74</v>
      </c>
      <c r="E1457" t="s">
        <v>74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74</v>
      </c>
    </row>
    <row r="1458" spans="1:20" x14ac:dyDescent="0.3">
      <c r="A1458" t="s">
        <v>67</v>
      </c>
      <c r="B1458">
        <v>97</v>
      </c>
      <c r="C1458" t="s">
        <v>71</v>
      </c>
      <c r="D1458" t="s">
        <v>74</v>
      </c>
      <c r="E1458" t="s">
        <v>75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74</v>
      </c>
    </row>
    <row r="1459" spans="1:20" x14ac:dyDescent="0.3">
      <c r="A1459" t="s">
        <v>41</v>
      </c>
      <c r="B1459">
        <v>130</v>
      </c>
      <c r="C1459" t="s">
        <v>72</v>
      </c>
      <c r="D1459" t="s">
        <v>74</v>
      </c>
      <c r="E1459" t="s">
        <v>74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74</v>
      </c>
    </row>
    <row r="1460" spans="1:20" x14ac:dyDescent="0.3">
      <c r="A1460" t="s">
        <v>31</v>
      </c>
      <c r="B1460">
        <v>92</v>
      </c>
      <c r="C1460" t="s">
        <v>71</v>
      </c>
      <c r="D1460" t="s">
        <v>74</v>
      </c>
      <c r="E1460" t="s">
        <v>74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74</v>
      </c>
    </row>
    <row r="1461" spans="1:20" x14ac:dyDescent="0.3">
      <c r="A1461" t="s">
        <v>33</v>
      </c>
      <c r="B1461">
        <v>119</v>
      </c>
      <c r="C1461" t="s">
        <v>73</v>
      </c>
      <c r="D1461" t="s">
        <v>74</v>
      </c>
      <c r="E1461" t="s">
        <v>74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74</v>
      </c>
    </row>
    <row r="1462" spans="1:20" x14ac:dyDescent="0.3">
      <c r="A1462" t="s">
        <v>68</v>
      </c>
      <c r="B1462">
        <v>115</v>
      </c>
      <c r="C1462" t="s">
        <v>71</v>
      </c>
      <c r="D1462" t="s">
        <v>74</v>
      </c>
      <c r="E1462" t="s">
        <v>74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75</v>
      </c>
    </row>
    <row r="1463" spans="1:20" x14ac:dyDescent="0.3">
      <c r="A1463" t="s">
        <v>55</v>
      </c>
      <c r="B1463">
        <v>134</v>
      </c>
      <c r="C1463" t="s">
        <v>71</v>
      </c>
      <c r="D1463" t="s">
        <v>74</v>
      </c>
      <c r="E1463" t="s">
        <v>74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74</v>
      </c>
    </row>
    <row r="1464" spans="1:20" x14ac:dyDescent="0.3">
      <c r="A1464" t="s">
        <v>50</v>
      </c>
      <c r="B1464">
        <v>127</v>
      </c>
      <c r="C1464" t="s">
        <v>73</v>
      </c>
      <c r="D1464" t="s">
        <v>74</v>
      </c>
      <c r="E1464" t="s">
        <v>75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74</v>
      </c>
    </row>
    <row r="1465" spans="1:20" x14ac:dyDescent="0.3">
      <c r="A1465" t="s">
        <v>28</v>
      </c>
      <c r="B1465">
        <v>80</v>
      </c>
      <c r="C1465" t="s">
        <v>71</v>
      </c>
      <c r="D1465" t="s">
        <v>74</v>
      </c>
      <c r="E1465" t="s">
        <v>74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75</v>
      </c>
    </row>
    <row r="1466" spans="1:20" x14ac:dyDescent="0.3">
      <c r="A1466" t="s">
        <v>64</v>
      </c>
      <c r="B1466">
        <v>153</v>
      </c>
      <c r="C1466" t="s">
        <v>71</v>
      </c>
      <c r="D1466" t="s">
        <v>74</v>
      </c>
      <c r="E1466" t="s">
        <v>75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74</v>
      </c>
    </row>
    <row r="1467" spans="1:20" x14ac:dyDescent="0.3">
      <c r="A1467" t="s">
        <v>32</v>
      </c>
      <c r="B1467">
        <v>85</v>
      </c>
      <c r="C1467" t="s">
        <v>71</v>
      </c>
      <c r="D1467" t="s">
        <v>74</v>
      </c>
      <c r="E1467" t="s">
        <v>74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74</v>
      </c>
    </row>
    <row r="1468" spans="1:20" x14ac:dyDescent="0.3">
      <c r="A1468" t="s">
        <v>67</v>
      </c>
      <c r="B1468">
        <v>79</v>
      </c>
      <c r="C1468" t="s">
        <v>71</v>
      </c>
      <c r="D1468" t="s">
        <v>74</v>
      </c>
      <c r="E1468" t="s">
        <v>74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74</v>
      </c>
    </row>
    <row r="1469" spans="1:20" x14ac:dyDescent="0.3">
      <c r="A1469" t="s">
        <v>64</v>
      </c>
      <c r="B1469">
        <v>35</v>
      </c>
      <c r="C1469" t="s">
        <v>71</v>
      </c>
      <c r="D1469" t="s">
        <v>74</v>
      </c>
      <c r="E1469" t="s">
        <v>74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74</v>
      </c>
    </row>
    <row r="1470" spans="1:20" x14ac:dyDescent="0.3">
      <c r="A1470" t="s">
        <v>31</v>
      </c>
      <c r="B1470">
        <v>120</v>
      </c>
      <c r="C1470" t="s">
        <v>73</v>
      </c>
      <c r="D1470" t="s">
        <v>74</v>
      </c>
      <c r="E1470" t="s">
        <v>75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74</v>
      </c>
    </row>
    <row r="1471" spans="1:20" x14ac:dyDescent="0.3">
      <c r="A1471" t="s">
        <v>32</v>
      </c>
      <c r="B1471">
        <v>68</v>
      </c>
      <c r="C1471" t="s">
        <v>72</v>
      </c>
      <c r="D1471" t="s">
        <v>74</v>
      </c>
      <c r="E1471" t="s">
        <v>74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74</v>
      </c>
    </row>
    <row r="1472" spans="1:20" x14ac:dyDescent="0.3">
      <c r="A1472" t="s">
        <v>20</v>
      </c>
      <c r="B1472">
        <v>120</v>
      </c>
      <c r="C1472" t="s">
        <v>72</v>
      </c>
      <c r="D1472" t="s">
        <v>74</v>
      </c>
      <c r="E1472" t="s">
        <v>74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74</v>
      </c>
    </row>
    <row r="1473" spans="1:20" x14ac:dyDescent="0.3">
      <c r="A1473" t="s">
        <v>59</v>
      </c>
      <c r="B1473">
        <v>23</v>
      </c>
      <c r="C1473" t="s">
        <v>72</v>
      </c>
      <c r="D1473" t="s">
        <v>74</v>
      </c>
      <c r="E1473" t="s">
        <v>74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75</v>
      </c>
    </row>
    <row r="1474" spans="1:20" x14ac:dyDescent="0.3">
      <c r="A1474" t="s">
        <v>30</v>
      </c>
      <c r="B1474">
        <v>225</v>
      </c>
      <c r="C1474" t="s">
        <v>71</v>
      </c>
      <c r="D1474" t="s">
        <v>74</v>
      </c>
      <c r="E1474" t="s">
        <v>74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74</v>
      </c>
    </row>
    <row r="1475" spans="1:20" x14ac:dyDescent="0.3">
      <c r="A1475" t="s">
        <v>38</v>
      </c>
      <c r="B1475">
        <v>181</v>
      </c>
      <c r="C1475" t="s">
        <v>71</v>
      </c>
      <c r="D1475" t="s">
        <v>75</v>
      </c>
      <c r="E1475" t="s">
        <v>74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75</v>
      </c>
    </row>
    <row r="1476" spans="1:20" x14ac:dyDescent="0.3">
      <c r="A1476" t="s">
        <v>23</v>
      </c>
      <c r="B1476">
        <v>63</v>
      </c>
      <c r="C1476" t="s">
        <v>71</v>
      </c>
      <c r="D1476" t="s">
        <v>74</v>
      </c>
      <c r="E1476" t="s">
        <v>74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74</v>
      </c>
    </row>
    <row r="1477" spans="1:20" x14ac:dyDescent="0.3">
      <c r="A1477" t="s">
        <v>66</v>
      </c>
      <c r="B1477">
        <v>54</v>
      </c>
      <c r="C1477" t="s">
        <v>71</v>
      </c>
      <c r="D1477" t="s">
        <v>75</v>
      </c>
      <c r="E1477" t="s">
        <v>74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75</v>
      </c>
    </row>
    <row r="1478" spans="1:20" x14ac:dyDescent="0.3">
      <c r="A1478" t="s">
        <v>37</v>
      </c>
      <c r="B1478">
        <v>80</v>
      </c>
      <c r="C1478" t="s">
        <v>73</v>
      </c>
      <c r="D1478" t="s">
        <v>75</v>
      </c>
      <c r="E1478" t="s">
        <v>75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74</v>
      </c>
    </row>
    <row r="1479" spans="1:20" x14ac:dyDescent="0.3">
      <c r="A1479" t="s">
        <v>66</v>
      </c>
      <c r="B1479">
        <v>118</v>
      </c>
      <c r="C1479" t="s">
        <v>73</v>
      </c>
      <c r="D1479" t="s">
        <v>75</v>
      </c>
      <c r="E1479" t="s">
        <v>75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74</v>
      </c>
    </row>
    <row r="1480" spans="1:20" x14ac:dyDescent="0.3">
      <c r="A1480" t="s">
        <v>28</v>
      </c>
      <c r="B1480">
        <v>42</v>
      </c>
      <c r="C1480" t="s">
        <v>73</v>
      </c>
      <c r="D1480" t="s">
        <v>75</v>
      </c>
      <c r="E1480" t="s">
        <v>74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74</v>
      </c>
    </row>
    <row r="1481" spans="1:20" x14ac:dyDescent="0.3">
      <c r="A1481" t="s">
        <v>61</v>
      </c>
      <c r="B1481">
        <v>134</v>
      </c>
      <c r="C1481" t="s">
        <v>73</v>
      </c>
      <c r="D1481" t="s">
        <v>74</v>
      </c>
      <c r="E1481" t="s">
        <v>74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74</v>
      </c>
    </row>
    <row r="1482" spans="1:20" x14ac:dyDescent="0.3">
      <c r="A1482" t="s">
        <v>34</v>
      </c>
      <c r="B1482">
        <v>66</v>
      </c>
      <c r="C1482" t="s">
        <v>71</v>
      </c>
      <c r="D1482" t="s">
        <v>74</v>
      </c>
      <c r="E1482" t="s">
        <v>75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74</v>
      </c>
    </row>
    <row r="1483" spans="1:20" x14ac:dyDescent="0.3">
      <c r="A1483" t="s">
        <v>69</v>
      </c>
      <c r="B1483">
        <v>127</v>
      </c>
      <c r="C1483" t="s">
        <v>71</v>
      </c>
      <c r="D1483" t="s">
        <v>74</v>
      </c>
      <c r="E1483" t="s">
        <v>75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74</v>
      </c>
    </row>
    <row r="1484" spans="1:20" x14ac:dyDescent="0.3">
      <c r="A1484" t="s">
        <v>67</v>
      </c>
      <c r="B1484">
        <v>146</v>
      </c>
      <c r="C1484" t="s">
        <v>72</v>
      </c>
      <c r="D1484" t="s">
        <v>74</v>
      </c>
      <c r="E1484" t="s">
        <v>74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74</v>
      </c>
    </row>
    <row r="1485" spans="1:20" x14ac:dyDescent="0.3">
      <c r="A1485" t="s">
        <v>30</v>
      </c>
      <c r="B1485">
        <v>93</v>
      </c>
      <c r="C1485" t="s">
        <v>73</v>
      </c>
      <c r="D1485" t="s">
        <v>74</v>
      </c>
      <c r="E1485" t="s">
        <v>75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74</v>
      </c>
    </row>
    <row r="1486" spans="1:20" x14ac:dyDescent="0.3">
      <c r="A1486" t="s">
        <v>54</v>
      </c>
      <c r="B1486">
        <v>77</v>
      </c>
      <c r="C1486" t="s">
        <v>71</v>
      </c>
      <c r="D1486" t="s">
        <v>74</v>
      </c>
      <c r="E1486" t="s">
        <v>74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75</v>
      </c>
    </row>
    <row r="1487" spans="1:20" x14ac:dyDescent="0.3">
      <c r="A1487" t="s">
        <v>52</v>
      </c>
      <c r="B1487">
        <v>111</v>
      </c>
      <c r="C1487" t="s">
        <v>71</v>
      </c>
      <c r="D1487" t="s">
        <v>74</v>
      </c>
      <c r="E1487" t="s">
        <v>74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75</v>
      </c>
    </row>
    <row r="1488" spans="1:20" x14ac:dyDescent="0.3">
      <c r="A1488" t="s">
        <v>28</v>
      </c>
      <c r="B1488">
        <v>125</v>
      </c>
      <c r="C1488" t="s">
        <v>71</v>
      </c>
      <c r="D1488" t="s">
        <v>74</v>
      </c>
      <c r="E1488" t="s">
        <v>74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74</v>
      </c>
    </row>
    <row r="1489" spans="1:20" x14ac:dyDescent="0.3">
      <c r="A1489" t="s">
        <v>21</v>
      </c>
      <c r="B1489">
        <v>115</v>
      </c>
      <c r="C1489" t="s">
        <v>72</v>
      </c>
      <c r="D1489" t="s">
        <v>74</v>
      </c>
      <c r="E1489" t="s">
        <v>75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74</v>
      </c>
    </row>
    <row r="1490" spans="1:20" x14ac:dyDescent="0.3">
      <c r="A1490" t="s">
        <v>32</v>
      </c>
      <c r="B1490">
        <v>115</v>
      </c>
      <c r="C1490" t="s">
        <v>72</v>
      </c>
      <c r="D1490" t="s">
        <v>75</v>
      </c>
      <c r="E1490" t="s">
        <v>74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75</v>
      </c>
    </row>
    <row r="1491" spans="1:20" x14ac:dyDescent="0.3">
      <c r="A1491" t="s">
        <v>66</v>
      </c>
      <c r="B1491">
        <v>114</v>
      </c>
      <c r="C1491" t="s">
        <v>73</v>
      </c>
      <c r="D1491" t="s">
        <v>74</v>
      </c>
      <c r="E1491" t="s">
        <v>74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74</v>
      </c>
    </row>
    <row r="1492" spans="1:20" x14ac:dyDescent="0.3">
      <c r="A1492" t="s">
        <v>64</v>
      </c>
      <c r="B1492">
        <v>118</v>
      </c>
      <c r="C1492" t="s">
        <v>71</v>
      </c>
      <c r="D1492" t="s">
        <v>74</v>
      </c>
      <c r="E1492" t="s">
        <v>75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74</v>
      </c>
    </row>
    <row r="1493" spans="1:20" x14ac:dyDescent="0.3">
      <c r="A1493" t="s">
        <v>38</v>
      </c>
      <c r="B1493">
        <v>21</v>
      </c>
      <c r="C1493" t="s">
        <v>71</v>
      </c>
      <c r="D1493" t="s">
        <v>74</v>
      </c>
      <c r="E1493" t="s">
        <v>74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74</v>
      </c>
    </row>
    <row r="1494" spans="1:20" x14ac:dyDescent="0.3">
      <c r="A1494" t="s">
        <v>31</v>
      </c>
      <c r="B1494">
        <v>142</v>
      </c>
      <c r="C1494" t="s">
        <v>73</v>
      </c>
      <c r="D1494" t="s">
        <v>74</v>
      </c>
      <c r="E1494" t="s">
        <v>75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74</v>
      </c>
    </row>
    <row r="1495" spans="1:20" x14ac:dyDescent="0.3">
      <c r="A1495" t="s">
        <v>30</v>
      </c>
      <c r="B1495">
        <v>62</v>
      </c>
      <c r="C1495" t="s">
        <v>71</v>
      </c>
      <c r="D1495" t="s">
        <v>74</v>
      </c>
      <c r="E1495" t="s">
        <v>74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74</v>
      </c>
    </row>
    <row r="1496" spans="1:20" x14ac:dyDescent="0.3">
      <c r="A1496" t="s">
        <v>58</v>
      </c>
      <c r="B1496">
        <v>149</v>
      </c>
      <c r="C1496" t="s">
        <v>71</v>
      </c>
      <c r="D1496" t="s">
        <v>74</v>
      </c>
      <c r="E1496" t="s">
        <v>74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75</v>
      </c>
    </row>
    <row r="1497" spans="1:20" x14ac:dyDescent="0.3">
      <c r="A1497" t="s">
        <v>33</v>
      </c>
      <c r="B1497">
        <v>54</v>
      </c>
      <c r="C1497" t="s">
        <v>72</v>
      </c>
      <c r="D1497" t="s">
        <v>74</v>
      </c>
      <c r="E1497" t="s">
        <v>75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74</v>
      </c>
    </row>
    <row r="1498" spans="1:20" x14ac:dyDescent="0.3">
      <c r="A1498" t="s">
        <v>26</v>
      </c>
      <c r="B1498">
        <v>112</v>
      </c>
      <c r="C1498" t="s">
        <v>72</v>
      </c>
      <c r="D1498" t="s">
        <v>74</v>
      </c>
      <c r="E1498" t="s">
        <v>74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74</v>
      </c>
    </row>
    <row r="1499" spans="1:20" x14ac:dyDescent="0.3">
      <c r="A1499" t="s">
        <v>21</v>
      </c>
      <c r="B1499">
        <v>68</v>
      </c>
      <c r="C1499" t="s">
        <v>72</v>
      </c>
      <c r="D1499" t="s">
        <v>74</v>
      </c>
      <c r="E1499" t="s">
        <v>74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74</v>
      </c>
    </row>
    <row r="1500" spans="1:20" x14ac:dyDescent="0.3">
      <c r="A1500" t="s">
        <v>34</v>
      </c>
      <c r="B1500">
        <v>201</v>
      </c>
      <c r="C1500" t="s">
        <v>71</v>
      </c>
      <c r="D1500" t="s">
        <v>74</v>
      </c>
      <c r="E1500" t="s">
        <v>75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74</v>
      </c>
    </row>
    <row r="1501" spans="1:20" x14ac:dyDescent="0.3">
      <c r="A1501" t="s">
        <v>47</v>
      </c>
      <c r="B1501">
        <v>88</v>
      </c>
      <c r="C1501" t="s">
        <v>72</v>
      </c>
      <c r="D1501" t="s">
        <v>74</v>
      </c>
      <c r="E1501" t="s">
        <v>74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74</v>
      </c>
    </row>
    <row r="1502" spans="1:20" x14ac:dyDescent="0.3">
      <c r="A1502" t="s">
        <v>25</v>
      </c>
      <c r="B1502">
        <v>85</v>
      </c>
      <c r="C1502" t="s">
        <v>71</v>
      </c>
      <c r="D1502" t="s">
        <v>74</v>
      </c>
      <c r="E1502" t="s">
        <v>75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74</v>
      </c>
    </row>
    <row r="1503" spans="1:20" x14ac:dyDescent="0.3">
      <c r="A1503" t="s">
        <v>45</v>
      </c>
      <c r="B1503">
        <v>51</v>
      </c>
      <c r="C1503" t="s">
        <v>71</v>
      </c>
      <c r="D1503" t="s">
        <v>75</v>
      </c>
      <c r="E1503" t="s">
        <v>74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75</v>
      </c>
    </row>
    <row r="1504" spans="1:20" x14ac:dyDescent="0.3">
      <c r="A1504" t="s">
        <v>37</v>
      </c>
      <c r="B1504">
        <v>45</v>
      </c>
      <c r="C1504" t="s">
        <v>72</v>
      </c>
      <c r="D1504" t="s">
        <v>74</v>
      </c>
      <c r="E1504" t="s">
        <v>75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74</v>
      </c>
    </row>
    <row r="1505" spans="1:20" x14ac:dyDescent="0.3">
      <c r="A1505" t="s">
        <v>62</v>
      </c>
      <c r="B1505">
        <v>116</v>
      </c>
      <c r="C1505" t="s">
        <v>72</v>
      </c>
      <c r="D1505" t="s">
        <v>74</v>
      </c>
      <c r="E1505" t="s">
        <v>74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74</v>
      </c>
    </row>
    <row r="1506" spans="1:20" x14ac:dyDescent="0.3">
      <c r="A1506" t="s">
        <v>61</v>
      </c>
      <c r="B1506">
        <v>146</v>
      </c>
      <c r="C1506" t="s">
        <v>73</v>
      </c>
      <c r="D1506" t="s">
        <v>74</v>
      </c>
      <c r="E1506" t="s">
        <v>75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74</v>
      </c>
    </row>
    <row r="1507" spans="1:20" x14ac:dyDescent="0.3">
      <c r="A1507" t="s">
        <v>31</v>
      </c>
      <c r="B1507">
        <v>63</v>
      </c>
      <c r="C1507" t="s">
        <v>72</v>
      </c>
      <c r="D1507" t="s">
        <v>74</v>
      </c>
      <c r="E1507" t="s">
        <v>75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74</v>
      </c>
    </row>
    <row r="1508" spans="1:20" x14ac:dyDescent="0.3">
      <c r="A1508" t="s">
        <v>27</v>
      </c>
      <c r="B1508">
        <v>133</v>
      </c>
      <c r="C1508" t="s">
        <v>72</v>
      </c>
      <c r="D1508" t="s">
        <v>74</v>
      </c>
      <c r="E1508" t="s">
        <v>74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74</v>
      </c>
    </row>
    <row r="1509" spans="1:20" x14ac:dyDescent="0.3">
      <c r="A1509" t="s">
        <v>70</v>
      </c>
      <c r="B1509">
        <v>125</v>
      </c>
      <c r="C1509" t="s">
        <v>73</v>
      </c>
      <c r="D1509" t="s">
        <v>74</v>
      </c>
      <c r="E1509" t="s">
        <v>74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74</v>
      </c>
    </row>
    <row r="1510" spans="1:20" x14ac:dyDescent="0.3">
      <c r="A1510" t="s">
        <v>61</v>
      </c>
      <c r="B1510">
        <v>72</v>
      </c>
      <c r="C1510" t="s">
        <v>72</v>
      </c>
      <c r="D1510" t="s">
        <v>74</v>
      </c>
      <c r="E1510" t="s">
        <v>74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74</v>
      </c>
    </row>
    <row r="1511" spans="1:20" x14ac:dyDescent="0.3">
      <c r="A1511" t="s">
        <v>69</v>
      </c>
      <c r="B1511">
        <v>130</v>
      </c>
      <c r="C1511" t="s">
        <v>73</v>
      </c>
      <c r="D1511" t="s">
        <v>74</v>
      </c>
      <c r="E1511" t="s">
        <v>74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74</v>
      </c>
    </row>
    <row r="1512" spans="1:20" x14ac:dyDescent="0.3">
      <c r="A1512" t="s">
        <v>56</v>
      </c>
      <c r="B1512">
        <v>97</v>
      </c>
      <c r="C1512" t="s">
        <v>71</v>
      </c>
      <c r="D1512" t="s">
        <v>74</v>
      </c>
      <c r="E1512" t="s">
        <v>74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74</v>
      </c>
    </row>
    <row r="1513" spans="1:20" x14ac:dyDescent="0.3">
      <c r="A1513" t="s">
        <v>38</v>
      </c>
      <c r="B1513">
        <v>54</v>
      </c>
      <c r="C1513" t="s">
        <v>71</v>
      </c>
      <c r="D1513" t="s">
        <v>74</v>
      </c>
      <c r="E1513" t="s">
        <v>74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75</v>
      </c>
    </row>
    <row r="1514" spans="1:20" x14ac:dyDescent="0.3">
      <c r="A1514" t="s">
        <v>27</v>
      </c>
      <c r="B1514">
        <v>160</v>
      </c>
      <c r="C1514" t="s">
        <v>71</v>
      </c>
      <c r="D1514" t="s">
        <v>74</v>
      </c>
      <c r="E1514" t="s">
        <v>75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74</v>
      </c>
    </row>
    <row r="1515" spans="1:20" x14ac:dyDescent="0.3">
      <c r="A1515" t="s">
        <v>34</v>
      </c>
      <c r="B1515">
        <v>79</v>
      </c>
      <c r="C1515" t="s">
        <v>71</v>
      </c>
      <c r="D1515" t="s">
        <v>74</v>
      </c>
      <c r="E1515" t="s">
        <v>74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74</v>
      </c>
    </row>
    <row r="1516" spans="1:20" x14ac:dyDescent="0.3">
      <c r="A1516" t="s">
        <v>65</v>
      </c>
      <c r="B1516">
        <v>92</v>
      </c>
      <c r="C1516" t="s">
        <v>71</v>
      </c>
      <c r="D1516" t="s">
        <v>74</v>
      </c>
      <c r="E1516" t="s">
        <v>75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74</v>
      </c>
    </row>
    <row r="1517" spans="1:20" x14ac:dyDescent="0.3">
      <c r="A1517" t="s">
        <v>64</v>
      </c>
      <c r="B1517">
        <v>132</v>
      </c>
      <c r="C1517" t="s">
        <v>72</v>
      </c>
      <c r="D1517" t="s">
        <v>74</v>
      </c>
      <c r="E1517" t="s">
        <v>74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74</v>
      </c>
    </row>
    <row r="1518" spans="1:20" x14ac:dyDescent="0.3">
      <c r="A1518" t="s">
        <v>56</v>
      </c>
      <c r="B1518">
        <v>93</v>
      </c>
      <c r="C1518" t="s">
        <v>71</v>
      </c>
      <c r="D1518" t="s">
        <v>74</v>
      </c>
      <c r="E1518" t="s">
        <v>74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74</v>
      </c>
    </row>
    <row r="1519" spans="1:20" x14ac:dyDescent="0.3">
      <c r="A1519" t="s">
        <v>35</v>
      </c>
      <c r="B1519">
        <v>101</v>
      </c>
      <c r="C1519" t="s">
        <v>72</v>
      </c>
      <c r="D1519" t="s">
        <v>74</v>
      </c>
      <c r="E1519" t="s">
        <v>74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74</v>
      </c>
    </row>
    <row r="1520" spans="1:20" x14ac:dyDescent="0.3">
      <c r="A1520" t="s">
        <v>54</v>
      </c>
      <c r="B1520">
        <v>125</v>
      </c>
      <c r="C1520" t="s">
        <v>71</v>
      </c>
      <c r="D1520" t="s">
        <v>75</v>
      </c>
      <c r="E1520" t="s">
        <v>74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75</v>
      </c>
    </row>
    <row r="1521" spans="1:20" x14ac:dyDescent="0.3">
      <c r="A1521" t="s">
        <v>33</v>
      </c>
      <c r="B1521">
        <v>63</v>
      </c>
      <c r="C1521" t="s">
        <v>71</v>
      </c>
      <c r="D1521" t="s">
        <v>74</v>
      </c>
      <c r="E1521" t="s">
        <v>74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74</v>
      </c>
    </row>
    <row r="1522" spans="1:20" x14ac:dyDescent="0.3">
      <c r="A1522" t="s">
        <v>49</v>
      </c>
      <c r="B1522">
        <v>107</v>
      </c>
      <c r="C1522" t="s">
        <v>71</v>
      </c>
      <c r="D1522" t="s">
        <v>74</v>
      </c>
      <c r="E1522" t="s">
        <v>74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74</v>
      </c>
    </row>
    <row r="1523" spans="1:20" x14ac:dyDescent="0.3">
      <c r="A1523" t="s">
        <v>64</v>
      </c>
      <c r="B1523">
        <v>110</v>
      </c>
      <c r="C1523" t="s">
        <v>73</v>
      </c>
      <c r="D1523" t="s">
        <v>74</v>
      </c>
      <c r="E1523" t="s">
        <v>74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74</v>
      </c>
    </row>
    <row r="1524" spans="1:20" x14ac:dyDescent="0.3">
      <c r="A1524" t="s">
        <v>46</v>
      </c>
      <c r="B1524">
        <v>83</v>
      </c>
      <c r="C1524" t="s">
        <v>71</v>
      </c>
      <c r="D1524" t="s">
        <v>74</v>
      </c>
      <c r="E1524" t="s">
        <v>74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74</v>
      </c>
    </row>
    <row r="1525" spans="1:20" x14ac:dyDescent="0.3">
      <c r="A1525" t="s">
        <v>32</v>
      </c>
      <c r="B1525">
        <v>117</v>
      </c>
      <c r="C1525" t="s">
        <v>73</v>
      </c>
      <c r="D1525" t="s">
        <v>74</v>
      </c>
      <c r="E1525" t="s">
        <v>74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74</v>
      </c>
    </row>
    <row r="1526" spans="1:20" x14ac:dyDescent="0.3">
      <c r="A1526" t="s">
        <v>70</v>
      </c>
      <c r="B1526">
        <v>124</v>
      </c>
      <c r="C1526" t="s">
        <v>71</v>
      </c>
      <c r="D1526" t="s">
        <v>74</v>
      </c>
      <c r="E1526" t="s">
        <v>74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74</v>
      </c>
    </row>
    <row r="1527" spans="1:20" x14ac:dyDescent="0.3">
      <c r="A1527" t="s">
        <v>46</v>
      </c>
      <c r="B1527">
        <v>115</v>
      </c>
      <c r="C1527" t="s">
        <v>72</v>
      </c>
      <c r="D1527" t="s">
        <v>74</v>
      </c>
      <c r="E1527" t="s">
        <v>74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74</v>
      </c>
    </row>
    <row r="1528" spans="1:20" x14ac:dyDescent="0.3">
      <c r="A1528" t="s">
        <v>33</v>
      </c>
      <c r="B1528">
        <v>156</v>
      </c>
      <c r="C1528" t="s">
        <v>73</v>
      </c>
      <c r="D1528" t="s">
        <v>75</v>
      </c>
      <c r="E1528" t="s">
        <v>74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74</v>
      </c>
    </row>
    <row r="1529" spans="1:20" x14ac:dyDescent="0.3">
      <c r="A1529" t="s">
        <v>70</v>
      </c>
      <c r="B1529">
        <v>89</v>
      </c>
      <c r="C1529" t="s">
        <v>73</v>
      </c>
      <c r="D1529" t="s">
        <v>74</v>
      </c>
      <c r="E1529" t="s">
        <v>74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74</v>
      </c>
    </row>
    <row r="1530" spans="1:20" x14ac:dyDescent="0.3">
      <c r="A1530" t="s">
        <v>70</v>
      </c>
      <c r="B1530">
        <v>72</v>
      </c>
      <c r="C1530" t="s">
        <v>71</v>
      </c>
      <c r="D1530" t="s">
        <v>74</v>
      </c>
      <c r="E1530" t="s">
        <v>74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74</v>
      </c>
    </row>
    <row r="1531" spans="1:20" x14ac:dyDescent="0.3">
      <c r="A1531" t="s">
        <v>51</v>
      </c>
      <c r="B1531">
        <v>101</v>
      </c>
      <c r="C1531" t="s">
        <v>71</v>
      </c>
      <c r="D1531" t="s">
        <v>74</v>
      </c>
      <c r="E1531" t="s">
        <v>75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74</v>
      </c>
    </row>
    <row r="1532" spans="1:20" x14ac:dyDescent="0.3">
      <c r="A1532" t="s">
        <v>58</v>
      </c>
      <c r="B1532">
        <v>53</v>
      </c>
      <c r="C1532" t="s">
        <v>71</v>
      </c>
      <c r="D1532" t="s">
        <v>74</v>
      </c>
      <c r="E1532" t="s">
        <v>74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74</v>
      </c>
    </row>
    <row r="1533" spans="1:20" x14ac:dyDescent="0.3">
      <c r="A1533" t="s">
        <v>56</v>
      </c>
      <c r="B1533">
        <v>116</v>
      </c>
      <c r="C1533" t="s">
        <v>73</v>
      </c>
      <c r="D1533" t="s">
        <v>74</v>
      </c>
      <c r="E1533" t="s">
        <v>74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74</v>
      </c>
    </row>
    <row r="1534" spans="1:20" x14ac:dyDescent="0.3">
      <c r="A1534" t="s">
        <v>45</v>
      </c>
      <c r="B1534">
        <v>78</v>
      </c>
      <c r="C1534" t="s">
        <v>73</v>
      </c>
      <c r="D1534" t="s">
        <v>74</v>
      </c>
      <c r="E1534" t="s">
        <v>74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74</v>
      </c>
    </row>
    <row r="1535" spans="1:20" x14ac:dyDescent="0.3">
      <c r="A1535" t="s">
        <v>24</v>
      </c>
      <c r="B1535">
        <v>56</v>
      </c>
      <c r="C1535" t="s">
        <v>72</v>
      </c>
      <c r="D1535" t="s">
        <v>74</v>
      </c>
      <c r="E1535" t="s">
        <v>74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74</v>
      </c>
    </row>
    <row r="1536" spans="1:20" x14ac:dyDescent="0.3">
      <c r="A1536" t="s">
        <v>61</v>
      </c>
      <c r="B1536">
        <v>123</v>
      </c>
      <c r="C1536" t="s">
        <v>73</v>
      </c>
      <c r="D1536" t="s">
        <v>74</v>
      </c>
      <c r="E1536" t="s">
        <v>75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74</v>
      </c>
    </row>
    <row r="1537" spans="1:20" x14ac:dyDescent="0.3">
      <c r="A1537" t="s">
        <v>61</v>
      </c>
      <c r="B1537">
        <v>127</v>
      </c>
      <c r="C1537" t="s">
        <v>73</v>
      </c>
      <c r="D1537" t="s">
        <v>74</v>
      </c>
      <c r="E1537" t="s">
        <v>74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74</v>
      </c>
    </row>
    <row r="1538" spans="1:20" x14ac:dyDescent="0.3">
      <c r="A1538" t="s">
        <v>62</v>
      </c>
      <c r="B1538">
        <v>116</v>
      </c>
      <c r="C1538" t="s">
        <v>71</v>
      </c>
      <c r="D1538" t="s">
        <v>74</v>
      </c>
      <c r="E1538" t="s">
        <v>75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74</v>
      </c>
    </row>
    <row r="1539" spans="1:20" x14ac:dyDescent="0.3">
      <c r="A1539" t="s">
        <v>20</v>
      </c>
      <c r="B1539">
        <v>138</v>
      </c>
      <c r="C1539" t="s">
        <v>72</v>
      </c>
      <c r="D1539" t="s">
        <v>74</v>
      </c>
      <c r="E1539" t="s">
        <v>75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74</v>
      </c>
    </row>
    <row r="1540" spans="1:20" x14ac:dyDescent="0.3">
      <c r="A1540" t="s">
        <v>34</v>
      </c>
      <c r="B1540">
        <v>120</v>
      </c>
      <c r="C1540" t="s">
        <v>71</v>
      </c>
      <c r="D1540" t="s">
        <v>74</v>
      </c>
      <c r="E1540" t="s">
        <v>74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74</v>
      </c>
    </row>
    <row r="1541" spans="1:20" x14ac:dyDescent="0.3">
      <c r="A1541" t="s">
        <v>31</v>
      </c>
      <c r="B1541">
        <v>102</v>
      </c>
      <c r="C1541" t="s">
        <v>73</v>
      </c>
      <c r="D1541" t="s">
        <v>74</v>
      </c>
      <c r="E1541" t="s">
        <v>74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74</v>
      </c>
    </row>
    <row r="1542" spans="1:20" x14ac:dyDescent="0.3">
      <c r="A1542" t="s">
        <v>58</v>
      </c>
      <c r="B1542">
        <v>95</v>
      </c>
      <c r="C1542" t="s">
        <v>71</v>
      </c>
      <c r="D1542" t="s">
        <v>74</v>
      </c>
      <c r="E1542" t="s">
        <v>74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74</v>
      </c>
    </row>
    <row r="1543" spans="1:20" x14ac:dyDescent="0.3">
      <c r="A1543" t="s">
        <v>50</v>
      </c>
      <c r="B1543">
        <v>102</v>
      </c>
      <c r="C1543" t="s">
        <v>73</v>
      </c>
      <c r="D1543" t="s">
        <v>74</v>
      </c>
      <c r="E1543" t="s">
        <v>74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74</v>
      </c>
    </row>
    <row r="1544" spans="1:20" x14ac:dyDescent="0.3">
      <c r="A1544" t="s">
        <v>62</v>
      </c>
      <c r="B1544">
        <v>89</v>
      </c>
      <c r="C1544" t="s">
        <v>71</v>
      </c>
      <c r="D1544" t="s">
        <v>74</v>
      </c>
      <c r="E1544" t="s">
        <v>75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74</v>
      </c>
    </row>
    <row r="1545" spans="1:20" x14ac:dyDescent="0.3">
      <c r="A1545" t="s">
        <v>54</v>
      </c>
      <c r="B1545">
        <v>50</v>
      </c>
      <c r="C1545" t="s">
        <v>73</v>
      </c>
      <c r="D1545" t="s">
        <v>74</v>
      </c>
      <c r="E1545" t="s">
        <v>74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74</v>
      </c>
    </row>
    <row r="1546" spans="1:20" x14ac:dyDescent="0.3">
      <c r="A1546" t="s">
        <v>61</v>
      </c>
      <c r="B1546">
        <v>93</v>
      </c>
      <c r="C1546" t="s">
        <v>71</v>
      </c>
      <c r="D1546" t="s">
        <v>74</v>
      </c>
      <c r="E1546" t="s">
        <v>75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74</v>
      </c>
    </row>
    <row r="1547" spans="1:20" x14ac:dyDescent="0.3">
      <c r="A1547" t="s">
        <v>30</v>
      </c>
      <c r="B1547">
        <v>68</v>
      </c>
      <c r="C1547" t="s">
        <v>72</v>
      </c>
      <c r="D1547" t="s">
        <v>74</v>
      </c>
      <c r="E1547" t="s">
        <v>74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74</v>
      </c>
    </row>
    <row r="1548" spans="1:20" x14ac:dyDescent="0.3">
      <c r="A1548" t="s">
        <v>25</v>
      </c>
      <c r="B1548">
        <v>70</v>
      </c>
      <c r="C1548" t="s">
        <v>73</v>
      </c>
      <c r="D1548" t="s">
        <v>74</v>
      </c>
      <c r="E1548" t="s">
        <v>74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74</v>
      </c>
    </row>
    <row r="1549" spans="1:20" x14ac:dyDescent="0.3">
      <c r="A1549" t="s">
        <v>63</v>
      </c>
      <c r="B1549">
        <v>141</v>
      </c>
      <c r="C1549" t="s">
        <v>71</v>
      </c>
      <c r="D1549" t="s">
        <v>74</v>
      </c>
      <c r="E1549" t="s">
        <v>75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74</v>
      </c>
    </row>
    <row r="1550" spans="1:20" x14ac:dyDescent="0.3">
      <c r="A1550" t="s">
        <v>36</v>
      </c>
      <c r="B1550">
        <v>112</v>
      </c>
      <c r="C1550" t="s">
        <v>71</v>
      </c>
      <c r="D1550" t="s">
        <v>74</v>
      </c>
      <c r="E1550" t="s">
        <v>75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74</v>
      </c>
    </row>
    <row r="1551" spans="1:20" x14ac:dyDescent="0.3">
      <c r="A1551" t="s">
        <v>46</v>
      </c>
      <c r="B1551">
        <v>117</v>
      </c>
      <c r="C1551" t="s">
        <v>72</v>
      </c>
      <c r="D1551" t="s">
        <v>75</v>
      </c>
      <c r="E1551" t="s">
        <v>74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75</v>
      </c>
    </row>
    <row r="1552" spans="1:20" x14ac:dyDescent="0.3">
      <c r="A1552" t="s">
        <v>22</v>
      </c>
      <c r="B1552">
        <v>1</v>
      </c>
      <c r="C1552" t="s">
        <v>73</v>
      </c>
      <c r="D1552" t="s">
        <v>74</v>
      </c>
      <c r="E1552" t="s">
        <v>75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74</v>
      </c>
    </row>
    <row r="1553" spans="1:20" x14ac:dyDescent="0.3">
      <c r="A1553" t="s">
        <v>21</v>
      </c>
      <c r="B1553">
        <v>70</v>
      </c>
      <c r="C1553" t="s">
        <v>71</v>
      </c>
      <c r="D1553" t="s">
        <v>74</v>
      </c>
      <c r="E1553" t="s">
        <v>74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74</v>
      </c>
    </row>
    <row r="1554" spans="1:20" x14ac:dyDescent="0.3">
      <c r="A1554" t="s">
        <v>58</v>
      </c>
      <c r="B1554">
        <v>87</v>
      </c>
      <c r="C1554" t="s">
        <v>72</v>
      </c>
      <c r="D1554" t="s">
        <v>74</v>
      </c>
      <c r="E1554" t="s">
        <v>75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74</v>
      </c>
    </row>
    <row r="1555" spans="1:20" x14ac:dyDescent="0.3">
      <c r="A1555" t="s">
        <v>65</v>
      </c>
      <c r="B1555">
        <v>52</v>
      </c>
      <c r="C1555" t="s">
        <v>72</v>
      </c>
      <c r="D1555" t="s">
        <v>74</v>
      </c>
      <c r="E1555" t="s">
        <v>75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74</v>
      </c>
    </row>
    <row r="1556" spans="1:20" x14ac:dyDescent="0.3">
      <c r="A1556" t="s">
        <v>41</v>
      </c>
      <c r="B1556">
        <v>97</v>
      </c>
      <c r="C1556" t="s">
        <v>73</v>
      </c>
      <c r="D1556" t="s">
        <v>74</v>
      </c>
      <c r="E1556" t="s">
        <v>74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75</v>
      </c>
    </row>
    <row r="1557" spans="1:20" x14ac:dyDescent="0.3">
      <c r="A1557" t="s">
        <v>68</v>
      </c>
      <c r="B1557">
        <v>105</v>
      </c>
      <c r="C1557" t="s">
        <v>73</v>
      </c>
      <c r="D1557" t="s">
        <v>74</v>
      </c>
      <c r="E1557" t="s">
        <v>74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74</v>
      </c>
    </row>
    <row r="1558" spans="1:20" x14ac:dyDescent="0.3">
      <c r="A1558" t="s">
        <v>43</v>
      </c>
      <c r="B1558">
        <v>77</v>
      </c>
      <c r="C1558" t="s">
        <v>72</v>
      </c>
      <c r="D1558" t="s">
        <v>74</v>
      </c>
      <c r="E1558" t="s">
        <v>75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75</v>
      </c>
    </row>
    <row r="1559" spans="1:20" x14ac:dyDescent="0.3">
      <c r="A1559" t="s">
        <v>66</v>
      </c>
      <c r="B1559">
        <v>80</v>
      </c>
      <c r="C1559" t="s">
        <v>71</v>
      </c>
      <c r="D1559" t="s">
        <v>75</v>
      </c>
      <c r="E1559" t="s">
        <v>74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75</v>
      </c>
    </row>
    <row r="1560" spans="1:20" x14ac:dyDescent="0.3">
      <c r="A1560" t="s">
        <v>46</v>
      </c>
      <c r="B1560">
        <v>120</v>
      </c>
      <c r="C1560" t="s">
        <v>72</v>
      </c>
      <c r="D1560" t="s">
        <v>74</v>
      </c>
      <c r="E1560" t="s">
        <v>75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74</v>
      </c>
    </row>
    <row r="1561" spans="1:20" x14ac:dyDescent="0.3">
      <c r="A1561" t="s">
        <v>30</v>
      </c>
      <c r="B1561">
        <v>54</v>
      </c>
      <c r="C1561" t="s">
        <v>73</v>
      </c>
      <c r="D1561" t="s">
        <v>74</v>
      </c>
      <c r="E1561" t="s">
        <v>75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74</v>
      </c>
    </row>
    <row r="1562" spans="1:20" x14ac:dyDescent="0.3">
      <c r="A1562" t="s">
        <v>39</v>
      </c>
      <c r="B1562">
        <v>148</v>
      </c>
      <c r="C1562" t="s">
        <v>72</v>
      </c>
      <c r="D1562" t="s">
        <v>75</v>
      </c>
      <c r="E1562" t="s">
        <v>74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74</v>
      </c>
    </row>
    <row r="1563" spans="1:20" x14ac:dyDescent="0.3">
      <c r="A1563" t="s">
        <v>47</v>
      </c>
      <c r="B1563">
        <v>119</v>
      </c>
      <c r="C1563" t="s">
        <v>73</v>
      </c>
      <c r="D1563" t="s">
        <v>74</v>
      </c>
      <c r="E1563" t="s">
        <v>74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75</v>
      </c>
    </row>
    <row r="1564" spans="1:20" x14ac:dyDescent="0.3">
      <c r="A1564" t="s">
        <v>66</v>
      </c>
      <c r="B1564">
        <v>162</v>
      </c>
      <c r="C1564" t="s">
        <v>73</v>
      </c>
      <c r="D1564" t="s">
        <v>74</v>
      </c>
      <c r="E1564" t="s">
        <v>75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75</v>
      </c>
    </row>
    <row r="1565" spans="1:20" x14ac:dyDescent="0.3">
      <c r="A1565" t="s">
        <v>37</v>
      </c>
      <c r="B1565">
        <v>85</v>
      </c>
      <c r="C1565" t="s">
        <v>72</v>
      </c>
      <c r="D1565" t="s">
        <v>74</v>
      </c>
      <c r="E1565" t="s">
        <v>74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75</v>
      </c>
    </row>
    <row r="1566" spans="1:20" x14ac:dyDescent="0.3">
      <c r="A1566" t="s">
        <v>20</v>
      </c>
      <c r="B1566">
        <v>101</v>
      </c>
      <c r="C1566" t="s">
        <v>72</v>
      </c>
      <c r="D1566" t="s">
        <v>74</v>
      </c>
      <c r="E1566" t="s">
        <v>75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74</v>
      </c>
    </row>
    <row r="1567" spans="1:20" x14ac:dyDescent="0.3">
      <c r="A1567" t="s">
        <v>70</v>
      </c>
      <c r="B1567">
        <v>172</v>
      </c>
      <c r="C1567" t="s">
        <v>71</v>
      </c>
      <c r="D1567" t="s">
        <v>74</v>
      </c>
      <c r="E1567" t="s">
        <v>74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74</v>
      </c>
    </row>
    <row r="1568" spans="1:20" x14ac:dyDescent="0.3">
      <c r="A1568" t="s">
        <v>31</v>
      </c>
      <c r="B1568">
        <v>67</v>
      </c>
      <c r="C1568" t="s">
        <v>72</v>
      </c>
      <c r="D1568" t="s">
        <v>74</v>
      </c>
      <c r="E1568" t="s">
        <v>74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74</v>
      </c>
    </row>
    <row r="1569" spans="1:20" x14ac:dyDescent="0.3">
      <c r="A1569" t="s">
        <v>33</v>
      </c>
      <c r="B1569">
        <v>86</v>
      </c>
      <c r="C1569" t="s">
        <v>73</v>
      </c>
      <c r="D1569" t="s">
        <v>74</v>
      </c>
      <c r="E1569" t="s">
        <v>74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74</v>
      </c>
    </row>
    <row r="1570" spans="1:20" x14ac:dyDescent="0.3">
      <c r="A1570" t="s">
        <v>52</v>
      </c>
      <c r="B1570">
        <v>107</v>
      </c>
      <c r="C1570" t="s">
        <v>71</v>
      </c>
      <c r="D1570" t="s">
        <v>74</v>
      </c>
      <c r="E1570" t="s">
        <v>74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75</v>
      </c>
    </row>
    <row r="1571" spans="1:20" x14ac:dyDescent="0.3">
      <c r="A1571" t="s">
        <v>25</v>
      </c>
      <c r="B1571">
        <v>116</v>
      </c>
      <c r="C1571" t="s">
        <v>72</v>
      </c>
      <c r="D1571" t="s">
        <v>74</v>
      </c>
      <c r="E1571" t="s">
        <v>74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74</v>
      </c>
    </row>
    <row r="1572" spans="1:20" x14ac:dyDescent="0.3">
      <c r="A1572" t="s">
        <v>41</v>
      </c>
      <c r="B1572">
        <v>63</v>
      </c>
      <c r="C1572" t="s">
        <v>73</v>
      </c>
      <c r="D1572" t="s">
        <v>74</v>
      </c>
      <c r="E1572" t="s">
        <v>74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74</v>
      </c>
    </row>
    <row r="1573" spans="1:20" x14ac:dyDescent="0.3">
      <c r="A1573" t="s">
        <v>36</v>
      </c>
      <c r="B1573">
        <v>119</v>
      </c>
      <c r="C1573" t="s">
        <v>73</v>
      </c>
      <c r="D1573" t="s">
        <v>75</v>
      </c>
      <c r="E1573" t="s">
        <v>75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75</v>
      </c>
    </row>
    <row r="1574" spans="1:20" x14ac:dyDescent="0.3">
      <c r="A1574" t="s">
        <v>61</v>
      </c>
      <c r="B1574">
        <v>133</v>
      </c>
      <c r="C1574" t="s">
        <v>73</v>
      </c>
      <c r="D1574" t="s">
        <v>75</v>
      </c>
      <c r="E1574" t="s">
        <v>74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75</v>
      </c>
    </row>
    <row r="1575" spans="1:20" x14ac:dyDescent="0.3">
      <c r="A1575" t="s">
        <v>69</v>
      </c>
      <c r="B1575">
        <v>94</v>
      </c>
      <c r="C1575" t="s">
        <v>73</v>
      </c>
      <c r="D1575" t="s">
        <v>75</v>
      </c>
      <c r="E1575" t="s">
        <v>74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74</v>
      </c>
    </row>
    <row r="1576" spans="1:20" x14ac:dyDescent="0.3">
      <c r="A1576" t="s">
        <v>36</v>
      </c>
      <c r="B1576">
        <v>69</v>
      </c>
      <c r="C1576" t="s">
        <v>72</v>
      </c>
      <c r="D1576" t="s">
        <v>74</v>
      </c>
      <c r="E1576" t="s">
        <v>74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74</v>
      </c>
    </row>
    <row r="1577" spans="1:20" x14ac:dyDescent="0.3">
      <c r="A1577" t="s">
        <v>40</v>
      </c>
      <c r="B1577">
        <v>146</v>
      </c>
      <c r="C1577" t="s">
        <v>73</v>
      </c>
      <c r="D1577" t="s">
        <v>74</v>
      </c>
      <c r="E1577" t="s">
        <v>74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75</v>
      </c>
    </row>
    <row r="1578" spans="1:20" x14ac:dyDescent="0.3">
      <c r="A1578" t="s">
        <v>34</v>
      </c>
      <c r="B1578">
        <v>119</v>
      </c>
      <c r="C1578" t="s">
        <v>72</v>
      </c>
      <c r="D1578" t="s">
        <v>74</v>
      </c>
      <c r="E1578" t="s">
        <v>74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75</v>
      </c>
    </row>
    <row r="1579" spans="1:20" x14ac:dyDescent="0.3">
      <c r="A1579" t="s">
        <v>46</v>
      </c>
      <c r="B1579">
        <v>142</v>
      </c>
      <c r="C1579" t="s">
        <v>73</v>
      </c>
      <c r="D1579" t="s">
        <v>75</v>
      </c>
      <c r="E1579" t="s">
        <v>75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74</v>
      </c>
    </row>
    <row r="1580" spans="1:20" x14ac:dyDescent="0.3">
      <c r="A1580" t="s">
        <v>53</v>
      </c>
      <c r="B1580">
        <v>101</v>
      </c>
      <c r="C1580" t="s">
        <v>73</v>
      </c>
      <c r="D1580" t="s">
        <v>74</v>
      </c>
      <c r="E1580" t="s">
        <v>74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75</v>
      </c>
    </row>
    <row r="1581" spans="1:20" x14ac:dyDescent="0.3">
      <c r="A1581" t="s">
        <v>48</v>
      </c>
      <c r="B1581">
        <v>43</v>
      </c>
      <c r="C1581" t="s">
        <v>71</v>
      </c>
      <c r="D1581" t="s">
        <v>74</v>
      </c>
      <c r="E1581" t="s">
        <v>74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74</v>
      </c>
    </row>
    <row r="1582" spans="1:20" x14ac:dyDescent="0.3">
      <c r="A1582" t="s">
        <v>51</v>
      </c>
      <c r="B1582">
        <v>69</v>
      </c>
      <c r="C1582" t="s">
        <v>73</v>
      </c>
      <c r="D1582" t="s">
        <v>74</v>
      </c>
      <c r="E1582" t="s">
        <v>74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74</v>
      </c>
    </row>
    <row r="1583" spans="1:20" x14ac:dyDescent="0.3">
      <c r="A1583" t="s">
        <v>38</v>
      </c>
      <c r="B1583">
        <v>15</v>
      </c>
      <c r="C1583" t="s">
        <v>72</v>
      </c>
      <c r="D1583" t="s">
        <v>75</v>
      </c>
      <c r="E1583" t="s">
        <v>74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74</v>
      </c>
    </row>
    <row r="1584" spans="1:20" x14ac:dyDescent="0.3">
      <c r="A1584" t="s">
        <v>31</v>
      </c>
      <c r="B1584">
        <v>107</v>
      </c>
      <c r="C1584" t="s">
        <v>72</v>
      </c>
      <c r="D1584" t="s">
        <v>74</v>
      </c>
      <c r="E1584" t="s">
        <v>75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74</v>
      </c>
    </row>
    <row r="1585" spans="1:20" x14ac:dyDescent="0.3">
      <c r="A1585" t="s">
        <v>65</v>
      </c>
      <c r="B1585">
        <v>67</v>
      </c>
      <c r="C1585" t="s">
        <v>72</v>
      </c>
      <c r="D1585" t="s">
        <v>74</v>
      </c>
      <c r="E1585" t="s">
        <v>74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74</v>
      </c>
    </row>
    <row r="1586" spans="1:20" x14ac:dyDescent="0.3">
      <c r="A1586" t="s">
        <v>38</v>
      </c>
      <c r="B1586">
        <v>99</v>
      </c>
      <c r="C1586" t="s">
        <v>71</v>
      </c>
      <c r="D1586" t="s">
        <v>74</v>
      </c>
      <c r="E1586" t="s">
        <v>74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74</v>
      </c>
    </row>
    <row r="1587" spans="1:20" x14ac:dyDescent="0.3">
      <c r="A1587" t="s">
        <v>44</v>
      </c>
      <c r="B1587">
        <v>46</v>
      </c>
      <c r="C1587" t="s">
        <v>71</v>
      </c>
      <c r="D1587" t="s">
        <v>74</v>
      </c>
      <c r="E1587" t="s">
        <v>74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74</v>
      </c>
    </row>
    <row r="1588" spans="1:20" x14ac:dyDescent="0.3">
      <c r="A1588" t="s">
        <v>66</v>
      </c>
      <c r="B1588">
        <v>55</v>
      </c>
      <c r="C1588" t="s">
        <v>73</v>
      </c>
      <c r="D1588" t="s">
        <v>75</v>
      </c>
      <c r="E1588" t="s">
        <v>74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74</v>
      </c>
    </row>
    <row r="1589" spans="1:20" x14ac:dyDescent="0.3">
      <c r="A1589" t="s">
        <v>54</v>
      </c>
      <c r="B1589">
        <v>56</v>
      </c>
      <c r="C1589" t="s">
        <v>71</v>
      </c>
      <c r="D1589" t="s">
        <v>74</v>
      </c>
      <c r="E1589" t="s">
        <v>74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75</v>
      </c>
    </row>
    <row r="1590" spans="1:20" x14ac:dyDescent="0.3">
      <c r="A1590" t="s">
        <v>24</v>
      </c>
      <c r="B1590">
        <v>76</v>
      </c>
      <c r="C1590" t="s">
        <v>71</v>
      </c>
      <c r="D1590" t="s">
        <v>74</v>
      </c>
      <c r="E1590" t="s">
        <v>74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75</v>
      </c>
    </row>
    <row r="1591" spans="1:20" x14ac:dyDescent="0.3">
      <c r="A1591" t="s">
        <v>67</v>
      </c>
      <c r="B1591">
        <v>132</v>
      </c>
      <c r="C1591" t="s">
        <v>73</v>
      </c>
      <c r="D1591" t="s">
        <v>75</v>
      </c>
      <c r="E1591" t="s">
        <v>75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74</v>
      </c>
    </row>
    <row r="1592" spans="1:20" x14ac:dyDescent="0.3">
      <c r="A1592" t="s">
        <v>43</v>
      </c>
      <c r="B1592">
        <v>140</v>
      </c>
      <c r="C1592" t="s">
        <v>72</v>
      </c>
      <c r="D1592" t="s">
        <v>74</v>
      </c>
      <c r="E1592" t="s">
        <v>75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74</v>
      </c>
    </row>
    <row r="1593" spans="1:20" x14ac:dyDescent="0.3">
      <c r="A1593" t="s">
        <v>35</v>
      </c>
      <c r="B1593">
        <v>51</v>
      </c>
      <c r="C1593" t="s">
        <v>72</v>
      </c>
      <c r="D1593" t="s">
        <v>75</v>
      </c>
      <c r="E1593" t="s">
        <v>75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74</v>
      </c>
    </row>
    <row r="1594" spans="1:20" x14ac:dyDescent="0.3">
      <c r="A1594" t="s">
        <v>56</v>
      </c>
      <c r="B1594">
        <v>27</v>
      </c>
      <c r="C1594" t="s">
        <v>73</v>
      </c>
      <c r="D1594" t="s">
        <v>74</v>
      </c>
      <c r="E1594" t="s">
        <v>74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74</v>
      </c>
    </row>
    <row r="1595" spans="1:20" x14ac:dyDescent="0.3">
      <c r="A1595" t="s">
        <v>29</v>
      </c>
      <c r="B1595">
        <v>224</v>
      </c>
      <c r="C1595" t="s">
        <v>72</v>
      </c>
      <c r="D1595" t="s">
        <v>74</v>
      </c>
      <c r="E1595" t="s">
        <v>74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74</v>
      </c>
    </row>
    <row r="1596" spans="1:20" x14ac:dyDescent="0.3">
      <c r="A1596" t="s">
        <v>44</v>
      </c>
      <c r="B1596">
        <v>105</v>
      </c>
      <c r="C1596" t="s">
        <v>72</v>
      </c>
      <c r="D1596" t="s">
        <v>75</v>
      </c>
      <c r="E1596" t="s">
        <v>75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75</v>
      </c>
    </row>
    <row r="1597" spans="1:20" x14ac:dyDescent="0.3">
      <c r="A1597" t="s">
        <v>41</v>
      </c>
      <c r="B1597">
        <v>117</v>
      </c>
      <c r="C1597" t="s">
        <v>73</v>
      </c>
      <c r="D1597" t="s">
        <v>74</v>
      </c>
      <c r="E1597" t="s">
        <v>74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74</v>
      </c>
    </row>
    <row r="1598" spans="1:20" x14ac:dyDescent="0.3">
      <c r="A1598" t="s">
        <v>56</v>
      </c>
      <c r="B1598">
        <v>91</v>
      </c>
      <c r="C1598" t="s">
        <v>71</v>
      </c>
      <c r="D1598" t="s">
        <v>74</v>
      </c>
      <c r="E1598" t="s">
        <v>74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75</v>
      </c>
    </row>
    <row r="1599" spans="1:20" x14ac:dyDescent="0.3">
      <c r="A1599" t="s">
        <v>61</v>
      </c>
      <c r="B1599">
        <v>135</v>
      </c>
      <c r="C1599" t="s">
        <v>71</v>
      </c>
      <c r="D1599" t="s">
        <v>74</v>
      </c>
      <c r="E1599" t="s">
        <v>74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74</v>
      </c>
    </row>
    <row r="1600" spans="1:20" x14ac:dyDescent="0.3">
      <c r="A1600" t="s">
        <v>50</v>
      </c>
      <c r="B1600">
        <v>146</v>
      </c>
      <c r="C1600" t="s">
        <v>71</v>
      </c>
      <c r="D1600" t="s">
        <v>74</v>
      </c>
      <c r="E1600" t="s">
        <v>74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74</v>
      </c>
    </row>
    <row r="1601" spans="1:20" x14ac:dyDescent="0.3">
      <c r="A1601" t="s">
        <v>31</v>
      </c>
      <c r="B1601">
        <v>147</v>
      </c>
      <c r="C1601" t="s">
        <v>71</v>
      </c>
      <c r="D1601" t="s">
        <v>75</v>
      </c>
      <c r="E1601" t="s">
        <v>74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75</v>
      </c>
    </row>
    <row r="1602" spans="1:20" x14ac:dyDescent="0.3">
      <c r="A1602" t="s">
        <v>51</v>
      </c>
      <c r="B1602">
        <v>68</v>
      </c>
      <c r="C1602" t="s">
        <v>72</v>
      </c>
      <c r="D1602" t="s">
        <v>74</v>
      </c>
      <c r="E1602" t="s">
        <v>74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75</v>
      </c>
    </row>
    <row r="1603" spans="1:20" x14ac:dyDescent="0.3">
      <c r="A1603" t="s">
        <v>52</v>
      </c>
      <c r="B1603">
        <v>68</v>
      </c>
      <c r="C1603" t="s">
        <v>73</v>
      </c>
      <c r="D1603" t="s">
        <v>74</v>
      </c>
      <c r="E1603" t="s">
        <v>74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74</v>
      </c>
    </row>
    <row r="1604" spans="1:20" x14ac:dyDescent="0.3">
      <c r="A1604" t="s">
        <v>67</v>
      </c>
      <c r="B1604">
        <v>86</v>
      </c>
      <c r="C1604" t="s">
        <v>73</v>
      </c>
      <c r="D1604" t="s">
        <v>74</v>
      </c>
      <c r="E1604" t="s">
        <v>75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74</v>
      </c>
    </row>
    <row r="1605" spans="1:20" x14ac:dyDescent="0.3">
      <c r="A1605" t="s">
        <v>70</v>
      </c>
      <c r="B1605">
        <v>131</v>
      </c>
      <c r="C1605" t="s">
        <v>71</v>
      </c>
      <c r="D1605" t="s">
        <v>74</v>
      </c>
      <c r="E1605" t="s">
        <v>74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74</v>
      </c>
    </row>
    <row r="1606" spans="1:20" x14ac:dyDescent="0.3">
      <c r="A1606" t="s">
        <v>61</v>
      </c>
      <c r="B1606">
        <v>86</v>
      </c>
      <c r="C1606" t="s">
        <v>71</v>
      </c>
      <c r="D1606" t="s">
        <v>74</v>
      </c>
      <c r="E1606" t="s">
        <v>75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74</v>
      </c>
    </row>
    <row r="1607" spans="1:20" x14ac:dyDescent="0.3">
      <c r="A1607" t="s">
        <v>23</v>
      </c>
      <c r="B1607">
        <v>159</v>
      </c>
      <c r="C1607" t="s">
        <v>71</v>
      </c>
      <c r="D1607" t="s">
        <v>74</v>
      </c>
      <c r="E1607" t="s">
        <v>74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75</v>
      </c>
    </row>
    <row r="1608" spans="1:20" x14ac:dyDescent="0.3">
      <c r="A1608" t="s">
        <v>48</v>
      </c>
      <c r="B1608">
        <v>134</v>
      </c>
      <c r="C1608" t="s">
        <v>71</v>
      </c>
      <c r="D1608" t="s">
        <v>74</v>
      </c>
      <c r="E1608" t="s">
        <v>75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74</v>
      </c>
    </row>
    <row r="1609" spans="1:20" x14ac:dyDescent="0.3">
      <c r="A1609" t="s">
        <v>23</v>
      </c>
      <c r="B1609">
        <v>113</v>
      </c>
      <c r="C1609" t="s">
        <v>72</v>
      </c>
      <c r="D1609" t="s">
        <v>74</v>
      </c>
      <c r="E1609" t="s">
        <v>74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74</v>
      </c>
    </row>
    <row r="1610" spans="1:20" x14ac:dyDescent="0.3">
      <c r="A1610" t="s">
        <v>37</v>
      </c>
      <c r="B1610">
        <v>132</v>
      </c>
      <c r="C1610" t="s">
        <v>73</v>
      </c>
      <c r="D1610" t="s">
        <v>74</v>
      </c>
      <c r="E1610" t="s">
        <v>74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74</v>
      </c>
    </row>
    <row r="1611" spans="1:20" x14ac:dyDescent="0.3">
      <c r="A1611" t="s">
        <v>21</v>
      </c>
      <c r="B1611">
        <v>85</v>
      </c>
      <c r="C1611" t="s">
        <v>71</v>
      </c>
      <c r="D1611" t="s">
        <v>74</v>
      </c>
      <c r="E1611" t="s">
        <v>74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74</v>
      </c>
    </row>
    <row r="1612" spans="1:20" x14ac:dyDescent="0.3">
      <c r="A1612" t="s">
        <v>28</v>
      </c>
      <c r="B1612">
        <v>93</v>
      </c>
      <c r="C1612" t="s">
        <v>72</v>
      </c>
      <c r="D1612" t="s">
        <v>75</v>
      </c>
      <c r="E1612" t="s">
        <v>75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75</v>
      </c>
    </row>
    <row r="1613" spans="1:20" x14ac:dyDescent="0.3">
      <c r="A1613" t="s">
        <v>41</v>
      </c>
      <c r="B1613">
        <v>174</v>
      </c>
      <c r="C1613" t="s">
        <v>73</v>
      </c>
      <c r="D1613" t="s">
        <v>74</v>
      </c>
      <c r="E1613" t="s">
        <v>75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75</v>
      </c>
    </row>
    <row r="1614" spans="1:20" x14ac:dyDescent="0.3">
      <c r="A1614" t="s">
        <v>38</v>
      </c>
      <c r="B1614">
        <v>61</v>
      </c>
      <c r="C1614" t="s">
        <v>71</v>
      </c>
      <c r="D1614" t="s">
        <v>74</v>
      </c>
      <c r="E1614" t="s">
        <v>74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74</v>
      </c>
    </row>
    <row r="1615" spans="1:20" x14ac:dyDescent="0.3">
      <c r="A1615" t="s">
        <v>63</v>
      </c>
      <c r="B1615">
        <v>91</v>
      </c>
      <c r="C1615" t="s">
        <v>71</v>
      </c>
      <c r="D1615" t="s">
        <v>74</v>
      </c>
      <c r="E1615" t="s">
        <v>75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74</v>
      </c>
    </row>
    <row r="1616" spans="1:20" x14ac:dyDescent="0.3">
      <c r="A1616" t="s">
        <v>24</v>
      </c>
      <c r="B1616">
        <v>88</v>
      </c>
      <c r="C1616" t="s">
        <v>73</v>
      </c>
      <c r="D1616" t="s">
        <v>74</v>
      </c>
      <c r="E1616" t="s">
        <v>75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74</v>
      </c>
    </row>
    <row r="1617" spans="1:20" x14ac:dyDescent="0.3">
      <c r="A1617" t="s">
        <v>36</v>
      </c>
      <c r="B1617">
        <v>88</v>
      </c>
      <c r="C1617" t="s">
        <v>73</v>
      </c>
      <c r="D1617" t="s">
        <v>74</v>
      </c>
      <c r="E1617" t="s">
        <v>75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74</v>
      </c>
    </row>
    <row r="1618" spans="1:20" x14ac:dyDescent="0.3">
      <c r="A1618" t="s">
        <v>23</v>
      </c>
      <c r="B1618">
        <v>195</v>
      </c>
      <c r="C1618" t="s">
        <v>71</v>
      </c>
      <c r="D1618" t="s">
        <v>74</v>
      </c>
      <c r="E1618" t="s">
        <v>75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74</v>
      </c>
    </row>
    <row r="1619" spans="1:20" x14ac:dyDescent="0.3">
      <c r="A1619" t="s">
        <v>52</v>
      </c>
      <c r="B1619">
        <v>182</v>
      </c>
      <c r="C1619" t="s">
        <v>71</v>
      </c>
      <c r="D1619" t="s">
        <v>74</v>
      </c>
      <c r="E1619" t="s">
        <v>74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74</v>
      </c>
    </row>
    <row r="1620" spans="1:20" x14ac:dyDescent="0.3">
      <c r="A1620" t="s">
        <v>33</v>
      </c>
      <c r="B1620">
        <v>118</v>
      </c>
      <c r="C1620" t="s">
        <v>73</v>
      </c>
      <c r="D1620" t="s">
        <v>74</v>
      </c>
      <c r="E1620" t="s">
        <v>74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74</v>
      </c>
    </row>
    <row r="1621" spans="1:20" x14ac:dyDescent="0.3">
      <c r="A1621" t="s">
        <v>46</v>
      </c>
      <c r="B1621">
        <v>103</v>
      </c>
      <c r="C1621" t="s">
        <v>73</v>
      </c>
      <c r="D1621" t="s">
        <v>74</v>
      </c>
      <c r="E1621" t="s">
        <v>74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75</v>
      </c>
    </row>
    <row r="1622" spans="1:20" x14ac:dyDescent="0.3">
      <c r="A1622" t="s">
        <v>42</v>
      </c>
      <c r="B1622">
        <v>61</v>
      </c>
      <c r="C1622" t="s">
        <v>73</v>
      </c>
      <c r="D1622" t="s">
        <v>74</v>
      </c>
      <c r="E1622" t="s">
        <v>75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74</v>
      </c>
    </row>
    <row r="1623" spans="1:20" x14ac:dyDescent="0.3">
      <c r="A1623" t="s">
        <v>65</v>
      </c>
      <c r="B1623">
        <v>172</v>
      </c>
      <c r="C1623" t="s">
        <v>71</v>
      </c>
      <c r="D1623" t="s">
        <v>74</v>
      </c>
      <c r="E1623" t="s">
        <v>74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74</v>
      </c>
    </row>
    <row r="1624" spans="1:20" x14ac:dyDescent="0.3">
      <c r="A1624" t="s">
        <v>28</v>
      </c>
      <c r="B1624">
        <v>72</v>
      </c>
      <c r="C1624" t="s">
        <v>71</v>
      </c>
      <c r="D1624" t="s">
        <v>74</v>
      </c>
      <c r="E1624" t="s">
        <v>74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74</v>
      </c>
    </row>
    <row r="1625" spans="1:20" x14ac:dyDescent="0.3">
      <c r="A1625" t="s">
        <v>52</v>
      </c>
      <c r="B1625">
        <v>113</v>
      </c>
      <c r="C1625" t="s">
        <v>72</v>
      </c>
      <c r="D1625" t="s">
        <v>74</v>
      </c>
      <c r="E1625" t="s">
        <v>74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74</v>
      </c>
    </row>
    <row r="1626" spans="1:20" x14ac:dyDescent="0.3">
      <c r="A1626" t="s">
        <v>64</v>
      </c>
      <c r="B1626">
        <v>177</v>
      </c>
      <c r="C1626" t="s">
        <v>73</v>
      </c>
      <c r="D1626" t="s">
        <v>74</v>
      </c>
      <c r="E1626" t="s">
        <v>74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74</v>
      </c>
    </row>
    <row r="1627" spans="1:20" x14ac:dyDescent="0.3">
      <c r="A1627" t="s">
        <v>41</v>
      </c>
      <c r="B1627">
        <v>100</v>
      </c>
      <c r="C1627" t="s">
        <v>73</v>
      </c>
      <c r="D1627" t="s">
        <v>74</v>
      </c>
      <c r="E1627" t="s">
        <v>74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75</v>
      </c>
    </row>
    <row r="1628" spans="1:20" x14ac:dyDescent="0.3">
      <c r="A1628" t="s">
        <v>45</v>
      </c>
      <c r="B1628">
        <v>136</v>
      </c>
      <c r="C1628" t="s">
        <v>71</v>
      </c>
      <c r="D1628" t="s">
        <v>74</v>
      </c>
      <c r="E1628" t="s">
        <v>74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74</v>
      </c>
    </row>
    <row r="1629" spans="1:20" x14ac:dyDescent="0.3">
      <c r="A1629" t="s">
        <v>27</v>
      </c>
      <c r="B1629">
        <v>71</v>
      </c>
      <c r="C1629" t="s">
        <v>71</v>
      </c>
      <c r="D1629" t="s">
        <v>74</v>
      </c>
      <c r="E1629" t="s">
        <v>74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74</v>
      </c>
    </row>
    <row r="1630" spans="1:20" x14ac:dyDescent="0.3">
      <c r="A1630" t="s">
        <v>67</v>
      </c>
      <c r="B1630">
        <v>134</v>
      </c>
      <c r="C1630" t="s">
        <v>73</v>
      </c>
      <c r="D1630" t="s">
        <v>74</v>
      </c>
      <c r="E1630" t="s">
        <v>74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74</v>
      </c>
    </row>
    <row r="1631" spans="1:20" x14ac:dyDescent="0.3">
      <c r="A1631" t="s">
        <v>59</v>
      </c>
      <c r="B1631">
        <v>39</v>
      </c>
      <c r="C1631" t="s">
        <v>73</v>
      </c>
      <c r="D1631" t="s">
        <v>74</v>
      </c>
      <c r="E1631" t="s">
        <v>74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74</v>
      </c>
    </row>
    <row r="1632" spans="1:20" x14ac:dyDescent="0.3">
      <c r="A1632" t="s">
        <v>44</v>
      </c>
      <c r="B1632">
        <v>110</v>
      </c>
      <c r="C1632" t="s">
        <v>72</v>
      </c>
      <c r="D1632" t="s">
        <v>74</v>
      </c>
      <c r="E1632" t="s">
        <v>74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74</v>
      </c>
    </row>
    <row r="1633" spans="1:20" x14ac:dyDescent="0.3">
      <c r="A1633" t="s">
        <v>69</v>
      </c>
      <c r="B1633">
        <v>102</v>
      </c>
      <c r="C1633" t="s">
        <v>72</v>
      </c>
      <c r="D1633" t="s">
        <v>74</v>
      </c>
      <c r="E1633" t="s">
        <v>74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74</v>
      </c>
    </row>
    <row r="1634" spans="1:20" x14ac:dyDescent="0.3">
      <c r="A1634" t="s">
        <v>30</v>
      </c>
      <c r="B1634">
        <v>70</v>
      </c>
      <c r="C1634" t="s">
        <v>71</v>
      </c>
      <c r="D1634" t="s">
        <v>74</v>
      </c>
      <c r="E1634" t="s">
        <v>74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74</v>
      </c>
    </row>
    <row r="1635" spans="1:20" x14ac:dyDescent="0.3">
      <c r="A1635" t="s">
        <v>38</v>
      </c>
      <c r="B1635">
        <v>142</v>
      </c>
      <c r="C1635" t="s">
        <v>71</v>
      </c>
      <c r="D1635" t="s">
        <v>74</v>
      </c>
      <c r="E1635" t="s">
        <v>74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74</v>
      </c>
    </row>
    <row r="1636" spans="1:20" x14ac:dyDescent="0.3">
      <c r="A1636" t="s">
        <v>45</v>
      </c>
      <c r="B1636">
        <v>81</v>
      </c>
      <c r="C1636" t="s">
        <v>72</v>
      </c>
      <c r="D1636" t="s">
        <v>75</v>
      </c>
      <c r="E1636" t="s">
        <v>74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74</v>
      </c>
    </row>
    <row r="1637" spans="1:20" x14ac:dyDescent="0.3">
      <c r="A1637" t="s">
        <v>55</v>
      </c>
      <c r="B1637">
        <v>17</v>
      </c>
      <c r="C1637" t="s">
        <v>71</v>
      </c>
      <c r="D1637" t="s">
        <v>74</v>
      </c>
      <c r="E1637" t="s">
        <v>74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74</v>
      </c>
    </row>
    <row r="1638" spans="1:20" x14ac:dyDescent="0.3">
      <c r="A1638" t="s">
        <v>47</v>
      </c>
      <c r="B1638">
        <v>119</v>
      </c>
      <c r="C1638" t="s">
        <v>73</v>
      </c>
      <c r="D1638" t="s">
        <v>74</v>
      </c>
      <c r="E1638" t="s">
        <v>74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75</v>
      </c>
    </row>
    <row r="1639" spans="1:20" x14ac:dyDescent="0.3">
      <c r="A1639" t="s">
        <v>67</v>
      </c>
      <c r="B1639">
        <v>105</v>
      </c>
      <c r="C1639" t="s">
        <v>71</v>
      </c>
      <c r="D1639" t="s">
        <v>74</v>
      </c>
      <c r="E1639" t="s">
        <v>74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75</v>
      </c>
    </row>
    <row r="1640" spans="1:20" x14ac:dyDescent="0.3">
      <c r="A1640" t="s">
        <v>49</v>
      </c>
      <c r="B1640">
        <v>108</v>
      </c>
      <c r="C1640" t="s">
        <v>71</v>
      </c>
      <c r="D1640" t="s">
        <v>75</v>
      </c>
      <c r="E1640" t="s">
        <v>75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75</v>
      </c>
    </row>
    <row r="1641" spans="1:20" x14ac:dyDescent="0.3">
      <c r="A1641" t="s">
        <v>50</v>
      </c>
      <c r="B1641">
        <v>90</v>
      </c>
      <c r="C1641" t="s">
        <v>71</v>
      </c>
      <c r="D1641" t="s">
        <v>74</v>
      </c>
      <c r="E1641" t="s">
        <v>74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74</v>
      </c>
    </row>
    <row r="1642" spans="1:20" x14ac:dyDescent="0.3">
      <c r="A1642" t="s">
        <v>51</v>
      </c>
      <c r="B1642">
        <v>100</v>
      </c>
      <c r="C1642" t="s">
        <v>71</v>
      </c>
      <c r="D1642" t="s">
        <v>74</v>
      </c>
      <c r="E1642" t="s">
        <v>75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74</v>
      </c>
    </row>
    <row r="1643" spans="1:20" x14ac:dyDescent="0.3">
      <c r="A1643" t="s">
        <v>58</v>
      </c>
      <c r="B1643">
        <v>155</v>
      </c>
      <c r="C1643" t="s">
        <v>73</v>
      </c>
      <c r="D1643" t="s">
        <v>74</v>
      </c>
      <c r="E1643" t="s">
        <v>75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74</v>
      </c>
    </row>
    <row r="1644" spans="1:20" x14ac:dyDescent="0.3">
      <c r="A1644" t="s">
        <v>48</v>
      </c>
      <c r="B1644">
        <v>113</v>
      </c>
      <c r="C1644" t="s">
        <v>72</v>
      </c>
      <c r="D1644" t="s">
        <v>74</v>
      </c>
      <c r="E1644" t="s">
        <v>74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75</v>
      </c>
    </row>
    <row r="1645" spans="1:20" x14ac:dyDescent="0.3">
      <c r="A1645" t="s">
        <v>31</v>
      </c>
      <c r="B1645">
        <v>123</v>
      </c>
      <c r="C1645" t="s">
        <v>71</v>
      </c>
      <c r="D1645" t="s">
        <v>74</v>
      </c>
      <c r="E1645" t="s">
        <v>74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74</v>
      </c>
    </row>
    <row r="1646" spans="1:20" x14ac:dyDescent="0.3">
      <c r="A1646" t="s">
        <v>37</v>
      </c>
      <c r="B1646">
        <v>42</v>
      </c>
      <c r="C1646" t="s">
        <v>71</v>
      </c>
      <c r="D1646" t="s">
        <v>74</v>
      </c>
      <c r="E1646" t="s">
        <v>74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74</v>
      </c>
    </row>
    <row r="1647" spans="1:20" x14ac:dyDescent="0.3">
      <c r="A1647" t="s">
        <v>68</v>
      </c>
      <c r="B1647">
        <v>125</v>
      </c>
      <c r="C1647" t="s">
        <v>72</v>
      </c>
      <c r="D1647" t="s">
        <v>74</v>
      </c>
      <c r="E1647" t="s">
        <v>74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74</v>
      </c>
    </row>
    <row r="1648" spans="1:20" x14ac:dyDescent="0.3">
      <c r="A1648" t="s">
        <v>67</v>
      </c>
      <c r="B1648">
        <v>131</v>
      </c>
      <c r="C1648" t="s">
        <v>71</v>
      </c>
      <c r="D1648" t="s">
        <v>74</v>
      </c>
      <c r="E1648" t="s">
        <v>75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74</v>
      </c>
    </row>
    <row r="1649" spans="1:20" x14ac:dyDescent="0.3">
      <c r="A1649" t="s">
        <v>41</v>
      </c>
      <c r="B1649">
        <v>107</v>
      </c>
      <c r="C1649" t="s">
        <v>71</v>
      </c>
      <c r="D1649" t="s">
        <v>74</v>
      </c>
      <c r="E1649" t="s">
        <v>74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74</v>
      </c>
    </row>
    <row r="1650" spans="1:20" x14ac:dyDescent="0.3">
      <c r="A1650" t="s">
        <v>25</v>
      </c>
      <c r="B1650">
        <v>48</v>
      </c>
      <c r="C1650" t="s">
        <v>73</v>
      </c>
      <c r="D1650" t="s">
        <v>74</v>
      </c>
      <c r="E1650" t="s">
        <v>74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74</v>
      </c>
    </row>
    <row r="1651" spans="1:20" x14ac:dyDescent="0.3">
      <c r="A1651" t="s">
        <v>25</v>
      </c>
      <c r="B1651">
        <v>76</v>
      </c>
      <c r="C1651" t="s">
        <v>72</v>
      </c>
      <c r="D1651" t="s">
        <v>74</v>
      </c>
      <c r="E1651" t="s">
        <v>74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74</v>
      </c>
    </row>
    <row r="1652" spans="1:20" x14ac:dyDescent="0.3">
      <c r="A1652" t="s">
        <v>26</v>
      </c>
      <c r="B1652">
        <v>128</v>
      </c>
      <c r="C1652" t="s">
        <v>71</v>
      </c>
      <c r="D1652" t="s">
        <v>74</v>
      </c>
      <c r="E1652" t="s">
        <v>74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74</v>
      </c>
    </row>
    <row r="1653" spans="1:20" x14ac:dyDescent="0.3">
      <c r="A1653" t="s">
        <v>31</v>
      </c>
      <c r="B1653">
        <v>73</v>
      </c>
      <c r="C1653" t="s">
        <v>71</v>
      </c>
      <c r="D1653" t="s">
        <v>74</v>
      </c>
      <c r="E1653" t="s">
        <v>74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74</v>
      </c>
    </row>
    <row r="1654" spans="1:20" x14ac:dyDescent="0.3">
      <c r="A1654" t="s">
        <v>34</v>
      </c>
      <c r="B1654">
        <v>52</v>
      </c>
      <c r="C1654" t="s">
        <v>71</v>
      </c>
      <c r="D1654" t="s">
        <v>74</v>
      </c>
      <c r="E1654" t="s">
        <v>74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75</v>
      </c>
    </row>
    <row r="1655" spans="1:20" x14ac:dyDescent="0.3">
      <c r="A1655" t="s">
        <v>40</v>
      </c>
      <c r="B1655">
        <v>126</v>
      </c>
      <c r="C1655" t="s">
        <v>71</v>
      </c>
      <c r="D1655" t="s">
        <v>75</v>
      </c>
      <c r="E1655" t="s">
        <v>75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74</v>
      </c>
    </row>
    <row r="1656" spans="1:20" x14ac:dyDescent="0.3">
      <c r="A1656" t="s">
        <v>41</v>
      </c>
      <c r="B1656">
        <v>137</v>
      </c>
      <c r="C1656" t="s">
        <v>73</v>
      </c>
      <c r="D1656" t="s">
        <v>74</v>
      </c>
      <c r="E1656" t="s">
        <v>74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74</v>
      </c>
    </row>
    <row r="1657" spans="1:20" x14ac:dyDescent="0.3">
      <c r="A1657" t="s">
        <v>64</v>
      </c>
      <c r="B1657">
        <v>71</v>
      </c>
      <c r="C1657" t="s">
        <v>72</v>
      </c>
      <c r="D1657" t="s">
        <v>74</v>
      </c>
      <c r="E1657" t="s">
        <v>74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75</v>
      </c>
    </row>
    <row r="1658" spans="1:20" x14ac:dyDescent="0.3">
      <c r="A1658" t="s">
        <v>24</v>
      </c>
      <c r="B1658">
        <v>139</v>
      </c>
      <c r="C1658" t="s">
        <v>71</v>
      </c>
      <c r="D1658" t="s">
        <v>74</v>
      </c>
      <c r="E1658" t="s">
        <v>74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74</v>
      </c>
    </row>
    <row r="1659" spans="1:20" x14ac:dyDescent="0.3">
      <c r="A1659" t="s">
        <v>53</v>
      </c>
      <c r="B1659">
        <v>107</v>
      </c>
      <c r="C1659" t="s">
        <v>72</v>
      </c>
      <c r="D1659" t="s">
        <v>74</v>
      </c>
      <c r="E1659" t="s">
        <v>75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74</v>
      </c>
    </row>
    <row r="1660" spans="1:20" x14ac:dyDescent="0.3">
      <c r="A1660" t="s">
        <v>70</v>
      </c>
      <c r="B1660">
        <v>147</v>
      </c>
      <c r="C1660" t="s">
        <v>73</v>
      </c>
      <c r="D1660" t="s">
        <v>74</v>
      </c>
      <c r="E1660" t="s">
        <v>74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74</v>
      </c>
    </row>
    <row r="1661" spans="1:20" x14ac:dyDescent="0.3">
      <c r="A1661" t="s">
        <v>55</v>
      </c>
      <c r="B1661">
        <v>116</v>
      </c>
      <c r="C1661" t="s">
        <v>72</v>
      </c>
      <c r="D1661" t="s">
        <v>74</v>
      </c>
      <c r="E1661" t="s">
        <v>74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74</v>
      </c>
    </row>
    <row r="1662" spans="1:20" x14ac:dyDescent="0.3">
      <c r="A1662" t="s">
        <v>38</v>
      </c>
      <c r="B1662">
        <v>60</v>
      </c>
      <c r="C1662" t="s">
        <v>72</v>
      </c>
      <c r="D1662" t="s">
        <v>74</v>
      </c>
      <c r="E1662" t="s">
        <v>75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74</v>
      </c>
    </row>
    <row r="1663" spans="1:20" x14ac:dyDescent="0.3">
      <c r="A1663" t="s">
        <v>34</v>
      </c>
      <c r="B1663">
        <v>38</v>
      </c>
      <c r="C1663" t="s">
        <v>72</v>
      </c>
      <c r="D1663" t="s">
        <v>74</v>
      </c>
      <c r="E1663" t="s">
        <v>74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74</v>
      </c>
    </row>
    <row r="1664" spans="1:20" x14ac:dyDescent="0.3">
      <c r="A1664" t="s">
        <v>45</v>
      </c>
      <c r="B1664">
        <v>63</v>
      </c>
      <c r="C1664" t="s">
        <v>73</v>
      </c>
      <c r="D1664" t="s">
        <v>74</v>
      </c>
      <c r="E1664" t="s">
        <v>74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74</v>
      </c>
    </row>
    <row r="1665" spans="1:20" x14ac:dyDescent="0.3">
      <c r="A1665" t="s">
        <v>55</v>
      </c>
      <c r="B1665">
        <v>131</v>
      </c>
      <c r="C1665" t="s">
        <v>71</v>
      </c>
      <c r="D1665" t="s">
        <v>74</v>
      </c>
      <c r="E1665" t="s">
        <v>74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74</v>
      </c>
    </row>
    <row r="1666" spans="1:20" x14ac:dyDescent="0.3">
      <c r="A1666" t="s">
        <v>53</v>
      </c>
      <c r="B1666">
        <v>158</v>
      </c>
      <c r="C1666" t="s">
        <v>72</v>
      </c>
      <c r="D1666" t="s">
        <v>74</v>
      </c>
      <c r="E1666" t="s">
        <v>74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74</v>
      </c>
    </row>
    <row r="1667" spans="1:20" x14ac:dyDescent="0.3">
      <c r="A1667" t="s">
        <v>38</v>
      </c>
      <c r="B1667">
        <v>139</v>
      </c>
      <c r="C1667" t="s">
        <v>72</v>
      </c>
      <c r="D1667" t="s">
        <v>74</v>
      </c>
      <c r="E1667" t="s">
        <v>74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75</v>
      </c>
    </row>
    <row r="1668" spans="1:20" x14ac:dyDescent="0.3">
      <c r="A1668" t="s">
        <v>24</v>
      </c>
      <c r="B1668">
        <v>77</v>
      </c>
      <c r="C1668" t="s">
        <v>71</v>
      </c>
      <c r="D1668" t="s">
        <v>74</v>
      </c>
      <c r="E1668" t="s">
        <v>74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74</v>
      </c>
    </row>
    <row r="1669" spans="1:20" x14ac:dyDescent="0.3">
      <c r="A1669" t="s">
        <v>31</v>
      </c>
      <c r="B1669">
        <v>140</v>
      </c>
      <c r="C1669" t="s">
        <v>71</v>
      </c>
      <c r="D1669" t="s">
        <v>74</v>
      </c>
      <c r="E1669" t="s">
        <v>74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74</v>
      </c>
    </row>
    <row r="1670" spans="1:20" x14ac:dyDescent="0.3">
      <c r="A1670" t="s">
        <v>56</v>
      </c>
      <c r="B1670">
        <v>52</v>
      </c>
      <c r="C1670" t="s">
        <v>72</v>
      </c>
      <c r="D1670" t="s">
        <v>74</v>
      </c>
      <c r="E1670" t="s">
        <v>75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74</v>
      </c>
    </row>
    <row r="1671" spans="1:20" x14ac:dyDescent="0.3">
      <c r="A1671" t="s">
        <v>50</v>
      </c>
      <c r="B1671">
        <v>103</v>
      </c>
      <c r="C1671" t="s">
        <v>72</v>
      </c>
      <c r="D1671" t="s">
        <v>74</v>
      </c>
      <c r="E1671" t="s">
        <v>74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74</v>
      </c>
    </row>
    <row r="1672" spans="1:20" x14ac:dyDescent="0.3">
      <c r="A1672" t="s">
        <v>20</v>
      </c>
      <c r="B1672">
        <v>74</v>
      </c>
      <c r="C1672" t="s">
        <v>71</v>
      </c>
      <c r="D1672" t="s">
        <v>74</v>
      </c>
      <c r="E1672" t="s">
        <v>75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74</v>
      </c>
    </row>
    <row r="1673" spans="1:20" x14ac:dyDescent="0.3">
      <c r="A1673" t="s">
        <v>64</v>
      </c>
      <c r="B1673">
        <v>124</v>
      </c>
      <c r="C1673" t="s">
        <v>71</v>
      </c>
      <c r="D1673" t="s">
        <v>74</v>
      </c>
      <c r="E1673" t="s">
        <v>74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74</v>
      </c>
    </row>
    <row r="1674" spans="1:20" x14ac:dyDescent="0.3">
      <c r="A1674" t="s">
        <v>33</v>
      </c>
      <c r="B1674">
        <v>85</v>
      </c>
      <c r="C1674" t="s">
        <v>72</v>
      </c>
      <c r="D1674" t="s">
        <v>74</v>
      </c>
      <c r="E1674" t="s">
        <v>75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74</v>
      </c>
    </row>
    <row r="1675" spans="1:20" x14ac:dyDescent="0.3">
      <c r="A1675" t="s">
        <v>70</v>
      </c>
      <c r="B1675">
        <v>113</v>
      </c>
      <c r="C1675" t="s">
        <v>73</v>
      </c>
      <c r="D1675" t="s">
        <v>74</v>
      </c>
      <c r="E1675" t="s">
        <v>75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75</v>
      </c>
    </row>
    <row r="1676" spans="1:20" x14ac:dyDescent="0.3">
      <c r="A1676" t="s">
        <v>41</v>
      </c>
      <c r="B1676">
        <v>71</v>
      </c>
      <c r="C1676" t="s">
        <v>73</v>
      </c>
      <c r="D1676" t="s">
        <v>74</v>
      </c>
      <c r="E1676" t="s">
        <v>74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74</v>
      </c>
    </row>
    <row r="1677" spans="1:20" x14ac:dyDescent="0.3">
      <c r="A1677" t="s">
        <v>43</v>
      </c>
      <c r="B1677">
        <v>49</v>
      </c>
      <c r="C1677" t="s">
        <v>71</v>
      </c>
      <c r="D1677" t="s">
        <v>75</v>
      </c>
      <c r="E1677" t="s">
        <v>74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75</v>
      </c>
    </row>
    <row r="1678" spans="1:20" x14ac:dyDescent="0.3">
      <c r="A1678" t="s">
        <v>55</v>
      </c>
      <c r="B1678">
        <v>106</v>
      </c>
      <c r="C1678" t="s">
        <v>72</v>
      </c>
      <c r="D1678" t="s">
        <v>75</v>
      </c>
      <c r="E1678" t="s">
        <v>74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75</v>
      </c>
    </row>
    <row r="1679" spans="1:20" x14ac:dyDescent="0.3">
      <c r="A1679" t="s">
        <v>29</v>
      </c>
      <c r="B1679">
        <v>60</v>
      </c>
      <c r="C1679" t="s">
        <v>72</v>
      </c>
      <c r="D1679" t="s">
        <v>74</v>
      </c>
      <c r="E1679" t="s">
        <v>74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74</v>
      </c>
    </row>
    <row r="1680" spans="1:20" x14ac:dyDescent="0.3">
      <c r="A1680" t="s">
        <v>59</v>
      </c>
      <c r="B1680">
        <v>66</v>
      </c>
      <c r="C1680" t="s">
        <v>72</v>
      </c>
      <c r="D1680" t="s">
        <v>74</v>
      </c>
      <c r="E1680" t="s">
        <v>74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74</v>
      </c>
    </row>
    <row r="1681" spans="1:20" x14ac:dyDescent="0.3">
      <c r="A1681" t="s">
        <v>56</v>
      </c>
      <c r="B1681">
        <v>125</v>
      </c>
      <c r="C1681" t="s">
        <v>71</v>
      </c>
      <c r="D1681" t="s">
        <v>74</v>
      </c>
      <c r="E1681" t="s">
        <v>74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74</v>
      </c>
    </row>
    <row r="1682" spans="1:20" x14ac:dyDescent="0.3">
      <c r="A1682" t="s">
        <v>43</v>
      </c>
      <c r="B1682">
        <v>114</v>
      </c>
      <c r="C1682" t="s">
        <v>72</v>
      </c>
      <c r="D1682" t="s">
        <v>74</v>
      </c>
      <c r="E1682" t="s">
        <v>75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74</v>
      </c>
    </row>
    <row r="1683" spans="1:20" x14ac:dyDescent="0.3">
      <c r="A1683" t="s">
        <v>69</v>
      </c>
      <c r="B1683">
        <v>112</v>
      </c>
      <c r="C1683" t="s">
        <v>71</v>
      </c>
      <c r="D1683" t="s">
        <v>74</v>
      </c>
      <c r="E1683" t="s">
        <v>74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75</v>
      </c>
    </row>
    <row r="1684" spans="1:20" x14ac:dyDescent="0.3">
      <c r="A1684" t="s">
        <v>57</v>
      </c>
      <c r="B1684">
        <v>101</v>
      </c>
      <c r="C1684" t="s">
        <v>73</v>
      </c>
      <c r="D1684" t="s">
        <v>74</v>
      </c>
      <c r="E1684" t="s">
        <v>75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74</v>
      </c>
    </row>
    <row r="1685" spans="1:20" x14ac:dyDescent="0.3">
      <c r="A1685" t="s">
        <v>31</v>
      </c>
      <c r="B1685">
        <v>70</v>
      </c>
      <c r="C1685" t="s">
        <v>71</v>
      </c>
      <c r="D1685" t="s">
        <v>74</v>
      </c>
      <c r="E1685" t="s">
        <v>74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74</v>
      </c>
    </row>
    <row r="1686" spans="1:20" x14ac:dyDescent="0.3">
      <c r="A1686" t="s">
        <v>35</v>
      </c>
      <c r="B1686">
        <v>59</v>
      </c>
      <c r="C1686" t="s">
        <v>73</v>
      </c>
      <c r="D1686" t="s">
        <v>74</v>
      </c>
      <c r="E1686" t="s">
        <v>74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74</v>
      </c>
    </row>
    <row r="1687" spans="1:20" x14ac:dyDescent="0.3">
      <c r="A1687" t="s">
        <v>48</v>
      </c>
      <c r="B1687">
        <v>59</v>
      </c>
      <c r="C1687" t="s">
        <v>73</v>
      </c>
      <c r="D1687" t="s">
        <v>74</v>
      </c>
      <c r="E1687" t="s">
        <v>74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74</v>
      </c>
    </row>
    <row r="1688" spans="1:20" x14ac:dyDescent="0.3">
      <c r="A1688" t="s">
        <v>57</v>
      </c>
      <c r="B1688">
        <v>124</v>
      </c>
      <c r="C1688" t="s">
        <v>71</v>
      </c>
      <c r="D1688" t="s">
        <v>74</v>
      </c>
      <c r="E1688" t="s">
        <v>75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74</v>
      </c>
    </row>
    <row r="1689" spans="1:20" x14ac:dyDescent="0.3">
      <c r="A1689" t="s">
        <v>36</v>
      </c>
      <c r="B1689">
        <v>81</v>
      </c>
      <c r="C1689" t="s">
        <v>72</v>
      </c>
      <c r="D1689" t="s">
        <v>74</v>
      </c>
      <c r="E1689" t="s">
        <v>74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74</v>
      </c>
    </row>
    <row r="1690" spans="1:20" x14ac:dyDescent="0.3">
      <c r="A1690" t="s">
        <v>51</v>
      </c>
      <c r="B1690">
        <v>86</v>
      </c>
      <c r="C1690" t="s">
        <v>72</v>
      </c>
      <c r="D1690" t="s">
        <v>74</v>
      </c>
      <c r="E1690" t="s">
        <v>74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74</v>
      </c>
    </row>
    <row r="1691" spans="1:20" x14ac:dyDescent="0.3">
      <c r="A1691" t="s">
        <v>49</v>
      </c>
      <c r="B1691">
        <v>84</v>
      </c>
      <c r="C1691" t="s">
        <v>72</v>
      </c>
      <c r="D1691" t="s">
        <v>74</v>
      </c>
      <c r="E1691" t="s">
        <v>74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74</v>
      </c>
    </row>
    <row r="1692" spans="1:20" x14ac:dyDescent="0.3">
      <c r="A1692" t="s">
        <v>68</v>
      </c>
      <c r="B1692">
        <v>118</v>
      </c>
      <c r="C1692" t="s">
        <v>72</v>
      </c>
      <c r="D1692" t="s">
        <v>74</v>
      </c>
      <c r="E1692" t="s">
        <v>75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74</v>
      </c>
    </row>
    <row r="1693" spans="1:20" x14ac:dyDescent="0.3">
      <c r="A1693" t="s">
        <v>33</v>
      </c>
      <c r="B1693">
        <v>89</v>
      </c>
      <c r="C1693" t="s">
        <v>71</v>
      </c>
      <c r="D1693" t="s">
        <v>74</v>
      </c>
      <c r="E1693" t="s">
        <v>74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74</v>
      </c>
    </row>
    <row r="1694" spans="1:20" x14ac:dyDescent="0.3">
      <c r="A1694" t="s">
        <v>20</v>
      </c>
      <c r="B1694">
        <v>93</v>
      </c>
      <c r="C1694" t="s">
        <v>71</v>
      </c>
      <c r="D1694" t="s">
        <v>74</v>
      </c>
      <c r="E1694" t="s">
        <v>74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74</v>
      </c>
    </row>
    <row r="1695" spans="1:20" x14ac:dyDescent="0.3">
      <c r="A1695" t="s">
        <v>62</v>
      </c>
      <c r="B1695">
        <v>85</v>
      </c>
      <c r="C1695" t="s">
        <v>71</v>
      </c>
      <c r="D1695" t="s">
        <v>74</v>
      </c>
      <c r="E1695" t="s">
        <v>74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74</v>
      </c>
    </row>
    <row r="1696" spans="1:20" x14ac:dyDescent="0.3">
      <c r="A1696" t="s">
        <v>30</v>
      </c>
      <c r="B1696">
        <v>160</v>
      </c>
      <c r="C1696" t="s">
        <v>73</v>
      </c>
      <c r="D1696" t="s">
        <v>74</v>
      </c>
      <c r="E1696" t="s">
        <v>74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74</v>
      </c>
    </row>
    <row r="1697" spans="1:20" x14ac:dyDescent="0.3">
      <c r="A1697" t="s">
        <v>47</v>
      </c>
      <c r="B1697">
        <v>28</v>
      </c>
      <c r="C1697" t="s">
        <v>71</v>
      </c>
      <c r="D1697" t="s">
        <v>74</v>
      </c>
      <c r="E1697" t="s">
        <v>74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74</v>
      </c>
    </row>
    <row r="1698" spans="1:20" x14ac:dyDescent="0.3">
      <c r="A1698" t="s">
        <v>34</v>
      </c>
      <c r="B1698">
        <v>73</v>
      </c>
      <c r="C1698" t="s">
        <v>73</v>
      </c>
      <c r="D1698" t="s">
        <v>74</v>
      </c>
      <c r="E1698" t="s">
        <v>74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75</v>
      </c>
    </row>
    <row r="1699" spans="1:20" x14ac:dyDescent="0.3">
      <c r="A1699" t="s">
        <v>38</v>
      </c>
      <c r="B1699">
        <v>156</v>
      </c>
      <c r="C1699" t="s">
        <v>73</v>
      </c>
      <c r="D1699" t="s">
        <v>74</v>
      </c>
      <c r="E1699" t="s">
        <v>74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74</v>
      </c>
    </row>
    <row r="1700" spans="1:20" x14ac:dyDescent="0.3">
      <c r="A1700" t="s">
        <v>58</v>
      </c>
      <c r="B1700">
        <v>33</v>
      </c>
      <c r="C1700" t="s">
        <v>71</v>
      </c>
      <c r="D1700" t="s">
        <v>75</v>
      </c>
      <c r="E1700" t="s">
        <v>74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74</v>
      </c>
    </row>
    <row r="1701" spans="1:20" x14ac:dyDescent="0.3">
      <c r="A1701" t="s">
        <v>38</v>
      </c>
      <c r="B1701">
        <v>119</v>
      </c>
      <c r="C1701" t="s">
        <v>71</v>
      </c>
      <c r="D1701" t="s">
        <v>74</v>
      </c>
      <c r="E1701" t="s">
        <v>74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74</v>
      </c>
    </row>
    <row r="1702" spans="1:20" x14ac:dyDescent="0.3">
      <c r="A1702" t="s">
        <v>62</v>
      </c>
      <c r="B1702">
        <v>91</v>
      </c>
      <c r="C1702" t="s">
        <v>72</v>
      </c>
      <c r="D1702" t="s">
        <v>74</v>
      </c>
      <c r="E1702" t="s">
        <v>75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74</v>
      </c>
    </row>
    <row r="1703" spans="1:20" x14ac:dyDescent="0.3">
      <c r="A1703" t="s">
        <v>40</v>
      </c>
      <c r="B1703">
        <v>102</v>
      </c>
      <c r="C1703" t="s">
        <v>72</v>
      </c>
      <c r="D1703" t="s">
        <v>74</v>
      </c>
      <c r="E1703" t="s">
        <v>74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74</v>
      </c>
    </row>
    <row r="1704" spans="1:20" x14ac:dyDescent="0.3">
      <c r="A1704" t="s">
        <v>44</v>
      </c>
      <c r="B1704">
        <v>86</v>
      </c>
      <c r="C1704" t="s">
        <v>71</v>
      </c>
      <c r="D1704" t="s">
        <v>74</v>
      </c>
      <c r="E1704" t="s">
        <v>75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74</v>
      </c>
    </row>
    <row r="1705" spans="1:20" x14ac:dyDescent="0.3">
      <c r="A1705" t="s">
        <v>34</v>
      </c>
      <c r="B1705">
        <v>82</v>
      </c>
      <c r="C1705" t="s">
        <v>71</v>
      </c>
      <c r="D1705" t="s">
        <v>74</v>
      </c>
      <c r="E1705" t="s">
        <v>74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74</v>
      </c>
    </row>
    <row r="1706" spans="1:20" x14ac:dyDescent="0.3">
      <c r="A1706" t="s">
        <v>66</v>
      </c>
      <c r="B1706">
        <v>89</v>
      </c>
      <c r="C1706" t="s">
        <v>73</v>
      </c>
      <c r="D1706" t="s">
        <v>74</v>
      </c>
      <c r="E1706" t="s">
        <v>74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74</v>
      </c>
    </row>
    <row r="1707" spans="1:20" x14ac:dyDescent="0.3">
      <c r="A1707" t="s">
        <v>25</v>
      </c>
      <c r="B1707">
        <v>134</v>
      </c>
      <c r="C1707" t="s">
        <v>73</v>
      </c>
      <c r="D1707" t="s">
        <v>74</v>
      </c>
      <c r="E1707" t="s">
        <v>74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74</v>
      </c>
    </row>
    <row r="1708" spans="1:20" x14ac:dyDescent="0.3">
      <c r="A1708" t="s">
        <v>58</v>
      </c>
      <c r="B1708">
        <v>92</v>
      </c>
      <c r="C1708" t="s">
        <v>71</v>
      </c>
      <c r="D1708" t="s">
        <v>74</v>
      </c>
      <c r="E1708" t="s">
        <v>74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74</v>
      </c>
    </row>
    <row r="1709" spans="1:20" x14ac:dyDescent="0.3">
      <c r="A1709" t="s">
        <v>56</v>
      </c>
      <c r="B1709">
        <v>87</v>
      </c>
      <c r="C1709" t="s">
        <v>72</v>
      </c>
      <c r="D1709" t="s">
        <v>74</v>
      </c>
      <c r="E1709" t="s">
        <v>74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74</v>
      </c>
    </row>
    <row r="1710" spans="1:20" x14ac:dyDescent="0.3">
      <c r="A1710" t="s">
        <v>24</v>
      </c>
      <c r="B1710">
        <v>64</v>
      </c>
      <c r="C1710" t="s">
        <v>73</v>
      </c>
      <c r="D1710" t="s">
        <v>74</v>
      </c>
      <c r="E1710" t="s">
        <v>74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74</v>
      </c>
    </row>
    <row r="1711" spans="1:20" x14ac:dyDescent="0.3">
      <c r="A1711" t="s">
        <v>55</v>
      </c>
      <c r="B1711">
        <v>80</v>
      </c>
      <c r="C1711" t="s">
        <v>72</v>
      </c>
      <c r="D1711" t="s">
        <v>74</v>
      </c>
      <c r="E1711" t="s">
        <v>74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74</v>
      </c>
    </row>
    <row r="1712" spans="1:20" x14ac:dyDescent="0.3">
      <c r="A1712" t="s">
        <v>29</v>
      </c>
      <c r="B1712">
        <v>153</v>
      </c>
      <c r="C1712" t="s">
        <v>71</v>
      </c>
      <c r="D1712" t="s">
        <v>74</v>
      </c>
      <c r="E1712" t="s">
        <v>75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74</v>
      </c>
    </row>
    <row r="1713" spans="1:20" x14ac:dyDescent="0.3">
      <c r="A1713" t="s">
        <v>38</v>
      </c>
      <c r="B1713">
        <v>104</v>
      </c>
      <c r="C1713" t="s">
        <v>71</v>
      </c>
      <c r="D1713" t="s">
        <v>74</v>
      </c>
      <c r="E1713" t="s">
        <v>75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74</v>
      </c>
    </row>
    <row r="1714" spans="1:20" x14ac:dyDescent="0.3">
      <c r="A1714" t="s">
        <v>44</v>
      </c>
      <c r="B1714">
        <v>87</v>
      </c>
      <c r="C1714" t="s">
        <v>71</v>
      </c>
      <c r="D1714" t="s">
        <v>74</v>
      </c>
      <c r="E1714" t="s">
        <v>74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74</v>
      </c>
    </row>
    <row r="1715" spans="1:20" x14ac:dyDescent="0.3">
      <c r="A1715" t="s">
        <v>43</v>
      </c>
      <c r="B1715">
        <v>159</v>
      </c>
      <c r="C1715" t="s">
        <v>71</v>
      </c>
      <c r="D1715" t="s">
        <v>74</v>
      </c>
      <c r="E1715" t="s">
        <v>75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74</v>
      </c>
    </row>
    <row r="1716" spans="1:20" x14ac:dyDescent="0.3">
      <c r="A1716" t="s">
        <v>51</v>
      </c>
      <c r="B1716">
        <v>119</v>
      </c>
      <c r="C1716" t="s">
        <v>72</v>
      </c>
      <c r="D1716" t="s">
        <v>74</v>
      </c>
      <c r="E1716" t="s">
        <v>74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74</v>
      </c>
    </row>
    <row r="1717" spans="1:20" x14ac:dyDescent="0.3">
      <c r="A1717" t="s">
        <v>68</v>
      </c>
      <c r="B1717">
        <v>69</v>
      </c>
      <c r="C1717" t="s">
        <v>71</v>
      </c>
      <c r="D1717" t="s">
        <v>74</v>
      </c>
      <c r="E1717" t="s">
        <v>74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74</v>
      </c>
    </row>
    <row r="1718" spans="1:20" x14ac:dyDescent="0.3">
      <c r="A1718" t="s">
        <v>25</v>
      </c>
      <c r="B1718">
        <v>87</v>
      </c>
      <c r="C1718" t="s">
        <v>73</v>
      </c>
      <c r="D1718" t="s">
        <v>75</v>
      </c>
      <c r="E1718" t="s">
        <v>75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74</v>
      </c>
    </row>
    <row r="1719" spans="1:20" x14ac:dyDescent="0.3">
      <c r="A1719" t="s">
        <v>56</v>
      </c>
      <c r="B1719">
        <v>93</v>
      </c>
      <c r="C1719" t="s">
        <v>72</v>
      </c>
      <c r="D1719" t="s">
        <v>74</v>
      </c>
      <c r="E1719" t="s">
        <v>74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75</v>
      </c>
    </row>
    <row r="1720" spans="1:20" x14ac:dyDescent="0.3">
      <c r="A1720" t="s">
        <v>44</v>
      </c>
      <c r="B1720">
        <v>154</v>
      </c>
      <c r="C1720" t="s">
        <v>71</v>
      </c>
      <c r="D1720" t="s">
        <v>75</v>
      </c>
      <c r="E1720" t="s">
        <v>74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75</v>
      </c>
    </row>
    <row r="1721" spans="1:20" x14ac:dyDescent="0.3">
      <c r="A1721" t="s">
        <v>20</v>
      </c>
      <c r="B1721">
        <v>57</v>
      </c>
      <c r="C1721" t="s">
        <v>71</v>
      </c>
      <c r="D1721" t="s">
        <v>74</v>
      </c>
      <c r="E1721" t="s">
        <v>75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74</v>
      </c>
    </row>
    <row r="1722" spans="1:20" x14ac:dyDescent="0.3">
      <c r="A1722" t="s">
        <v>22</v>
      </c>
      <c r="B1722">
        <v>130</v>
      </c>
      <c r="C1722" t="s">
        <v>72</v>
      </c>
      <c r="D1722" t="s">
        <v>74</v>
      </c>
      <c r="E1722" t="s">
        <v>74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74</v>
      </c>
    </row>
    <row r="1723" spans="1:20" x14ac:dyDescent="0.3">
      <c r="A1723" t="s">
        <v>28</v>
      </c>
      <c r="B1723">
        <v>151</v>
      </c>
      <c r="C1723" t="s">
        <v>71</v>
      </c>
      <c r="D1723" t="s">
        <v>74</v>
      </c>
      <c r="E1723" t="s">
        <v>74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74</v>
      </c>
    </row>
    <row r="1724" spans="1:20" x14ac:dyDescent="0.3">
      <c r="A1724" t="s">
        <v>28</v>
      </c>
      <c r="B1724">
        <v>162</v>
      </c>
      <c r="C1724" t="s">
        <v>73</v>
      </c>
      <c r="D1724" t="s">
        <v>74</v>
      </c>
      <c r="E1724" t="s">
        <v>74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75</v>
      </c>
    </row>
    <row r="1725" spans="1:20" x14ac:dyDescent="0.3">
      <c r="A1725" t="s">
        <v>57</v>
      </c>
      <c r="B1725">
        <v>60</v>
      </c>
      <c r="C1725" t="s">
        <v>71</v>
      </c>
      <c r="D1725" t="s">
        <v>74</v>
      </c>
      <c r="E1725" t="s">
        <v>74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74</v>
      </c>
    </row>
    <row r="1726" spans="1:20" x14ac:dyDescent="0.3">
      <c r="A1726" t="s">
        <v>22</v>
      </c>
      <c r="B1726">
        <v>81</v>
      </c>
      <c r="C1726" t="s">
        <v>72</v>
      </c>
      <c r="D1726" t="s">
        <v>74</v>
      </c>
      <c r="E1726" t="s">
        <v>74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74</v>
      </c>
    </row>
    <row r="1727" spans="1:20" x14ac:dyDescent="0.3">
      <c r="A1727" t="s">
        <v>41</v>
      </c>
      <c r="B1727">
        <v>132</v>
      </c>
      <c r="C1727" t="s">
        <v>71</v>
      </c>
      <c r="D1727" t="s">
        <v>74</v>
      </c>
      <c r="E1727" t="s">
        <v>74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74</v>
      </c>
    </row>
    <row r="1728" spans="1:20" x14ac:dyDescent="0.3">
      <c r="A1728" t="s">
        <v>24</v>
      </c>
      <c r="B1728">
        <v>86</v>
      </c>
      <c r="C1728" t="s">
        <v>73</v>
      </c>
      <c r="D1728" t="s">
        <v>74</v>
      </c>
      <c r="E1728" t="s">
        <v>74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74</v>
      </c>
    </row>
    <row r="1729" spans="1:20" x14ac:dyDescent="0.3">
      <c r="A1729" t="s">
        <v>34</v>
      </c>
      <c r="B1729">
        <v>136</v>
      </c>
      <c r="C1729" t="s">
        <v>73</v>
      </c>
      <c r="D1729" t="s">
        <v>74</v>
      </c>
      <c r="E1729" t="s">
        <v>74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75</v>
      </c>
    </row>
    <row r="1730" spans="1:20" x14ac:dyDescent="0.3">
      <c r="A1730" t="s">
        <v>53</v>
      </c>
      <c r="B1730">
        <v>121</v>
      </c>
      <c r="C1730" t="s">
        <v>71</v>
      </c>
      <c r="D1730" t="s">
        <v>74</v>
      </c>
      <c r="E1730" t="s">
        <v>75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74</v>
      </c>
    </row>
    <row r="1731" spans="1:20" x14ac:dyDescent="0.3">
      <c r="A1731" t="s">
        <v>22</v>
      </c>
      <c r="B1731">
        <v>105</v>
      </c>
      <c r="C1731" t="s">
        <v>72</v>
      </c>
      <c r="D1731" t="s">
        <v>74</v>
      </c>
      <c r="E1731" t="s">
        <v>75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74</v>
      </c>
    </row>
    <row r="1732" spans="1:20" x14ac:dyDescent="0.3">
      <c r="A1732" t="s">
        <v>57</v>
      </c>
      <c r="B1732">
        <v>51</v>
      </c>
      <c r="C1732" t="s">
        <v>71</v>
      </c>
      <c r="D1732" t="s">
        <v>74</v>
      </c>
      <c r="E1732" t="s">
        <v>75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74</v>
      </c>
    </row>
    <row r="1733" spans="1:20" x14ac:dyDescent="0.3">
      <c r="A1733" t="s">
        <v>27</v>
      </c>
      <c r="B1733">
        <v>64</v>
      </c>
      <c r="C1733" t="s">
        <v>73</v>
      </c>
      <c r="D1733" t="s">
        <v>74</v>
      </c>
      <c r="E1733" t="s">
        <v>74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74</v>
      </c>
    </row>
    <row r="1734" spans="1:20" x14ac:dyDescent="0.3">
      <c r="A1734" t="s">
        <v>57</v>
      </c>
      <c r="B1734">
        <v>80</v>
      </c>
      <c r="C1734" t="s">
        <v>72</v>
      </c>
      <c r="D1734" t="s">
        <v>75</v>
      </c>
      <c r="E1734" t="s">
        <v>75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74</v>
      </c>
    </row>
    <row r="1735" spans="1:20" x14ac:dyDescent="0.3">
      <c r="A1735" t="s">
        <v>64</v>
      </c>
      <c r="B1735">
        <v>56</v>
      </c>
      <c r="C1735" t="s">
        <v>71</v>
      </c>
      <c r="D1735" t="s">
        <v>74</v>
      </c>
      <c r="E1735" t="s">
        <v>74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74</v>
      </c>
    </row>
    <row r="1736" spans="1:20" x14ac:dyDescent="0.3">
      <c r="A1736" t="s">
        <v>23</v>
      </c>
      <c r="B1736">
        <v>120</v>
      </c>
      <c r="C1736" t="s">
        <v>71</v>
      </c>
      <c r="D1736" t="s">
        <v>74</v>
      </c>
      <c r="E1736" t="s">
        <v>74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74</v>
      </c>
    </row>
    <row r="1737" spans="1:20" x14ac:dyDescent="0.3">
      <c r="A1737" t="s">
        <v>56</v>
      </c>
      <c r="B1737">
        <v>103</v>
      </c>
      <c r="C1737" t="s">
        <v>72</v>
      </c>
      <c r="D1737" t="s">
        <v>74</v>
      </c>
      <c r="E1737" t="s">
        <v>74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74</v>
      </c>
    </row>
    <row r="1738" spans="1:20" x14ac:dyDescent="0.3">
      <c r="A1738" t="s">
        <v>61</v>
      </c>
      <c r="B1738">
        <v>164</v>
      </c>
      <c r="C1738" t="s">
        <v>72</v>
      </c>
      <c r="D1738" t="s">
        <v>74</v>
      </c>
      <c r="E1738" t="s">
        <v>75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74</v>
      </c>
    </row>
    <row r="1739" spans="1:20" x14ac:dyDescent="0.3">
      <c r="A1739" t="s">
        <v>61</v>
      </c>
      <c r="B1739">
        <v>116</v>
      </c>
      <c r="C1739" t="s">
        <v>71</v>
      </c>
      <c r="D1739" t="s">
        <v>74</v>
      </c>
      <c r="E1739" t="s">
        <v>75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74</v>
      </c>
    </row>
    <row r="1740" spans="1:20" x14ac:dyDescent="0.3">
      <c r="A1740" t="s">
        <v>57</v>
      </c>
      <c r="B1740">
        <v>121</v>
      </c>
      <c r="C1740" t="s">
        <v>73</v>
      </c>
      <c r="D1740" t="s">
        <v>74</v>
      </c>
      <c r="E1740" t="s">
        <v>74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74</v>
      </c>
    </row>
    <row r="1741" spans="1:20" x14ac:dyDescent="0.3">
      <c r="A1741" t="s">
        <v>25</v>
      </c>
      <c r="B1741">
        <v>55</v>
      </c>
      <c r="C1741" t="s">
        <v>71</v>
      </c>
      <c r="D1741" t="s">
        <v>75</v>
      </c>
      <c r="E1741" t="s">
        <v>74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74</v>
      </c>
    </row>
    <row r="1742" spans="1:20" x14ac:dyDescent="0.3">
      <c r="A1742" t="s">
        <v>68</v>
      </c>
      <c r="B1742">
        <v>183</v>
      </c>
      <c r="C1742" t="s">
        <v>71</v>
      </c>
      <c r="D1742" t="s">
        <v>74</v>
      </c>
      <c r="E1742" t="s">
        <v>74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74</v>
      </c>
    </row>
    <row r="1743" spans="1:20" x14ac:dyDescent="0.3">
      <c r="A1743" t="s">
        <v>46</v>
      </c>
      <c r="B1743">
        <v>90</v>
      </c>
      <c r="C1743" t="s">
        <v>73</v>
      </c>
      <c r="D1743" t="s">
        <v>74</v>
      </c>
      <c r="E1743" t="s">
        <v>74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74</v>
      </c>
    </row>
    <row r="1744" spans="1:20" x14ac:dyDescent="0.3">
      <c r="A1744" t="s">
        <v>23</v>
      </c>
      <c r="B1744">
        <v>101</v>
      </c>
      <c r="C1744" t="s">
        <v>71</v>
      </c>
      <c r="D1744" t="s">
        <v>74</v>
      </c>
      <c r="E1744" t="s">
        <v>74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74</v>
      </c>
    </row>
    <row r="1745" spans="1:20" x14ac:dyDescent="0.3">
      <c r="A1745" t="s">
        <v>38</v>
      </c>
      <c r="B1745">
        <v>9</v>
      </c>
      <c r="C1745" t="s">
        <v>71</v>
      </c>
      <c r="D1745" t="s">
        <v>74</v>
      </c>
      <c r="E1745" t="s">
        <v>75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74</v>
      </c>
    </row>
    <row r="1746" spans="1:20" x14ac:dyDescent="0.3">
      <c r="A1746" t="s">
        <v>54</v>
      </c>
      <c r="B1746">
        <v>97</v>
      </c>
      <c r="C1746" t="s">
        <v>71</v>
      </c>
      <c r="D1746" t="s">
        <v>74</v>
      </c>
      <c r="E1746" t="s">
        <v>74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74</v>
      </c>
    </row>
    <row r="1747" spans="1:20" x14ac:dyDescent="0.3">
      <c r="A1747" t="s">
        <v>20</v>
      </c>
      <c r="B1747">
        <v>94</v>
      </c>
      <c r="C1747" t="s">
        <v>73</v>
      </c>
      <c r="D1747" t="s">
        <v>74</v>
      </c>
      <c r="E1747" t="s">
        <v>74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75</v>
      </c>
    </row>
    <row r="1748" spans="1:20" x14ac:dyDescent="0.3">
      <c r="A1748" t="s">
        <v>40</v>
      </c>
      <c r="B1748">
        <v>127</v>
      </c>
      <c r="C1748" t="s">
        <v>72</v>
      </c>
      <c r="D1748" t="s">
        <v>74</v>
      </c>
      <c r="E1748" t="s">
        <v>75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74</v>
      </c>
    </row>
    <row r="1749" spans="1:20" x14ac:dyDescent="0.3">
      <c r="A1749" t="s">
        <v>56</v>
      </c>
      <c r="B1749">
        <v>125</v>
      </c>
      <c r="C1749" t="s">
        <v>72</v>
      </c>
      <c r="D1749" t="s">
        <v>74</v>
      </c>
      <c r="E1749" t="s">
        <v>75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74</v>
      </c>
    </row>
    <row r="1750" spans="1:20" x14ac:dyDescent="0.3">
      <c r="A1750" t="s">
        <v>49</v>
      </c>
      <c r="B1750">
        <v>90</v>
      </c>
      <c r="C1750" t="s">
        <v>71</v>
      </c>
      <c r="D1750" t="s">
        <v>74</v>
      </c>
      <c r="E1750" t="s">
        <v>74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74</v>
      </c>
    </row>
    <row r="1751" spans="1:20" x14ac:dyDescent="0.3">
      <c r="A1751" t="s">
        <v>50</v>
      </c>
      <c r="B1751">
        <v>67</v>
      </c>
      <c r="C1751" t="s">
        <v>71</v>
      </c>
      <c r="D1751" t="s">
        <v>74</v>
      </c>
      <c r="E1751" t="s">
        <v>74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74</v>
      </c>
    </row>
    <row r="1752" spans="1:20" x14ac:dyDescent="0.3">
      <c r="A1752" t="s">
        <v>28</v>
      </c>
      <c r="B1752">
        <v>113</v>
      </c>
      <c r="C1752" t="s">
        <v>71</v>
      </c>
      <c r="D1752" t="s">
        <v>74</v>
      </c>
      <c r="E1752" t="s">
        <v>74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74</v>
      </c>
    </row>
    <row r="1753" spans="1:20" x14ac:dyDescent="0.3">
      <c r="A1753" t="s">
        <v>69</v>
      </c>
      <c r="B1753">
        <v>121</v>
      </c>
      <c r="C1753" t="s">
        <v>72</v>
      </c>
      <c r="D1753" t="s">
        <v>74</v>
      </c>
      <c r="E1753" t="s">
        <v>75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74</v>
      </c>
    </row>
    <row r="1754" spans="1:20" x14ac:dyDescent="0.3">
      <c r="A1754" t="s">
        <v>63</v>
      </c>
      <c r="B1754">
        <v>93</v>
      </c>
      <c r="C1754" t="s">
        <v>73</v>
      </c>
      <c r="D1754" t="s">
        <v>74</v>
      </c>
      <c r="E1754" t="s">
        <v>74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74</v>
      </c>
    </row>
    <row r="1755" spans="1:20" x14ac:dyDescent="0.3">
      <c r="A1755" t="s">
        <v>63</v>
      </c>
      <c r="B1755">
        <v>121</v>
      </c>
      <c r="C1755" t="s">
        <v>73</v>
      </c>
      <c r="D1755" t="s">
        <v>74</v>
      </c>
      <c r="E1755" t="s">
        <v>74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74</v>
      </c>
    </row>
    <row r="1756" spans="1:20" x14ac:dyDescent="0.3">
      <c r="A1756" t="s">
        <v>58</v>
      </c>
      <c r="B1756">
        <v>53</v>
      </c>
      <c r="C1756" t="s">
        <v>73</v>
      </c>
      <c r="D1756" t="s">
        <v>74</v>
      </c>
      <c r="E1756" t="s">
        <v>74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75</v>
      </c>
    </row>
    <row r="1757" spans="1:20" x14ac:dyDescent="0.3">
      <c r="A1757" t="s">
        <v>55</v>
      </c>
      <c r="B1757">
        <v>75</v>
      </c>
      <c r="C1757" t="s">
        <v>71</v>
      </c>
      <c r="D1757" t="s">
        <v>74</v>
      </c>
      <c r="E1757" t="s">
        <v>74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74</v>
      </c>
    </row>
    <row r="1758" spans="1:20" x14ac:dyDescent="0.3">
      <c r="A1758" t="s">
        <v>35</v>
      </c>
      <c r="B1758">
        <v>132</v>
      </c>
      <c r="C1758" t="s">
        <v>72</v>
      </c>
      <c r="D1758" t="s">
        <v>74</v>
      </c>
      <c r="E1758" t="s">
        <v>74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74</v>
      </c>
    </row>
    <row r="1759" spans="1:20" x14ac:dyDescent="0.3">
      <c r="A1759" t="s">
        <v>31</v>
      </c>
      <c r="B1759">
        <v>162</v>
      </c>
      <c r="C1759" t="s">
        <v>73</v>
      </c>
      <c r="D1759" t="s">
        <v>74</v>
      </c>
      <c r="E1759" t="s">
        <v>74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74</v>
      </c>
    </row>
    <row r="1760" spans="1:20" x14ac:dyDescent="0.3">
      <c r="A1760" t="s">
        <v>51</v>
      </c>
      <c r="B1760">
        <v>140</v>
      </c>
      <c r="C1760" t="s">
        <v>71</v>
      </c>
      <c r="D1760" t="s">
        <v>74</v>
      </c>
      <c r="E1760" t="s">
        <v>74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74</v>
      </c>
    </row>
    <row r="1761" spans="1:20" x14ac:dyDescent="0.3">
      <c r="A1761" t="s">
        <v>40</v>
      </c>
      <c r="B1761">
        <v>91</v>
      </c>
      <c r="C1761" t="s">
        <v>73</v>
      </c>
      <c r="D1761" t="s">
        <v>74</v>
      </c>
      <c r="E1761" t="s">
        <v>74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74</v>
      </c>
    </row>
    <row r="1762" spans="1:20" x14ac:dyDescent="0.3">
      <c r="A1762" t="s">
        <v>29</v>
      </c>
      <c r="B1762">
        <v>73</v>
      </c>
      <c r="C1762" t="s">
        <v>72</v>
      </c>
      <c r="D1762" t="s">
        <v>74</v>
      </c>
      <c r="E1762" t="s">
        <v>75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74</v>
      </c>
    </row>
    <row r="1763" spans="1:20" x14ac:dyDescent="0.3">
      <c r="A1763" t="s">
        <v>46</v>
      </c>
      <c r="B1763">
        <v>95</v>
      </c>
      <c r="C1763" t="s">
        <v>73</v>
      </c>
      <c r="D1763" t="s">
        <v>75</v>
      </c>
      <c r="E1763" t="s">
        <v>74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75</v>
      </c>
    </row>
    <row r="1764" spans="1:20" x14ac:dyDescent="0.3">
      <c r="A1764" t="s">
        <v>32</v>
      </c>
      <c r="B1764">
        <v>145</v>
      </c>
      <c r="C1764" t="s">
        <v>73</v>
      </c>
      <c r="D1764" t="s">
        <v>74</v>
      </c>
      <c r="E1764" t="s">
        <v>74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74</v>
      </c>
    </row>
    <row r="1765" spans="1:20" x14ac:dyDescent="0.3">
      <c r="A1765" t="s">
        <v>48</v>
      </c>
      <c r="B1765">
        <v>100</v>
      </c>
      <c r="C1765" t="s">
        <v>71</v>
      </c>
      <c r="D1765" t="s">
        <v>74</v>
      </c>
      <c r="E1765" t="s">
        <v>74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74</v>
      </c>
    </row>
    <row r="1766" spans="1:20" x14ac:dyDescent="0.3">
      <c r="A1766" t="s">
        <v>32</v>
      </c>
      <c r="B1766">
        <v>122</v>
      </c>
      <c r="C1766" t="s">
        <v>71</v>
      </c>
      <c r="D1766" t="s">
        <v>74</v>
      </c>
      <c r="E1766" t="s">
        <v>74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74</v>
      </c>
    </row>
    <row r="1767" spans="1:20" x14ac:dyDescent="0.3">
      <c r="A1767" t="s">
        <v>37</v>
      </c>
      <c r="B1767">
        <v>109</v>
      </c>
      <c r="C1767" t="s">
        <v>71</v>
      </c>
      <c r="D1767" t="s">
        <v>74</v>
      </c>
      <c r="E1767" t="s">
        <v>74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74</v>
      </c>
    </row>
    <row r="1768" spans="1:20" x14ac:dyDescent="0.3">
      <c r="A1768" t="s">
        <v>21</v>
      </c>
      <c r="B1768">
        <v>82</v>
      </c>
      <c r="C1768" t="s">
        <v>73</v>
      </c>
      <c r="D1768" t="s">
        <v>74</v>
      </c>
      <c r="E1768" t="s">
        <v>74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74</v>
      </c>
    </row>
    <row r="1769" spans="1:20" x14ac:dyDescent="0.3">
      <c r="A1769" t="s">
        <v>47</v>
      </c>
      <c r="B1769">
        <v>65</v>
      </c>
      <c r="C1769" t="s">
        <v>71</v>
      </c>
      <c r="D1769" t="s">
        <v>74</v>
      </c>
      <c r="E1769" t="s">
        <v>75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74</v>
      </c>
    </row>
    <row r="1770" spans="1:20" x14ac:dyDescent="0.3">
      <c r="A1770" t="s">
        <v>35</v>
      </c>
      <c r="B1770">
        <v>52</v>
      </c>
      <c r="C1770" t="s">
        <v>72</v>
      </c>
      <c r="D1770" t="s">
        <v>74</v>
      </c>
      <c r="E1770" t="s">
        <v>74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74</v>
      </c>
    </row>
    <row r="1771" spans="1:20" x14ac:dyDescent="0.3">
      <c r="A1771" t="s">
        <v>53</v>
      </c>
      <c r="B1771">
        <v>136</v>
      </c>
      <c r="C1771" t="s">
        <v>71</v>
      </c>
      <c r="D1771" t="s">
        <v>74</v>
      </c>
      <c r="E1771" t="s">
        <v>75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74</v>
      </c>
    </row>
    <row r="1772" spans="1:20" x14ac:dyDescent="0.3">
      <c r="A1772" t="s">
        <v>22</v>
      </c>
      <c r="B1772">
        <v>75</v>
      </c>
      <c r="C1772" t="s">
        <v>71</v>
      </c>
      <c r="D1772" t="s">
        <v>74</v>
      </c>
      <c r="E1772" t="s">
        <v>74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74</v>
      </c>
    </row>
    <row r="1773" spans="1:20" x14ac:dyDescent="0.3">
      <c r="A1773" t="s">
        <v>30</v>
      </c>
      <c r="B1773">
        <v>146</v>
      </c>
      <c r="C1773" t="s">
        <v>73</v>
      </c>
      <c r="D1773" t="s">
        <v>74</v>
      </c>
      <c r="E1773" t="s">
        <v>74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74</v>
      </c>
    </row>
    <row r="1774" spans="1:20" x14ac:dyDescent="0.3">
      <c r="A1774" t="s">
        <v>24</v>
      </c>
      <c r="B1774">
        <v>105</v>
      </c>
      <c r="C1774" t="s">
        <v>73</v>
      </c>
      <c r="D1774" t="s">
        <v>74</v>
      </c>
      <c r="E1774" t="s">
        <v>74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74</v>
      </c>
    </row>
    <row r="1775" spans="1:20" x14ac:dyDescent="0.3">
      <c r="A1775" t="s">
        <v>64</v>
      </c>
      <c r="B1775">
        <v>48</v>
      </c>
      <c r="C1775" t="s">
        <v>71</v>
      </c>
      <c r="D1775" t="s">
        <v>74</v>
      </c>
      <c r="E1775" t="s">
        <v>74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74</v>
      </c>
    </row>
    <row r="1776" spans="1:20" x14ac:dyDescent="0.3">
      <c r="A1776" t="s">
        <v>54</v>
      </c>
      <c r="B1776">
        <v>45</v>
      </c>
      <c r="C1776" t="s">
        <v>71</v>
      </c>
      <c r="D1776" t="s">
        <v>74</v>
      </c>
      <c r="E1776" t="s">
        <v>74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74</v>
      </c>
    </row>
    <row r="1777" spans="1:20" x14ac:dyDescent="0.3">
      <c r="A1777" t="s">
        <v>54</v>
      </c>
      <c r="B1777">
        <v>33</v>
      </c>
      <c r="C1777" t="s">
        <v>72</v>
      </c>
      <c r="D1777" t="s">
        <v>74</v>
      </c>
      <c r="E1777" t="s">
        <v>74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74</v>
      </c>
    </row>
    <row r="1778" spans="1:20" x14ac:dyDescent="0.3">
      <c r="A1778" t="s">
        <v>64</v>
      </c>
      <c r="B1778">
        <v>68</v>
      </c>
      <c r="C1778" t="s">
        <v>73</v>
      </c>
      <c r="D1778" t="s">
        <v>74</v>
      </c>
      <c r="E1778" t="s">
        <v>74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74</v>
      </c>
    </row>
    <row r="1779" spans="1:20" x14ac:dyDescent="0.3">
      <c r="A1779" t="s">
        <v>41</v>
      </c>
      <c r="B1779">
        <v>106</v>
      </c>
      <c r="C1779" t="s">
        <v>73</v>
      </c>
      <c r="D1779" t="s">
        <v>74</v>
      </c>
      <c r="E1779" t="s">
        <v>74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74</v>
      </c>
    </row>
    <row r="1780" spans="1:20" x14ac:dyDescent="0.3">
      <c r="A1780" t="s">
        <v>20</v>
      </c>
      <c r="B1780">
        <v>94</v>
      </c>
      <c r="C1780" t="s">
        <v>72</v>
      </c>
      <c r="D1780" t="s">
        <v>74</v>
      </c>
      <c r="E1780" t="s">
        <v>75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74</v>
      </c>
    </row>
    <row r="1781" spans="1:20" x14ac:dyDescent="0.3">
      <c r="A1781" t="s">
        <v>33</v>
      </c>
      <c r="B1781">
        <v>65</v>
      </c>
      <c r="C1781" t="s">
        <v>72</v>
      </c>
      <c r="D1781" t="s">
        <v>74</v>
      </c>
      <c r="E1781" t="s">
        <v>74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74</v>
      </c>
    </row>
    <row r="1782" spans="1:20" x14ac:dyDescent="0.3">
      <c r="A1782" t="s">
        <v>37</v>
      </c>
      <c r="B1782">
        <v>85</v>
      </c>
      <c r="C1782" t="s">
        <v>71</v>
      </c>
      <c r="D1782" t="s">
        <v>74</v>
      </c>
      <c r="E1782" t="s">
        <v>74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74</v>
      </c>
    </row>
    <row r="1783" spans="1:20" x14ac:dyDescent="0.3">
      <c r="A1783" t="s">
        <v>36</v>
      </c>
      <c r="B1783">
        <v>71</v>
      </c>
      <c r="C1783" t="s">
        <v>72</v>
      </c>
      <c r="D1783" t="s">
        <v>74</v>
      </c>
      <c r="E1783" t="s">
        <v>74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75</v>
      </c>
    </row>
    <row r="1784" spans="1:20" x14ac:dyDescent="0.3">
      <c r="A1784" t="s">
        <v>38</v>
      </c>
      <c r="B1784">
        <v>112</v>
      </c>
      <c r="C1784" t="s">
        <v>73</v>
      </c>
      <c r="D1784" t="s">
        <v>74</v>
      </c>
      <c r="E1784" t="s">
        <v>75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74</v>
      </c>
    </row>
    <row r="1785" spans="1:20" x14ac:dyDescent="0.3">
      <c r="A1785" t="s">
        <v>35</v>
      </c>
      <c r="B1785">
        <v>110</v>
      </c>
      <c r="C1785" t="s">
        <v>71</v>
      </c>
      <c r="D1785" t="s">
        <v>74</v>
      </c>
      <c r="E1785" t="s">
        <v>74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74</v>
      </c>
    </row>
    <row r="1786" spans="1:20" x14ac:dyDescent="0.3">
      <c r="A1786" t="s">
        <v>31</v>
      </c>
      <c r="B1786">
        <v>111</v>
      </c>
      <c r="C1786" t="s">
        <v>71</v>
      </c>
      <c r="D1786" t="s">
        <v>74</v>
      </c>
      <c r="E1786" t="s">
        <v>74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74</v>
      </c>
    </row>
    <row r="1787" spans="1:20" x14ac:dyDescent="0.3">
      <c r="A1787" t="s">
        <v>46</v>
      </c>
      <c r="B1787">
        <v>74</v>
      </c>
      <c r="C1787" t="s">
        <v>73</v>
      </c>
      <c r="D1787" t="s">
        <v>74</v>
      </c>
      <c r="E1787" t="s">
        <v>74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75</v>
      </c>
    </row>
    <row r="1788" spans="1:20" x14ac:dyDescent="0.3">
      <c r="A1788" t="s">
        <v>69</v>
      </c>
      <c r="B1788">
        <v>105</v>
      </c>
      <c r="C1788" t="s">
        <v>72</v>
      </c>
      <c r="D1788" t="s">
        <v>74</v>
      </c>
      <c r="E1788" t="s">
        <v>74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74</v>
      </c>
    </row>
    <row r="1789" spans="1:20" x14ac:dyDescent="0.3">
      <c r="A1789" t="s">
        <v>38</v>
      </c>
      <c r="B1789">
        <v>40</v>
      </c>
      <c r="C1789" t="s">
        <v>73</v>
      </c>
      <c r="D1789" t="s">
        <v>74</v>
      </c>
      <c r="E1789" t="s">
        <v>74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74</v>
      </c>
    </row>
    <row r="1790" spans="1:20" x14ac:dyDescent="0.3">
      <c r="A1790" t="s">
        <v>27</v>
      </c>
      <c r="B1790">
        <v>128</v>
      </c>
      <c r="C1790" t="s">
        <v>73</v>
      </c>
      <c r="D1790" t="s">
        <v>75</v>
      </c>
      <c r="E1790" t="s">
        <v>75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75</v>
      </c>
    </row>
    <row r="1791" spans="1:20" x14ac:dyDescent="0.3">
      <c r="A1791" t="s">
        <v>32</v>
      </c>
      <c r="B1791">
        <v>123</v>
      </c>
      <c r="C1791" t="s">
        <v>73</v>
      </c>
      <c r="D1791" t="s">
        <v>74</v>
      </c>
      <c r="E1791" t="s">
        <v>74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75</v>
      </c>
    </row>
    <row r="1792" spans="1:20" x14ac:dyDescent="0.3">
      <c r="A1792" t="s">
        <v>40</v>
      </c>
      <c r="B1792">
        <v>122</v>
      </c>
      <c r="C1792" t="s">
        <v>72</v>
      </c>
      <c r="D1792" t="s">
        <v>74</v>
      </c>
      <c r="E1792" t="s">
        <v>74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74</v>
      </c>
    </row>
    <row r="1793" spans="1:20" x14ac:dyDescent="0.3">
      <c r="A1793" t="s">
        <v>29</v>
      </c>
      <c r="B1793">
        <v>114</v>
      </c>
      <c r="C1793" t="s">
        <v>73</v>
      </c>
      <c r="D1793" t="s">
        <v>74</v>
      </c>
      <c r="E1793" t="s">
        <v>75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74</v>
      </c>
    </row>
    <row r="1794" spans="1:20" x14ac:dyDescent="0.3">
      <c r="A1794" t="s">
        <v>54</v>
      </c>
      <c r="B1794">
        <v>102</v>
      </c>
      <c r="C1794" t="s">
        <v>71</v>
      </c>
      <c r="D1794" t="s">
        <v>74</v>
      </c>
      <c r="E1794" t="s">
        <v>75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74</v>
      </c>
    </row>
    <row r="1795" spans="1:20" x14ac:dyDescent="0.3">
      <c r="A1795" t="s">
        <v>66</v>
      </c>
      <c r="B1795">
        <v>126</v>
      </c>
      <c r="C1795" t="s">
        <v>71</v>
      </c>
      <c r="D1795" t="s">
        <v>74</v>
      </c>
      <c r="E1795" t="s">
        <v>74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74</v>
      </c>
    </row>
    <row r="1796" spans="1:20" x14ac:dyDescent="0.3">
      <c r="A1796" t="s">
        <v>26</v>
      </c>
      <c r="B1796">
        <v>150</v>
      </c>
      <c r="C1796" t="s">
        <v>71</v>
      </c>
      <c r="D1796" t="s">
        <v>74</v>
      </c>
      <c r="E1796" t="s">
        <v>74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75</v>
      </c>
    </row>
    <row r="1797" spans="1:20" x14ac:dyDescent="0.3">
      <c r="A1797" t="s">
        <v>28</v>
      </c>
      <c r="B1797">
        <v>60</v>
      </c>
      <c r="C1797" t="s">
        <v>73</v>
      </c>
      <c r="D1797" t="s">
        <v>74</v>
      </c>
      <c r="E1797" t="s">
        <v>74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75</v>
      </c>
    </row>
    <row r="1798" spans="1:20" x14ac:dyDescent="0.3">
      <c r="A1798" t="s">
        <v>34</v>
      </c>
      <c r="B1798">
        <v>123</v>
      </c>
      <c r="C1798" t="s">
        <v>73</v>
      </c>
      <c r="D1798" t="s">
        <v>74</v>
      </c>
      <c r="E1798" t="s">
        <v>74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74</v>
      </c>
    </row>
    <row r="1799" spans="1:20" x14ac:dyDescent="0.3">
      <c r="A1799" t="s">
        <v>49</v>
      </c>
      <c r="B1799">
        <v>29</v>
      </c>
      <c r="C1799" t="s">
        <v>72</v>
      </c>
      <c r="D1799" t="s">
        <v>74</v>
      </c>
      <c r="E1799" t="s">
        <v>74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74</v>
      </c>
    </row>
    <row r="1800" spans="1:20" x14ac:dyDescent="0.3">
      <c r="A1800" t="s">
        <v>30</v>
      </c>
      <c r="B1800">
        <v>111</v>
      </c>
      <c r="C1800" t="s">
        <v>71</v>
      </c>
      <c r="D1800" t="s">
        <v>74</v>
      </c>
      <c r="E1800" t="s">
        <v>74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74</v>
      </c>
    </row>
    <row r="1801" spans="1:20" x14ac:dyDescent="0.3">
      <c r="A1801" t="s">
        <v>34</v>
      </c>
      <c r="B1801">
        <v>37</v>
      </c>
      <c r="C1801" t="s">
        <v>72</v>
      </c>
      <c r="D1801" t="s">
        <v>75</v>
      </c>
      <c r="E1801" t="s">
        <v>74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75</v>
      </c>
    </row>
    <row r="1802" spans="1:20" x14ac:dyDescent="0.3">
      <c r="A1802" t="s">
        <v>60</v>
      </c>
      <c r="B1802">
        <v>111</v>
      </c>
      <c r="C1802" t="s">
        <v>73</v>
      </c>
      <c r="D1802" t="s">
        <v>74</v>
      </c>
      <c r="E1802" t="s">
        <v>74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75</v>
      </c>
    </row>
    <row r="1803" spans="1:20" x14ac:dyDescent="0.3">
      <c r="A1803" t="s">
        <v>42</v>
      </c>
      <c r="B1803">
        <v>81</v>
      </c>
      <c r="C1803" t="s">
        <v>72</v>
      </c>
      <c r="D1803" t="s">
        <v>74</v>
      </c>
      <c r="E1803" t="s">
        <v>74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74</v>
      </c>
    </row>
    <row r="1804" spans="1:20" x14ac:dyDescent="0.3">
      <c r="A1804" t="s">
        <v>41</v>
      </c>
      <c r="B1804">
        <v>46</v>
      </c>
      <c r="C1804" t="s">
        <v>72</v>
      </c>
      <c r="D1804" t="s">
        <v>74</v>
      </c>
      <c r="E1804" t="s">
        <v>74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74</v>
      </c>
    </row>
    <row r="1805" spans="1:20" x14ac:dyDescent="0.3">
      <c r="A1805" t="s">
        <v>53</v>
      </c>
      <c r="B1805">
        <v>69</v>
      </c>
      <c r="C1805" t="s">
        <v>72</v>
      </c>
      <c r="D1805" t="s">
        <v>74</v>
      </c>
      <c r="E1805" t="s">
        <v>75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74</v>
      </c>
    </row>
    <row r="1806" spans="1:20" x14ac:dyDescent="0.3">
      <c r="A1806" t="s">
        <v>61</v>
      </c>
      <c r="B1806">
        <v>125</v>
      </c>
      <c r="C1806" t="s">
        <v>73</v>
      </c>
      <c r="D1806" t="s">
        <v>74</v>
      </c>
      <c r="E1806" t="s">
        <v>74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74</v>
      </c>
    </row>
    <row r="1807" spans="1:20" x14ac:dyDescent="0.3">
      <c r="A1807" t="s">
        <v>20</v>
      </c>
      <c r="B1807">
        <v>43</v>
      </c>
      <c r="C1807" t="s">
        <v>71</v>
      </c>
      <c r="D1807" t="s">
        <v>74</v>
      </c>
      <c r="E1807" t="s">
        <v>74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74</v>
      </c>
    </row>
    <row r="1808" spans="1:20" x14ac:dyDescent="0.3">
      <c r="A1808" t="s">
        <v>51</v>
      </c>
      <c r="B1808">
        <v>94</v>
      </c>
      <c r="C1808" t="s">
        <v>72</v>
      </c>
      <c r="D1808" t="s">
        <v>74</v>
      </c>
      <c r="E1808" t="s">
        <v>74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74</v>
      </c>
    </row>
    <row r="1809" spans="1:20" x14ac:dyDescent="0.3">
      <c r="A1809" t="s">
        <v>23</v>
      </c>
      <c r="B1809">
        <v>46</v>
      </c>
      <c r="C1809" t="s">
        <v>73</v>
      </c>
      <c r="D1809" t="s">
        <v>74</v>
      </c>
      <c r="E1809" t="s">
        <v>74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74</v>
      </c>
    </row>
    <row r="1810" spans="1:20" x14ac:dyDescent="0.3">
      <c r="A1810" t="s">
        <v>57</v>
      </c>
      <c r="B1810">
        <v>73</v>
      </c>
      <c r="C1810" t="s">
        <v>73</v>
      </c>
      <c r="D1810" t="s">
        <v>74</v>
      </c>
      <c r="E1810" t="s">
        <v>75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74</v>
      </c>
    </row>
    <row r="1811" spans="1:20" x14ac:dyDescent="0.3">
      <c r="A1811" t="s">
        <v>54</v>
      </c>
      <c r="B1811">
        <v>146</v>
      </c>
      <c r="C1811" t="s">
        <v>73</v>
      </c>
      <c r="D1811" t="s">
        <v>74</v>
      </c>
      <c r="E1811" t="s">
        <v>75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74</v>
      </c>
    </row>
    <row r="1812" spans="1:20" x14ac:dyDescent="0.3">
      <c r="A1812" t="s">
        <v>52</v>
      </c>
      <c r="B1812">
        <v>93</v>
      </c>
      <c r="C1812" t="s">
        <v>71</v>
      </c>
      <c r="D1812" t="s">
        <v>74</v>
      </c>
      <c r="E1812" t="s">
        <v>74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74</v>
      </c>
    </row>
    <row r="1813" spans="1:20" x14ac:dyDescent="0.3">
      <c r="A1813" t="s">
        <v>61</v>
      </c>
      <c r="B1813">
        <v>52</v>
      </c>
      <c r="C1813" t="s">
        <v>73</v>
      </c>
      <c r="D1813" t="s">
        <v>74</v>
      </c>
      <c r="E1813" t="s">
        <v>75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74</v>
      </c>
    </row>
    <row r="1814" spans="1:20" x14ac:dyDescent="0.3">
      <c r="A1814" t="s">
        <v>32</v>
      </c>
      <c r="B1814">
        <v>129</v>
      </c>
      <c r="C1814" t="s">
        <v>72</v>
      </c>
      <c r="D1814" t="s">
        <v>74</v>
      </c>
      <c r="E1814" t="s">
        <v>75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74</v>
      </c>
    </row>
    <row r="1815" spans="1:20" x14ac:dyDescent="0.3">
      <c r="A1815" t="s">
        <v>54</v>
      </c>
      <c r="B1815">
        <v>94</v>
      </c>
      <c r="C1815" t="s">
        <v>71</v>
      </c>
      <c r="D1815" t="s">
        <v>74</v>
      </c>
      <c r="E1815" t="s">
        <v>74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74</v>
      </c>
    </row>
    <row r="1816" spans="1:20" x14ac:dyDescent="0.3">
      <c r="A1816" t="s">
        <v>21</v>
      </c>
      <c r="B1816">
        <v>100</v>
      </c>
      <c r="C1816" t="s">
        <v>71</v>
      </c>
      <c r="D1816" t="s">
        <v>74</v>
      </c>
      <c r="E1816" t="s">
        <v>74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74</v>
      </c>
    </row>
    <row r="1817" spans="1:20" x14ac:dyDescent="0.3">
      <c r="A1817" t="s">
        <v>65</v>
      </c>
      <c r="B1817">
        <v>43</v>
      </c>
      <c r="C1817" t="s">
        <v>71</v>
      </c>
      <c r="D1817" t="s">
        <v>74</v>
      </c>
      <c r="E1817" t="s">
        <v>74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74</v>
      </c>
    </row>
    <row r="1818" spans="1:20" x14ac:dyDescent="0.3">
      <c r="A1818" t="s">
        <v>46</v>
      </c>
      <c r="B1818">
        <v>130</v>
      </c>
      <c r="C1818" t="s">
        <v>71</v>
      </c>
      <c r="D1818" t="s">
        <v>74</v>
      </c>
      <c r="E1818" t="s">
        <v>74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74</v>
      </c>
    </row>
    <row r="1819" spans="1:20" x14ac:dyDescent="0.3">
      <c r="A1819" t="s">
        <v>30</v>
      </c>
      <c r="B1819">
        <v>124</v>
      </c>
      <c r="C1819" t="s">
        <v>71</v>
      </c>
      <c r="D1819" t="s">
        <v>74</v>
      </c>
      <c r="E1819" t="s">
        <v>74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74</v>
      </c>
    </row>
    <row r="1820" spans="1:20" x14ac:dyDescent="0.3">
      <c r="A1820" t="s">
        <v>50</v>
      </c>
      <c r="B1820">
        <v>92</v>
      </c>
      <c r="C1820" t="s">
        <v>72</v>
      </c>
      <c r="D1820" t="s">
        <v>75</v>
      </c>
      <c r="E1820" t="s">
        <v>74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75</v>
      </c>
    </row>
    <row r="1821" spans="1:20" x14ac:dyDescent="0.3">
      <c r="A1821" t="s">
        <v>23</v>
      </c>
      <c r="B1821">
        <v>48</v>
      </c>
      <c r="C1821" t="s">
        <v>71</v>
      </c>
      <c r="D1821" t="s">
        <v>74</v>
      </c>
      <c r="E1821" t="s">
        <v>74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74</v>
      </c>
    </row>
    <row r="1822" spans="1:20" x14ac:dyDescent="0.3">
      <c r="A1822" t="s">
        <v>61</v>
      </c>
      <c r="B1822">
        <v>98</v>
      </c>
      <c r="C1822" t="s">
        <v>72</v>
      </c>
      <c r="D1822" t="s">
        <v>74</v>
      </c>
      <c r="E1822" t="s">
        <v>75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74</v>
      </c>
    </row>
    <row r="1823" spans="1:20" x14ac:dyDescent="0.3">
      <c r="A1823" t="s">
        <v>57</v>
      </c>
      <c r="B1823">
        <v>100</v>
      </c>
      <c r="C1823" t="s">
        <v>71</v>
      </c>
      <c r="D1823" t="s">
        <v>74</v>
      </c>
      <c r="E1823" t="s">
        <v>74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75</v>
      </c>
    </row>
    <row r="1824" spans="1:20" x14ac:dyDescent="0.3">
      <c r="A1824" t="s">
        <v>50</v>
      </c>
      <c r="B1824">
        <v>164</v>
      </c>
      <c r="C1824" t="s">
        <v>71</v>
      </c>
      <c r="D1824" t="s">
        <v>74</v>
      </c>
      <c r="E1824" t="s">
        <v>74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74</v>
      </c>
    </row>
    <row r="1825" spans="1:20" x14ac:dyDescent="0.3">
      <c r="A1825" t="s">
        <v>52</v>
      </c>
      <c r="B1825">
        <v>105</v>
      </c>
      <c r="C1825" t="s">
        <v>71</v>
      </c>
      <c r="D1825" t="s">
        <v>74</v>
      </c>
      <c r="E1825" t="s">
        <v>74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74</v>
      </c>
    </row>
    <row r="1826" spans="1:20" x14ac:dyDescent="0.3">
      <c r="A1826" t="s">
        <v>62</v>
      </c>
      <c r="B1826">
        <v>89</v>
      </c>
      <c r="C1826" t="s">
        <v>73</v>
      </c>
      <c r="D1826" t="s">
        <v>75</v>
      </c>
      <c r="E1826" t="s">
        <v>74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74</v>
      </c>
    </row>
    <row r="1827" spans="1:20" x14ac:dyDescent="0.3">
      <c r="A1827" t="s">
        <v>24</v>
      </c>
      <c r="B1827">
        <v>126</v>
      </c>
      <c r="C1827" t="s">
        <v>71</v>
      </c>
      <c r="D1827" t="s">
        <v>74</v>
      </c>
      <c r="E1827" t="s">
        <v>74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75</v>
      </c>
    </row>
    <row r="1828" spans="1:20" x14ac:dyDescent="0.3">
      <c r="A1828" t="s">
        <v>30</v>
      </c>
      <c r="B1828">
        <v>96</v>
      </c>
      <c r="C1828" t="s">
        <v>73</v>
      </c>
      <c r="D1828" t="s">
        <v>74</v>
      </c>
      <c r="E1828" t="s">
        <v>74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74</v>
      </c>
    </row>
    <row r="1829" spans="1:20" x14ac:dyDescent="0.3">
      <c r="A1829" t="s">
        <v>22</v>
      </c>
      <c r="B1829">
        <v>120</v>
      </c>
      <c r="C1829" t="s">
        <v>71</v>
      </c>
      <c r="D1829" t="s">
        <v>74</v>
      </c>
      <c r="E1829" t="s">
        <v>75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74</v>
      </c>
    </row>
    <row r="1830" spans="1:20" x14ac:dyDescent="0.3">
      <c r="A1830" t="s">
        <v>43</v>
      </c>
      <c r="B1830">
        <v>212</v>
      </c>
      <c r="C1830" t="s">
        <v>71</v>
      </c>
      <c r="D1830" t="s">
        <v>74</v>
      </c>
      <c r="E1830" t="s">
        <v>74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75</v>
      </c>
    </row>
    <row r="1831" spans="1:20" x14ac:dyDescent="0.3">
      <c r="A1831" t="s">
        <v>66</v>
      </c>
      <c r="B1831">
        <v>72</v>
      </c>
      <c r="C1831" t="s">
        <v>71</v>
      </c>
      <c r="D1831" t="s">
        <v>74</v>
      </c>
      <c r="E1831" t="s">
        <v>74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74</v>
      </c>
    </row>
    <row r="1832" spans="1:20" x14ac:dyDescent="0.3">
      <c r="A1832" t="s">
        <v>67</v>
      </c>
      <c r="B1832">
        <v>155</v>
      </c>
      <c r="C1832" t="s">
        <v>71</v>
      </c>
      <c r="D1832" t="s">
        <v>75</v>
      </c>
      <c r="E1832" t="s">
        <v>75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74</v>
      </c>
    </row>
    <row r="1833" spans="1:20" x14ac:dyDescent="0.3">
      <c r="A1833" t="s">
        <v>42</v>
      </c>
      <c r="B1833">
        <v>89</v>
      </c>
      <c r="C1833" t="s">
        <v>71</v>
      </c>
      <c r="D1833" t="s">
        <v>74</v>
      </c>
      <c r="E1833" t="s">
        <v>74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74</v>
      </c>
    </row>
    <row r="1834" spans="1:20" x14ac:dyDescent="0.3">
      <c r="A1834" t="s">
        <v>30</v>
      </c>
      <c r="B1834">
        <v>126</v>
      </c>
      <c r="C1834" t="s">
        <v>73</v>
      </c>
      <c r="D1834" t="s">
        <v>75</v>
      </c>
      <c r="E1834" t="s">
        <v>74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74</v>
      </c>
    </row>
    <row r="1835" spans="1:20" x14ac:dyDescent="0.3">
      <c r="A1835" t="s">
        <v>21</v>
      </c>
      <c r="B1835">
        <v>172</v>
      </c>
      <c r="C1835" t="s">
        <v>73</v>
      </c>
      <c r="D1835" t="s">
        <v>74</v>
      </c>
      <c r="E1835" t="s">
        <v>74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75</v>
      </c>
    </row>
    <row r="1836" spans="1:20" x14ac:dyDescent="0.3">
      <c r="A1836" t="s">
        <v>50</v>
      </c>
      <c r="B1836">
        <v>75</v>
      </c>
      <c r="C1836" t="s">
        <v>71</v>
      </c>
      <c r="D1836" t="s">
        <v>74</v>
      </c>
      <c r="E1836" t="s">
        <v>74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74</v>
      </c>
    </row>
    <row r="1837" spans="1:20" x14ac:dyDescent="0.3">
      <c r="A1837" t="s">
        <v>31</v>
      </c>
      <c r="B1837">
        <v>143</v>
      </c>
      <c r="C1837" t="s">
        <v>72</v>
      </c>
      <c r="D1837" t="s">
        <v>74</v>
      </c>
      <c r="E1837" t="s">
        <v>74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74</v>
      </c>
    </row>
    <row r="1838" spans="1:20" x14ac:dyDescent="0.3">
      <c r="A1838" t="s">
        <v>39</v>
      </c>
      <c r="B1838">
        <v>166</v>
      </c>
      <c r="C1838" t="s">
        <v>72</v>
      </c>
      <c r="D1838" t="s">
        <v>75</v>
      </c>
      <c r="E1838" t="s">
        <v>74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75</v>
      </c>
    </row>
    <row r="1839" spans="1:20" x14ac:dyDescent="0.3">
      <c r="A1839" t="s">
        <v>20</v>
      </c>
      <c r="B1839">
        <v>132</v>
      </c>
      <c r="C1839" t="s">
        <v>71</v>
      </c>
      <c r="D1839" t="s">
        <v>74</v>
      </c>
      <c r="E1839" t="s">
        <v>74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74</v>
      </c>
    </row>
    <row r="1840" spans="1:20" x14ac:dyDescent="0.3">
      <c r="A1840" t="s">
        <v>68</v>
      </c>
      <c r="B1840">
        <v>94</v>
      </c>
      <c r="C1840" t="s">
        <v>73</v>
      </c>
      <c r="D1840" t="s">
        <v>75</v>
      </c>
      <c r="E1840" t="s">
        <v>74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75</v>
      </c>
    </row>
    <row r="1841" spans="1:20" x14ac:dyDescent="0.3">
      <c r="A1841" t="s">
        <v>38</v>
      </c>
      <c r="B1841">
        <v>99</v>
      </c>
      <c r="C1841" t="s">
        <v>71</v>
      </c>
      <c r="D1841" t="s">
        <v>74</v>
      </c>
      <c r="E1841" t="s">
        <v>74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74</v>
      </c>
    </row>
    <row r="1842" spans="1:20" x14ac:dyDescent="0.3">
      <c r="A1842" t="s">
        <v>50</v>
      </c>
      <c r="B1842">
        <v>136</v>
      </c>
      <c r="C1842" t="s">
        <v>71</v>
      </c>
      <c r="D1842" t="s">
        <v>74</v>
      </c>
      <c r="E1842" t="s">
        <v>75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74</v>
      </c>
    </row>
    <row r="1843" spans="1:20" x14ac:dyDescent="0.3">
      <c r="A1843" t="s">
        <v>20</v>
      </c>
      <c r="B1843">
        <v>119</v>
      </c>
      <c r="C1843" t="s">
        <v>71</v>
      </c>
      <c r="D1843" t="s">
        <v>74</v>
      </c>
      <c r="E1843" t="s">
        <v>74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74</v>
      </c>
    </row>
    <row r="1844" spans="1:20" x14ac:dyDescent="0.3">
      <c r="A1844" t="s">
        <v>66</v>
      </c>
      <c r="B1844">
        <v>115</v>
      </c>
      <c r="C1844" t="s">
        <v>72</v>
      </c>
      <c r="D1844" t="s">
        <v>75</v>
      </c>
      <c r="E1844" t="s">
        <v>74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75</v>
      </c>
    </row>
    <row r="1845" spans="1:20" x14ac:dyDescent="0.3">
      <c r="A1845" t="s">
        <v>37</v>
      </c>
      <c r="B1845">
        <v>160</v>
      </c>
      <c r="C1845" t="s">
        <v>71</v>
      </c>
      <c r="D1845" t="s">
        <v>74</v>
      </c>
      <c r="E1845" t="s">
        <v>74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74</v>
      </c>
    </row>
    <row r="1846" spans="1:20" x14ac:dyDescent="0.3">
      <c r="A1846" t="s">
        <v>60</v>
      </c>
      <c r="B1846">
        <v>120</v>
      </c>
      <c r="C1846" t="s">
        <v>72</v>
      </c>
      <c r="D1846" t="s">
        <v>74</v>
      </c>
      <c r="E1846" t="s">
        <v>74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74</v>
      </c>
    </row>
    <row r="1847" spans="1:20" x14ac:dyDescent="0.3">
      <c r="A1847" t="s">
        <v>65</v>
      </c>
      <c r="B1847">
        <v>173</v>
      </c>
      <c r="C1847" t="s">
        <v>71</v>
      </c>
      <c r="D1847" t="s">
        <v>74</v>
      </c>
      <c r="E1847" t="s">
        <v>74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74</v>
      </c>
    </row>
    <row r="1848" spans="1:20" x14ac:dyDescent="0.3">
      <c r="A1848" t="s">
        <v>25</v>
      </c>
      <c r="B1848">
        <v>156</v>
      </c>
      <c r="C1848" t="s">
        <v>71</v>
      </c>
      <c r="D1848" t="s">
        <v>74</v>
      </c>
      <c r="E1848" t="s">
        <v>74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74</v>
      </c>
    </row>
    <row r="1849" spans="1:20" x14ac:dyDescent="0.3">
      <c r="A1849" t="s">
        <v>38</v>
      </c>
      <c r="B1849">
        <v>70</v>
      </c>
      <c r="C1849" t="s">
        <v>71</v>
      </c>
      <c r="D1849" t="s">
        <v>74</v>
      </c>
      <c r="E1849" t="s">
        <v>74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74</v>
      </c>
    </row>
    <row r="1850" spans="1:20" x14ac:dyDescent="0.3">
      <c r="A1850" t="s">
        <v>68</v>
      </c>
      <c r="B1850">
        <v>41</v>
      </c>
      <c r="C1850" t="s">
        <v>72</v>
      </c>
      <c r="D1850" t="s">
        <v>74</v>
      </c>
      <c r="E1850" t="s">
        <v>74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74</v>
      </c>
    </row>
    <row r="1851" spans="1:20" x14ac:dyDescent="0.3">
      <c r="A1851" t="s">
        <v>21</v>
      </c>
      <c r="B1851">
        <v>132</v>
      </c>
      <c r="C1851" t="s">
        <v>73</v>
      </c>
      <c r="D1851" t="s">
        <v>74</v>
      </c>
      <c r="E1851" t="s">
        <v>74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74</v>
      </c>
    </row>
    <row r="1852" spans="1:20" x14ac:dyDescent="0.3">
      <c r="A1852" t="s">
        <v>42</v>
      </c>
      <c r="B1852">
        <v>93</v>
      </c>
      <c r="C1852" t="s">
        <v>71</v>
      </c>
      <c r="D1852" t="s">
        <v>74</v>
      </c>
      <c r="E1852" t="s">
        <v>74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74</v>
      </c>
    </row>
    <row r="1853" spans="1:20" x14ac:dyDescent="0.3">
      <c r="A1853" t="s">
        <v>61</v>
      </c>
      <c r="B1853">
        <v>109</v>
      </c>
      <c r="C1853" t="s">
        <v>71</v>
      </c>
      <c r="D1853" t="s">
        <v>74</v>
      </c>
      <c r="E1853" t="s">
        <v>74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74</v>
      </c>
    </row>
    <row r="1854" spans="1:20" x14ac:dyDescent="0.3">
      <c r="A1854" t="s">
        <v>30</v>
      </c>
      <c r="B1854">
        <v>80</v>
      </c>
      <c r="C1854" t="s">
        <v>72</v>
      </c>
      <c r="D1854" t="s">
        <v>74</v>
      </c>
      <c r="E1854" t="s">
        <v>74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74</v>
      </c>
    </row>
    <row r="1855" spans="1:20" x14ac:dyDescent="0.3">
      <c r="A1855" t="s">
        <v>52</v>
      </c>
      <c r="B1855">
        <v>54</v>
      </c>
      <c r="C1855" t="s">
        <v>71</v>
      </c>
      <c r="D1855" t="s">
        <v>74</v>
      </c>
      <c r="E1855" t="s">
        <v>75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74</v>
      </c>
    </row>
    <row r="1856" spans="1:20" x14ac:dyDescent="0.3">
      <c r="A1856" t="s">
        <v>21</v>
      </c>
      <c r="B1856">
        <v>121</v>
      </c>
      <c r="C1856" t="s">
        <v>71</v>
      </c>
      <c r="D1856" t="s">
        <v>74</v>
      </c>
      <c r="E1856" t="s">
        <v>74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74</v>
      </c>
    </row>
    <row r="1857" spans="1:20" x14ac:dyDescent="0.3">
      <c r="A1857" t="s">
        <v>63</v>
      </c>
      <c r="B1857">
        <v>157</v>
      </c>
      <c r="C1857" t="s">
        <v>72</v>
      </c>
      <c r="D1857" t="s">
        <v>74</v>
      </c>
      <c r="E1857" t="s">
        <v>75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74</v>
      </c>
    </row>
    <row r="1858" spans="1:20" x14ac:dyDescent="0.3">
      <c r="A1858" t="s">
        <v>62</v>
      </c>
      <c r="B1858">
        <v>138</v>
      </c>
      <c r="C1858" t="s">
        <v>72</v>
      </c>
      <c r="D1858" t="s">
        <v>74</v>
      </c>
      <c r="E1858" t="s">
        <v>74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74</v>
      </c>
    </row>
    <row r="1859" spans="1:20" x14ac:dyDescent="0.3">
      <c r="A1859" t="s">
        <v>29</v>
      </c>
      <c r="B1859">
        <v>92</v>
      </c>
      <c r="C1859" t="s">
        <v>71</v>
      </c>
      <c r="D1859" t="s">
        <v>74</v>
      </c>
      <c r="E1859" t="s">
        <v>75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74</v>
      </c>
    </row>
    <row r="1860" spans="1:20" x14ac:dyDescent="0.3">
      <c r="A1860" t="s">
        <v>34</v>
      </c>
      <c r="B1860">
        <v>126</v>
      </c>
      <c r="C1860" t="s">
        <v>71</v>
      </c>
      <c r="D1860" t="s">
        <v>74</v>
      </c>
      <c r="E1860" t="s">
        <v>74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74</v>
      </c>
    </row>
    <row r="1861" spans="1:20" x14ac:dyDescent="0.3">
      <c r="A1861" t="s">
        <v>52</v>
      </c>
      <c r="B1861">
        <v>41</v>
      </c>
      <c r="C1861" t="s">
        <v>71</v>
      </c>
      <c r="D1861" t="s">
        <v>74</v>
      </c>
      <c r="E1861" t="s">
        <v>74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75</v>
      </c>
    </row>
    <row r="1862" spans="1:20" x14ac:dyDescent="0.3">
      <c r="A1862" t="s">
        <v>41</v>
      </c>
      <c r="B1862">
        <v>167</v>
      </c>
      <c r="C1862" t="s">
        <v>71</v>
      </c>
      <c r="D1862" t="s">
        <v>74</v>
      </c>
      <c r="E1862" t="s">
        <v>74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75</v>
      </c>
    </row>
    <row r="1863" spans="1:20" x14ac:dyDescent="0.3">
      <c r="A1863" t="s">
        <v>42</v>
      </c>
      <c r="B1863">
        <v>91</v>
      </c>
      <c r="C1863" t="s">
        <v>72</v>
      </c>
      <c r="D1863" t="s">
        <v>74</v>
      </c>
      <c r="E1863" t="s">
        <v>74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74</v>
      </c>
    </row>
    <row r="1864" spans="1:20" x14ac:dyDescent="0.3">
      <c r="A1864" t="s">
        <v>55</v>
      </c>
      <c r="B1864">
        <v>127</v>
      </c>
      <c r="C1864" t="s">
        <v>72</v>
      </c>
      <c r="D1864" t="s">
        <v>74</v>
      </c>
      <c r="E1864" t="s">
        <v>74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74</v>
      </c>
    </row>
    <row r="1865" spans="1:20" x14ac:dyDescent="0.3">
      <c r="A1865" t="s">
        <v>66</v>
      </c>
      <c r="B1865">
        <v>88</v>
      </c>
      <c r="C1865" t="s">
        <v>73</v>
      </c>
      <c r="D1865" t="s">
        <v>74</v>
      </c>
      <c r="E1865" t="s">
        <v>75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74</v>
      </c>
    </row>
    <row r="1866" spans="1:20" x14ac:dyDescent="0.3">
      <c r="A1866" t="s">
        <v>55</v>
      </c>
      <c r="B1866">
        <v>113</v>
      </c>
      <c r="C1866" t="s">
        <v>71</v>
      </c>
      <c r="D1866" t="s">
        <v>74</v>
      </c>
      <c r="E1866" t="s">
        <v>74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74</v>
      </c>
    </row>
    <row r="1867" spans="1:20" x14ac:dyDescent="0.3">
      <c r="A1867" t="s">
        <v>38</v>
      </c>
      <c r="B1867">
        <v>78</v>
      </c>
      <c r="C1867" t="s">
        <v>72</v>
      </c>
      <c r="D1867" t="s">
        <v>74</v>
      </c>
      <c r="E1867" t="s">
        <v>74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74</v>
      </c>
    </row>
    <row r="1868" spans="1:20" x14ac:dyDescent="0.3">
      <c r="A1868" t="s">
        <v>45</v>
      </c>
      <c r="B1868">
        <v>136</v>
      </c>
      <c r="C1868" t="s">
        <v>73</v>
      </c>
      <c r="D1868" t="s">
        <v>75</v>
      </c>
      <c r="E1868" t="s">
        <v>75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74</v>
      </c>
    </row>
    <row r="1869" spans="1:20" x14ac:dyDescent="0.3">
      <c r="A1869" t="s">
        <v>53</v>
      </c>
      <c r="B1869">
        <v>68</v>
      </c>
      <c r="C1869" t="s">
        <v>71</v>
      </c>
      <c r="D1869" t="s">
        <v>74</v>
      </c>
      <c r="E1869" t="s">
        <v>75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74</v>
      </c>
    </row>
    <row r="1870" spans="1:20" x14ac:dyDescent="0.3">
      <c r="A1870" t="s">
        <v>61</v>
      </c>
      <c r="B1870">
        <v>132</v>
      </c>
      <c r="C1870" t="s">
        <v>71</v>
      </c>
      <c r="D1870" t="s">
        <v>74</v>
      </c>
      <c r="E1870" t="s">
        <v>75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74</v>
      </c>
    </row>
    <row r="1871" spans="1:20" x14ac:dyDescent="0.3">
      <c r="A1871" t="s">
        <v>41</v>
      </c>
      <c r="B1871">
        <v>110</v>
      </c>
      <c r="C1871" t="s">
        <v>71</v>
      </c>
      <c r="D1871" t="s">
        <v>74</v>
      </c>
      <c r="E1871" t="s">
        <v>74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74</v>
      </c>
    </row>
    <row r="1872" spans="1:20" x14ac:dyDescent="0.3">
      <c r="A1872" t="s">
        <v>65</v>
      </c>
      <c r="B1872">
        <v>121</v>
      </c>
      <c r="C1872" t="s">
        <v>72</v>
      </c>
      <c r="D1872" t="s">
        <v>74</v>
      </c>
      <c r="E1872" t="s">
        <v>74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74</v>
      </c>
    </row>
    <row r="1873" spans="1:20" x14ac:dyDescent="0.3">
      <c r="A1873" t="s">
        <v>38</v>
      </c>
      <c r="B1873">
        <v>116</v>
      </c>
      <c r="C1873" t="s">
        <v>72</v>
      </c>
      <c r="D1873" t="s">
        <v>74</v>
      </c>
      <c r="E1873" t="s">
        <v>74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74</v>
      </c>
    </row>
    <row r="1874" spans="1:20" x14ac:dyDescent="0.3">
      <c r="A1874" t="s">
        <v>24</v>
      </c>
      <c r="B1874">
        <v>112</v>
      </c>
      <c r="C1874" t="s">
        <v>71</v>
      </c>
      <c r="D1874" t="s">
        <v>75</v>
      </c>
      <c r="E1874" t="s">
        <v>75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74</v>
      </c>
    </row>
    <row r="1875" spans="1:20" x14ac:dyDescent="0.3">
      <c r="A1875" t="s">
        <v>47</v>
      </c>
      <c r="B1875">
        <v>97</v>
      </c>
      <c r="C1875" t="s">
        <v>72</v>
      </c>
      <c r="D1875" t="s">
        <v>75</v>
      </c>
      <c r="E1875" t="s">
        <v>74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75</v>
      </c>
    </row>
    <row r="1876" spans="1:20" x14ac:dyDescent="0.3">
      <c r="A1876" t="s">
        <v>53</v>
      </c>
      <c r="B1876">
        <v>43</v>
      </c>
      <c r="C1876" t="s">
        <v>72</v>
      </c>
      <c r="D1876" t="s">
        <v>74</v>
      </c>
      <c r="E1876" t="s">
        <v>74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74</v>
      </c>
    </row>
    <row r="1877" spans="1:20" x14ac:dyDescent="0.3">
      <c r="A1877" t="s">
        <v>51</v>
      </c>
      <c r="B1877">
        <v>110</v>
      </c>
      <c r="C1877" t="s">
        <v>71</v>
      </c>
      <c r="D1877" t="s">
        <v>74</v>
      </c>
      <c r="E1877" t="s">
        <v>74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74</v>
      </c>
    </row>
    <row r="1878" spans="1:20" x14ac:dyDescent="0.3">
      <c r="A1878" t="s">
        <v>50</v>
      </c>
      <c r="B1878">
        <v>67</v>
      </c>
      <c r="C1878" t="s">
        <v>73</v>
      </c>
      <c r="D1878" t="s">
        <v>74</v>
      </c>
      <c r="E1878" t="s">
        <v>74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74</v>
      </c>
    </row>
    <row r="1879" spans="1:20" x14ac:dyDescent="0.3">
      <c r="A1879" t="s">
        <v>32</v>
      </c>
      <c r="B1879">
        <v>166</v>
      </c>
      <c r="C1879" t="s">
        <v>73</v>
      </c>
      <c r="D1879" t="s">
        <v>74</v>
      </c>
      <c r="E1879" t="s">
        <v>74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74</v>
      </c>
    </row>
    <row r="1880" spans="1:20" x14ac:dyDescent="0.3">
      <c r="A1880" t="s">
        <v>45</v>
      </c>
      <c r="B1880">
        <v>129</v>
      </c>
      <c r="C1880" t="s">
        <v>73</v>
      </c>
      <c r="D1880" t="s">
        <v>74</v>
      </c>
      <c r="E1880" t="s">
        <v>74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74</v>
      </c>
    </row>
    <row r="1881" spans="1:20" x14ac:dyDescent="0.3">
      <c r="A1881" t="s">
        <v>58</v>
      </c>
      <c r="B1881">
        <v>103</v>
      </c>
      <c r="C1881" t="s">
        <v>72</v>
      </c>
      <c r="D1881" t="s">
        <v>75</v>
      </c>
      <c r="E1881" t="s">
        <v>74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74</v>
      </c>
    </row>
    <row r="1882" spans="1:20" x14ac:dyDescent="0.3">
      <c r="A1882" t="s">
        <v>42</v>
      </c>
      <c r="B1882">
        <v>71</v>
      </c>
      <c r="C1882" t="s">
        <v>71</v>
      </c>
      <c r="D1882" t="s">
        <v>74</v>
      </c>
      <c r="E1882" t="s">
        <v>74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75</v>
      </c>
    </row>
    <row r="1883" spans="1:20" x14ac:dyDescent="0.3">
      <c r="A1883" t="s">
        <v>54</v>
      </c>
      <c r="B1883">
        <v>112</v>
      </c>
      <c r="C1883" t="s">
        <v>71</v>
      </c>
      <c r="D1883" t="s">
        <v>74</v>
      </c>
      <c r="E1883" t="s">
        <v>75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74</v>
      </c>
    </row>
    <row r="1884" spans="1:20" x14ac:dyDescent="0.3">
      <c r="A1884" t="s">
        <v>34</v>
      </c>
      <c r="B1884">
        <v>98</v>
      </c>
      <c r="C1884" t="s">
        <v>71</v>
      </c>
      <c r="D1884" t="s">
        <v>74</v>
      </c>
      <c r="E1884" t="s">
        <v>74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75</v>
      </c>
    </row>
    <row r="1885" spans="1:20" x14ac:dyDescent="0.3">
      <c r="A1885" t="s">
        <v>54</v>
      </c>
      <c r="B1885">
        <v>90</v>
      </c>
      <c r="C1885" t="s">
        <v>71</v>
      </c>
      <c r="D1885" t="s">
        <v>74</v>
      </c>
      <c r="E1885" t="s">
        <v>74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74</v>
      </c>
    </row>
    <row r="1886" spans="1:20" x14ac:dyDescent="0.3">
      <c r="A1886" t="s">
        <v>62</v>
      </c>
      <c r="B1886">
        <v>58</v>
      </c>
      <c r="C1886" t="s">
        <v>71</v>
      </c>
      <c r="D1886" t="s">
        <v>74</v>
      </c>
      <c r="E1886" t="s">
        <v>74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74</v>
      </c>
    </row>
    <row r="1887" spans="1:20" x14ac:dyDescent="0.3">
      <c r="A1887" t="s">
        <v>40</v>
      </c>
      <c r="B1887">
        <v>116</v>
      </c>
      <c r="C1887" t="s">
        <v>73</v>
      </c>
      <c r="D1887" t="s">
        <v>74</v>
      </c>
      <c r="E1887" t="s">
        <v>74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75</v>
      </c>
    </row>
    <row r="1888" spans="1:20" x14ac:dyDescent="0.3">
      <c r="A1888" t="s">
        <v>45</v>
      </c>
      <c r="B1888">
        <v>87</v>
      </c>
      <c r="C1888" t="s">
        <v>71</v>
      </c>
      <c r="D1888" t="s">
        <v>74</v>
      </c>
      <c r="E1888" t="s">
        <v>74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74</v>
      </c>
    </row>
    <row r="1889" spans="1:20" x14ac:dyDescent="0.3">
      <c r="A1889" t="s">
        <v>39</v>
      </c>
      <c r="B1889">
        <v>120</v>
      </c>
      <c r="C1889" t="s">
        <v>71</v>
      </c>
      <c r="D1889" t="s">
        <v>74</v>
      </c>
      <c r="E1889" t="s">
        <v>74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74</v>
      </c>
    </row>
    <row r="1890" spans="1:20" x14ac:dyDescent="0.3">
      <c r="A1890" t="s">
        <v>35</v>
      </c>
      <c r="B1890">
        <v>97</v>
      </c>
      <c r="C1890" t="s">
        <v>71</v>
      </c>
      <c r="D1890" t="s">
        <v>74</v>
      </c>
      <c r="E1890" t="s">
        <v>75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74</v>
      </c>
    </row>
    <row r="1891" spans="1:20" x14ac:dyDescent="0.3">
      <c r="A1891" t="s">
        <v>29</v>
      </c>
      <c r="B1891">
        <v>134</v>
      </c>
      <c r="C1891" t="s">
        <v>71</v>
      </c>
      <c r="D1891" t="s">
        <v>74</v>
      </c>
      <c r="E1891" t="s">
        <v>74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74</v>
      </c>
    </row>
    <row r="1892" spans="1:20" x14ac:dyDescent="0.3">
      <c r="A1892" t="s">
        <v>61</v>
      </c>
      <c r="B1892">
        <v>68</v>
      </c>
      <c r="C1892" t="s">
        <v>72</v>
      </c>
      <c r="D1892" t="s">
        <v>74</v>
      </c>
      <c r="E1892" t="s">
        <v>74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74</v>
      </c>
    </row>
    <row r="1893" spans="1:20" x14ac:dyDescent="0.3">
      <c r="A1893" t="s">
        <v>46</v>
      </c>
      <c r="B1893">
        <v>93</v>
      </c>
      <c r="C1893" t="s">
        <v>73</v>
      </c>
      <c r="D1893" t="s">
        <v>74</v>
      </c>
      <c r="E1893" t="s">
        <v>74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74</v>
      </c>
    </row>
    <row r="1894" spans="1:20" x14ac:dyDescent="0.3">
      <c r="A1894" t="s">
        <v>36</v>
      </c>
      <c r="B1894">
        <v>120</v>
      </c>
      <c r="C1894" t="s">
        <v>71</v>
      </c>
      <c r="D1894" t="s">
        <v>74</v>
      </c>
      <c r="E1894" t="s">
        <v>74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74</v>
      </c>
    </row>
    <row r="1895" spans="1:20" x14ac:dyDescent="0.3">
      <c r="A1895" t="s">
        <v>43</v>
      </c>
      <c r="B1895">
        <v>41</v>
      </c>
      <c r="C1895" t="s">
        <v>73</v>
      </c>
      <c r="D1895" t="s">
        <v>74</v>
      </c>
      <c r="E1895" t="s">
        <v>74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74</v>
      </c>
    </row>
    <row r="1896" spans="1:20" x14ac:dyDescent="0.3">
      <c r="A1896" t="s">
        <v>58</v>
      </c>
      <c r="B1896">
        <v>80</v>
      </c>
      <c r="C1896" t="s">
        <v>72</v>
      </c>
      <c r="D1896" t="s">
        <v>74</v>
      </c>
      <c r="E1896" t="s">
        <v>74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74</v>
      </c>
    </row>
    <row r="1897" spans="1:20" x14ac:dyDescent="0.3">
      <c r="A1897" t="s">
        <v>61</v>
      </c>
      <c r="B1897">
        <v>83</v>
      </c>
      <c r="C1897" t="s">
        <v>71</v>
      </c>
      <c r="D1897" t="s">
        <v>74</v>
      </c>
      <c r="E1897" t="s">
        <v>75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74</v>
      </c>
    </row>
    <row r="1898" spans="1:20" x14ac:dyDescent="0.3">
      <c r="A1898" t="s">
        <v>66</v>
      </c>
      <c r="B1898">
        <v>109</v>
      </c>
      <c r="C1898" t="s">
        <v>72</v>
      </c>
      <c r="D1898" t="s">
        <v>75</v>
      </c>
      <c r="E1898" t="s">
        <v>74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74</v>
      </c>
    </row>
    <row r="1899" spans="1:20" x14ac:dyDescent="0.3">
      <c r="A1899" t="s">
        <v>70</v>
      </c>
      <c r="B1899">
        <v>66</v>
      </c>
      <c r="C1899" t="s">
        <v>72</v>
      </c>
      <c r="D1899" t="s">
        <v>74</v>
      </c>
      <c r="E1899" t="s">
        <v>75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74</v>
      </c>
    </row>
    <row r="1900" spans="1:20" x14ac:dyDescent="0.3">
      <c r="A1900" t="s">
        <v>29</v>
      </c>
      <c r="B1900">
        <v>104</v>
      </c>
      <c r="C1900" t="s">
        <v>72</v>
      </c>
      <c r="D1900" t="s">
        <v>74</v>
      </c>
      <c r="E1900" t="s">
        <v>74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74</v>
      </c>
    </row>
    <row r="1901" spans="1:20" x14ac:dyDescent="0.3">
      <c r="A1901" t="s">
        <v>41</v>
      </c>
      <c r="B1901">
        <v>89</v>
      </c>
      <c r="C1901" t="s">
        <v>72</v>
      </c>
      <c r="D1901" t="s">
        <v>74</v>
      </c>
      <c r="E1901" t="s">
        <v>74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74</v>
      </c>
    </row>
    <row r="1902" spans="1:20" x14ac:dyDescent="0.3">
      <c r="A1902" t="s">
        <v>65</v>
      </c>
      <c r="B1902">
        <v>127</v>
      </c>
      <c r="C1902" t="s">
        <v>72</v>
      </c>
      <c r="D1902" t="s">
        <v>74</v>
      </c>
      <c r="E1902" t="s">
        <v>74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74</v>
      </c>
    </row>
    <row r="1903" spans="1:20" x14ac:dyDescent="0.3">
      <c r="A1903" t="s">
        <v>55</v>
      </c>
      <c r="B1903">
        <v>117</v>
      </c>
      <c r="C1903" t="s">
        <v>73</v>
      </c>
      <c r="D1903" t="s">
        <v>74</v>
      </c>
      <c r="E1903" t="s">
        <v>75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74</v>
      </c>
    </row>
    <row r="1904" spans="1:20" x14ac:dyDescent="0.3">
      <c r="A1904" t="s">
        <v>20</v>
      </c>
      <c r="B1904">
        <v>128</v>
      </c>
      <c r="C1904" t="s">
        <v>72</v>
      </c>
      <c r="D1904" t="s">
        <v>74</v>
      </c>
      <c r="E1904" t="s">
        <v>74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74</v>
      </c>
    </row>
    <row r="1905" spans="1:20" x14ac:dyDescent="0.3">
      <c r="A1905" t="s">
        <v>68</v>
      </c>
      <c r="B1905">
        <v>88</v>
      </c>
      <c r="C1905" t="s">
        <v>71</v>
      </c>
      <c r="D1905" t="s">
        <v>74</v>
      </c>
      <c r="E1905" t="s">
        <v>74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75</v>
      </c>
    </row>
    <row r="1906" spans="1:20" x14ac:dyDescent="0.3">
      <c r="A1906" t="s">
        <v>24</v>
      </c>
      <c r="B1906">
        <v>61</v>
      </c>
      <c r="C1906" t="s">
        <v>73</v>
      </c>
      <c r="D1906" t="s">
        <v>74</v>
      </c>
      <c r="E1906" t="s">
        <v>74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75</v>
      </c>
    </row>
    <row r="1907" spans="1:20" x14ac:dyDescent="0.3">
      <c r="A1907" t="s">
        <v>39</v>
      </c>
      <c r="B1907">
        <v>22</v>
      </c>
      <c r="C1907" t="s">
        <v>71</v>
      </c>
      <c r="D1907" t="s">
        <v>74</v>
      </c>
      <c r="E1907" t="s">
        <v>74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74</v>
      </c>
    </row>
    <row r="1908" spans="1:20" x14ac:dyDescent="0.3">
      <c r="A1908" t="s">
        <v>30</v>
      </c>
      <c r="B1908">
        <v>78</v>
      </c>
      <c r="C1908" t="s">
        <v>71</v>
      </c>
      <c r="D1908" t="s">
        <v>74</v>
      </c>
      <c r="E1908" t="s">
        <v>74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74</v>
      </c>
    </row>
    <row r="1909" spans="1:20" x14ac:dyDescent="0.3">
      <c r="A1909" t="s">
        <v>41</v>
      </c>
      <c r="B1909">
        <v>56</v>
      </c>
      <c r="C1909" t="s">
        <v>71</v>
      </c>
      <c r="D1909" t="s">
        <v>74</v>
      </c>
      <c r="E1909" t="s">
        <v>75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74</v>
      </c>
    </row>
    <row r="1910" spans="1:20" x14ac:dyDescent="0.3">
      <c r="A1910" t="s">
        <v>33</v>
      </c>
      <c r="B1910">
        <v>192</v>
      </c>
      <c r="C1910" t="s">
        <v>71</v>
      </c>
      <c r="D1910" t="s">
        <v>74</v>
      </c>
      <c r="E1910" t="s">
        <v>74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74</v>
      </c>
    </row>
    <row r="1911" spans="1:20" x14ac:dyDescent="0.3">
      <c r="A1911" t="s">
        <v>31</v>
      </c>
      <c r="B1911">
        <v>70</v>
      </c>
      <c r="C1911" t="s">
        <v>71</v>
      </c>
      <c r="D1911" t="s">
        <v>74</v>
      </c>
      <c r="E1911" t="s">
        <v>74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74</v>
      </c>
    </row>
    <row r="1912" spans="1:20" x14ac:dyDescent="0.3">
      <c r="A1912" t="s">
        <v>55</v>
      </c>
      <c r="B1912">
        <v>65</v>
      </c>
      <c r="C1912" t="s">
        <v>71</v>
      </c>
      <c r="D1912" t="s">
        <v>74</v>
      </c>
      <c r="E1912" t="s">
        <v>75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74</v>
      </c>
    </row>
    <row r="1913" spans="1:20" x14ac:dyDescent="0.3">
      <c r="A1913" t="s">
        <v>57</v>
      </c>
      <c r="B1913">
        <v>119</v>
      </c>
      <c r="C1913" t="s">
        <v>72</v>
      </c>
      <c r="D1913" t="s">
        <v>74</v>
      </c>
      <c r="E1913" t="s">
        <v>74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74</v>
      </c>
    </row>
    <row r="1914" spans="1:20" x14ac:dyDescent="0.3">
      <c r="A1914" t="s">
        <v>33</v>
      </c>
      <c r="B1914">
        <v>80</v>
      </c>
      <c r="C1914" t="s">
        <v>71</v>
      </c>
      <c r="D1914" t="s">
        <v>74</v>
      </c>
      <c r="E1914" t="s">
        <v>74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74</v>
      </c>
    </row>
    <row r="1915" spans="1:20" x14ac:dyDescent="0.3">
      <c r="A1915" t="s">
        <v>54</v>
      </c>
      <c r="B1915">
        <v>152</v>
      </c>
      <c r="C1915" t="s">
        <v>73</v>
      </c>
      <c r="D1915" t="s">
        <v>74</v>
      </c>
      <c r="E1915" t="s">
        <v>75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74</v>
      </c>
    </row>
    <row r="1916" spans="1:20" x14ac:dyDescent="0.3">
      <c r="A1916" t="s">
        <v>39</v>
      </c>
      <c r="B1916">
        <v>113</v>
      </c>
      <c r="C1916" t="s">
        <v>72</v>
      </c>
      <c r="D1916" t="s">
        <v>74</v>
      </c>
      <c r="E1916" t="s">
        <v>74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74</v>
      </c>
    </row>
    <row r="1917" spans="1:20" x14ac:dyDescent="0.3">
      <c r="A1917" t="s">
        <v>23</v>
      </c>
      <c r="B1917">
        <v>75</v>
      </c>
      <c r="C1917" t="s">
        <v>72</v>
      </c>
      <c r="D1917" t="s">
        <v>74</v>
      </c>
      <c r="E1917" t="s">
        <v>74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74</v>
      </c>
    </row>
    <row r="1918" spans="1:20" x14ac:dyDescent="0.3">
      <c r="A1918" t="s">
        <v>61</v>
      </c>
      <c r="B1918">
        <v>80</v>
      </c>
      <c r="C1918" t="s">
        <v>71</v>
      </c>
      <c r="D1918" t="s">
        <v>74</v>
      </c>
      <c r="E1918" t="s">
        <v>74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74</v>
      </c>
    </row>
    <row r="1919" spans="1:20" x14ac:dyDescent="0.3">
      <c r="A1919" t="s">
        <v>55</v>
      </c>
      <c r="B1919">
        <v>63</v>
      </c>
      <c r="C1919" t="s">
        <v>71</v>
      </c>
      <c r="D1919" t="s">
        <v>75</v>
      </c>
      <c r="E1919" t="s">
        <v>74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74</v>
      </c>
    </row>
    <row r="1920" spans="1:20" x14ac:dyDescent="0.3">
      <c r="A1920" t="s">
        <v>39</v>
      </c>
      <c r="B1920">
        <v>97</v>
      </c>
      <c r="C1920" t="s">
        <v>71</v>
      </c>
      <c r="D1920" t="s">
        <v>74</v>
      </c>
      <c r="E1920" t="s">
        <v>75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74</v>
      </c>
    </row>
    <row r="1921" spans="1:20" x14ac:dyDescent="0.3">
      <c r="A1921" t="s">
        <v>49</v>
      </c>
      <c r="B1921">
        <v>166</v>
      </c>
      <c r="C1921" t="s">
        <v>71</v>
      </c>
      <c r="D1921" t="s">
        <v>74</v>
      </c>
      <c r="E1921" t="s">
        <v>74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74</v>
      </c>
    </row>
    <row r="1922" spans="1:20" x14ac:dyDescent="0.3">
      <c r="A1922" t="s">
        <v>30</v>
      </c>
      <c r="B1922">
        <v>94</v>
      </c>
      <c r="C1922" t="s">
        <v>73</v>
      </c>
      <c r="D1922" t="s">
        <v>74</v>
      </c>
      <c r="E1922" t="s">
        <v>74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74</v>
      </c>
    </row>
    <row r="1923" spans="1:20" x14ac:dyDescent="0.3">
      <c r="A1923" t="s">
        <v>39</v>
      </c>
      <c r="B1923">
        <v>85</v>
      </c>
      <c r="C1923" t="s">
        <v>73</v>
      </c>
      <c r="D1923" t="s">
        <v>74</v>
      </c>
      <c r="E1923" t="s">
        <v>75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74</v>
      </c>
    </row>
    <row r="1924" spans="1:20" x14ac:dyDescent="0.3">
      <c r="A1924" t="s">
        <v>69</v>
      </c>
      <c r="B1924">
        <v>80</v>
      </c>
      <c r="C1924" t="s">
        <v>71</v>
      </c>
      <c r="D1924" t="s">
        <v>75</v>
      </c>
      <c r="E1924" t="s">
        <v>74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75</v>
      </c>
    </row>
    <row r="1925" spans="1:20" x14ac:dyDescent="0.3">
      <c r="A1925" t="s">
        <v>66</v>
      </c>
      <c r="B1925">
        <v>210</v>
      </c>
      <c r="C1925" t="s">
        <v>71</v>
      </c>
      <c r="D1925" t="s">
        <v>74</v>
      </c>
      <c r="E1925" t="s">
        <v>75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74</v>
      </c>
    </row>
    <row r="1926" spans="1:20" x14ac:dyDescent="0.3">
      <c r="A1926" t="s">
        <v>51</v>
      </c>
      <c r="B1926">
        <v>88</v>
      </c>
      <c r="C1926" t="s">
        <v>71</v>
      </c>
      <c r="D1926" t="s">
        <v>75</v>
      </c>
      <c r="E1926" t="s">
        <v>75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74</v>
      </c>
    </row>
    <row r="1927" spans="1:20" x14ac:dyDescent="0.3">
      <c r="A1927" t="s">
        <v>22</v>
      </c>
      <c r="B1927">
        <v>100</v>
      </c>
      <c r="C1927" t="s">
        <v>73</v>
      </c>
      <c r="D1927" t="s">
        <v>74</v>
      </c>
      <c r="E1927" t="s">
        <v>74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74</v>
      </c>
    </row>
    <row r="1928" spans="1:20" x14ac:dyDescent="0.3">
      <c r="A1928" t="s">
        <v>65</v>
      </c>
      <c r="B1928">
        <v>154</v>
      </c>
      <c r="C1928" t="s">
        <v>73</v>
      </c>
      <c r="D1928" t="s">
        <v>74</v>
      </c>
      <c r="E1928" t="s">
        <v>75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74</v>
      </c>
    </row>
    <row r="1929" spans="1:20" x14ac:dyDescent="0.3">
      <c r="A1929" t="s">
        <v>42</v>
      </c>
      <c r="B1929">
        <v>32</v>
      </c>
      <c r="C1929" t="s">
        <v>72</v>
      </c>
      <c r="D1929" t="s">
        <v>74</v>
      </c>
      <c r="E1929" t="s">
        <v>75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74</v>
      </c>
    </row>
    <row r="1930" spans="1:20" x14ac:dyDescent="0.3">
      <c r="A1930" t="s">
        <v>27</v>
      </c>
      <c r="B1930">
        <v>18</v>
      </c>
      <c r="C1930" t="s">
        <v>73</v>
      </c>
      <c r="D1930" t="s">
        <v>74</v>
      </c>
      <c r="E1930" t="s">
        <v>74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74</v>
      </c>
    </row>
    <row r="1931" spans="1:20" x14ac:dyDescent="0.3">
      <c r="A1931" t="s">
        <v>35</v>
      </c>
      <c r="B1931">
        <v>126</v>
      </c>
      <c r="C1931" t="s">
        <v>71</v>
      </c>
      <c r="D1931" t="s">
        <v>74</v>
      </c>
      <c r="E1931" t="s">
        <v>75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74</v>
      </c>
    </row>
    <row r="1932" spans="1:20" x14ac:dyDescent="0.3">
      <c r="A1932" t="s">
        <v>53</v>
      </c>
      <c r="B1932">
        <v>29</v>
      </c>
      <c r="C1932" t="s">
        <v>72</v>
      </c>
      <c r="D1932" t="s">
        <v>74</v>
      </c>
      <c r="E1932" t="s">
        <v>74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75</v>
      </c>
    </row>
    <row r="1933" spans="1:20" x14ac:dyDescent="0.3">
      <c r="A1933" t="s">
        <v>62</v>
      </c>
      <c r="B1933">
        <v>86</v>
      </c>
      <c r="C1933" t="s">
        <v>73</v>
      </c>
      <c r="D1933" t="s">
        <v>74</v>
      </c>
      <c r="E1933" t="s">
        <v>75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74</v>
      </c>
    </row>
    <row r="1934" spans="1:20" x14ac:dyDescent="0.3">
      <c r="A1934" t="s">
        <v>35</v>
      </c>
      <c r="B1934">
        <v>138</v>
      </c>
      <c r="C1934" t="s">
        <v>71</v>
      </c>
      <c r="D1934" t="s">
        <v>74</v>
      </c>
      <c r="E1934" t="s">
        <v>75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74</v>
      </c>
    </row>
    <row r="1935" spans="1:20" x14ac:dyDescent="0.3">
      <c r="A1935" t="s">
        <v>59</v>
      </c>
      <c r="B1935">
        <v>175</v>
      </c>
      <c r="C1935" t="s">
        <v>71</v>
      </c>
      <c r="D1935" t="s">
        <v>74</v>
      </c>
      <c r="E1935" t="s">
        <v>74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74</v>
      </c>
    </row>
    <row r="1936" spans="1:20" x14ac:dyDescent="0.3">
      <c r="A1936" t="s">
        <v>65</v>
      </c>
      <c r="B1936">
        <v>74</v>
      </c>
      <c r="C1936" t="s">
        <v>72</v>
      </c>
      <c r="D1936" t="s">
        <v>74</v>
      </c>
      <c r="E1936" t="s">
        <v>74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74</v>
      </c>
    </row>
    <row r="1937" spans="1:20" x14ac:dyDescent="0.3">
      <c r="A1937" t="s">
        <v>54</v>
      </c>
      <c r="B1937">
        <v>48</v>
      </c>
      <c r="C1937" t="s">
        <v>71</v>
      </c>
      <c r="D1937" t="s">
        <v>74</v>
      </c>
      <c r="E1937" t="s">
        <v>74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74</v>
      </c>
    </row>
    <row r="1938" spans="1:20" x14ac:dyDescent="0.3">
      <c r="A1938" t="s">
        <v>27</v>
      </c>
      <c r="B1938">
        <v>74</v>
      </c>
      <c r="C1938" t="s">
        <v>72</v>
      </c>
      <c r="D1938" t="s">
        <v>74</v>
      </c>
      <c r="E1938" t="s">
        <v>75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74</v>
      </c>
    </row>
    <row r="1939" spans="1:20" x14ac:dyDescent="0.3">
      <c r="A1939" t="s">
        <v>68</v>
      </c>
      <c r="B1939">
        <v>105</v>
      </c>
      <c r="C1939" t="s">
        <v>71</v>
      </c>
      <c r="D1939" t="s">
        <v>75</v>
      </c>
      <c r="E1939" t="s">
        <v>74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74</v>
      </c>
    </row>
    <row r="1940" spans="1:20" x14ac:dyDescent="0.3">
      <c r="A1940" t="s">
        <v>23</v>
      </c>
      <c r="B1940">
        <v>157</v>
      </c>
      <c r="C1940" t="s">
        <v>72</v>
      </c>
      <c r="D1940" t="s">
        <v>74</v>
      </c>
      <c r="E1940" t="s">
        <v>74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74</v>
      </c>
    </row>
    <row r="1941" spans="1:20" x14ac:dyDescent="0.3">
      <c r="A1941" t="s">
        <v>63</v>
      </c>
      <c r="B1941">
        <v>217</v>
      </c>
      <c r="C1941" t="s">
        <v>71</v>
      </c>
      <c r="D1941" t="s">
        <v>74</v>
      </c>
      <c r="E1941" t="s">
        <v>74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74</v>
      </c>
    </row>
    <row r="1942" spans="1:20" x14ac:dyDescent="0.3">
      <c r="A1942" t="s">
        <v>69</v>
      </c>
      <c r="B1942">
        <v>68</v>
      </c>
      <c r="C1942" t="s">
        <v>71</v>
      </c>
      <c r="D1942" t="s">
        <v>74</v>
      </c>
      <c r="E1942" t="s">
        <v>74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74</v>
      </c>
    </row>
    <row r="1943" spans="1:20" x14ac:dyDescent="0.3">
      <c r="A1943" t="s">
        <v>58</v>
      </c>
      <c r="B1943">
        <v>80</v>
      </c>
      <c r="C1943" t="s">
        <v>71</v>
      </c>
      <c r="D1943" t="s">
        <v>74</v>
      </c>
      <c r="E1943" t="s">
        <v>74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74</v>
      </c>
    </row>
    <row r="1944" spans="1:20" x14ac:dyDescent="0.3">
      <c r="A1944" t="s">
        <v>53</v>
      </c>
      <c r="B1944">
        <v>38</v>
      </c>
      <c r="C1944" t="s">
        <v>71</v>
      </c>
      <c r="D1944" t="s">
        <v>74</v>
      </c>
      <c r="E1944" t="s">
        <v>75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74</v>
      </c>
    </row>
    <row r="1945" spans="1:20" x14ac:dyDescent="0.3">
      <c r="A1945" t="s">
        <v>33</v>
      </c>
      <c r="B1945">
        <v>140</v>
      </c>
      <c r="C1945" t="s">
        <v>71</v>
      </c>
      <c r="D1945" t="s">
        <v>74</v>
      </c>
      <c r="E1945" t="s">
        <v>74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74</v>
      </c>
    </row>
    <row r="1946" spans="1:20" x14ac:dyDescent="0.3">
      <c r="A1946" t="s">
        <v>62</v>
      </c>
      <c r="B1946">
        <v>98</v>
      </c>
      <c r="C1946" t="s">
        <v>71</v>
      </c>
      <c r="D1946" t="s">
        <v>74</v>
      </c>
      <c r="E1946" t="s">
        <v>74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75</v>
      </c>
    </row>
    <row r="1947" spans="1:20" x14ac:dyDescent="0.3">
      <c r="A1947" t="s">
        <v>47</v>
      </c>
      <c r="B1947">
        <v>114</v>
      </c>
      <c r="C1947" t="s">
        <v>71</v>
      </c>
      <c r="D1947" t="s">
        <v>74</v>
      </c>
      <c r="E1947" t="s">
        <v>74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74</v>
      </c>
    </row>
    <row r="1948" spans="1:20" x14ac:dyDescent="0.3">
      <c r="A1948" t="s">
        <v>32</v>
      </c>
      <c r="B1948">
        <v>46</v>
      </c>
      <c r="C1948" t="s">
        <v>73</v>
      </c>
      <c r="D1948" t="s">
        <v>74</v>
      </c>
      <c r="E1948" t="s">
        <v>74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74</v>
      </c>
    </row>
    <row r="1949" spans="1:20" x14ac:dyDescent="0.3">
      <c r="A1949" t="s">
        <v>52</v>
      </c>
      <c r="B1949">
        <v>118</v>
      </c>
      <c r="C1949" t="s">
        <v>71</v>
      </c>
      <c r="D1949" t="s">
        <v>74</v>
      </c>
      <c r="E1949" t="s">
        <v>75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74</v>
      </c>
    </row>
    <row r="1950" spans="1:20" x14ac:dyDescent="0.3">
      <c r="A1950" t="s">
        <v>42</v>
      </c>
      <c r="B1950">
        <v>37</v>
      </c>
      <c r="C1950" t="s">
        <v>72</v>
      </c>
      <c r="D1950" t="s">
        <v>74</v>
      </c>
      <c r="E1950" t="s">
        <v>74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74</v>
      </c>
    </row>
    <row r="1951" spans="1:20" x14ac:dyDescent="0.3">
      <c r="A1951" t="s">
        <v>53</v>
      </c>
      <c r="B1951">
        <v>98</v>
      </c>
      <c r="C1951" t="s">
        <v>71</v>
      </c>
      <c r="D1951" t="s">
        <v>75</v>
      </c>
      <c r="E1951" t="s">
        <v>75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74</v>
      </c>
    </row>
    <row r="1952" spans="1:20" x14ac:dyDescent="0.3">
      <c r="A1952" t="s">
        <v>68</v>
      </c>
      <c r="B1952">
        <v>113</v>
      </c>
      <c r="C1952" t="s">
        <v>72</v>
      </c>
      <c r="D1952" t="s">
        <v>74</v>
      </c>
      <c r="E1952" t="s">
        <v>74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75</v>
      </c>
    </row>
    <row r="1953" spans="1:20" x14ac:dyDescent="0.3">
      <c r="A1953" t="s">
        <v>58</v>
      </c>
      <c r="B1953">
        <v>69</v>
      </c>
      <c r="C1953" t="s">
        <v>73</v>
      </c>
      <c r="D1953" t="s">
        <v>74</v>
      </c>
      <c r="E1953" t="s">
        <v>74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74</v>
      </c>
    </row>
    <row r="1954" spans="1:20" x14ac:dyDescent="0.3">
      <c r="A1954" t="s">
        <v>50</v>
      </c>
      <c r="B1954">
        <v>121</v>
      </c>
      <c r="C1954" t="s">
        <v>71</v>
      </c>
      <c r="D1954" t="s">
        <v>74</v>
      </c>
      <c r="E1954" t="s">
        <v>74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74</v>
      </c>
    </row>
    <row r="1955" spans="1:20" x14ac:dyDescent="0.3">
      <c r="A1955" t="s">
        <v>28</v>
      </c>
      <c r="B1955">
        <v>59</v>
      </c>
      <c r="C1955" t="s">
        <v>72</v>
      </c>
      <c r="D1955" t="s">
        <v>75</v>
      </c>
      <c r="E1955" t="s">
        <v>75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74</v>
      </c>
    </row>
    <row r="1956" spans="1:20" x14ac:dyDescent="0.3">
      <c r="A1956" t="s">
        <v>65</v>
      </c>
      <c r="B1956">
        <v>59</v>
      </c>
      <c r="C1956" t="s">
        <v>72</v>
      </c>
      <c r="D1956" t="s">
        <v>74</v>
      </c>
      <c r="E1956" t="s">
        <v>74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74</v>
      </c>
    </row>
    <row r="1957" spans="1:20" x14ac:dyDescent="0.3">
      <c r="A1957" t="s">
        <v>58</v>
      </c>
      <c r="B1957">
        <v>190</v>
      </c>
      <c r="C1957" t="s">
        <v>71</v>
      </c>
      <c r="D1957" t="s">
        <v>74</v>
      </c>
      <c r="E1957" t="s">
        <v>74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74</v>
      </c>
    </row>
    <row r="1958" spans="1:20" x14ac:dyDescent="0.3">
      <c r="A1958" t="s">
        <v>70</v>
      </c>
      <c r="B1958">
        <v>109</v>
      </c>
      <c r="C1958" t="s">
        <v>71</v>
      </c>
      <c r="D1958" t="s">
        <v>74</v>
      </c>
      <c r="E1958" t="s">
        <v>74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74</v>
      </c>
    </row>
    <row r="1959" spans="1:20" x14ac:dyDescent="0.3">
      <c r="A1959" t="s">
        <v>37</v>
      </c>
      <c r="B1959">
        <v>136</v>
      </c>
      <c r="C1959" t="s">
        <v>71</v>
      </c>
      <c r="D1959" t="s">
        <v>74</v>
      </c>
      <c r="E1959" t="s">
        <v>74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74</v>
      </c>
    </row>
    <row r="1960" spans="1:20" x14ac:dyDescent="0.3">
      <c r="A1960" t="s">
        <v>39</v>
      </c>
      <c r="B1960">
        <v>106</v>
      </c>
      <c r="C1960" t="s">
        <v>72</v>
      </c>
      <c r="D1960" t="s">
        <v>74</v>
      </c>
      <c r="E1960" t="s">
        <v>74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74</v>
      </c>
    </row>
    <row r="1961" spans="1:20" x14ac:dyDescent="0.3">
      <c r="A1961" t="s">
        <v>65</v>
      </c>
      <c r="B1961">
        <v>129</v>
      </c>
      <c r="C1961" t="s">
        <v>71</v>
      </c>
      <c r="D1961" t="s">
        <v>74</v>
      </c>
      <c r="E1961" t="s">
        <v>74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74</v>
      </c>
    </row>
    <row r="1962" spans="1:20" x14ac:dyDescent="0.3">
      <c r="A1962" t="s">
        <v>45</v>
      </c>
      <c r="B1962">
        <v>99</v>
      </c>
      <c r="C1962" t="s">
        <v>71</v>
      </c>
      <c r="D1962" t="s">
        <v>74</v>
      </c>
      <c r="E1962" t="s">
        <v>74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74</v>
      </c>
    </row>
    <row r="1963" spans="1:20" x14ac:dyDescent="0.3">
      <c r="A1963" t="s">
        <v>40</v>
      </c>
      <c r="B1963">
        <v>61</v>
      </c>
      <c r="C1963" t="s">
        <v>71</v>
      </c>
      <c r="D1963" t="s">
        <v>74</v>
      </c>
      <c r="E1963" t="s">
        <v>75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74</v>
      </c>
    </row>
    <row r="1964" spans="1:20" x14ac:dyDescent="0.3">
      <c r="A1964" t="s">
        <v>25</v>
      </c>
      <c r="B1964">
        <v>71</v>
      </c>
      <c r="C1964" t="s">
        <v>71</v>
      </c>
      <c r="D1964" t="s">
        <v>74</v>
      </c>
      <c r="E1964" t="s">
        <v>74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74</v>
      </c>
    </row>
    <row r="1965" spans="1:20" x14ac:dyDescent="0.3">
      <c r="A1965" t="s">
        <v>42</v>
      </c>
      <c r="B1965">
        <v>4</v>
      </c>
      <c r="C1965" t="s">
        <v>72</v>
      </c>
      <c r="D1965" t="s">
        <v>75</v>
      </c>
      <c r="E1965" t="s">
        <v>74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74</v>
      </c>
    </row>
    <row r="1966" spans="1:20" x14ac:dyDescent="0.3">
      <c r="A1966" t="s">
        <v>25</v>
      </c>
      <c r="B1966">
        <v>148</v>
      </c>
      <c r="C1966" t="s">
        <v>73</v>
      </c>
      <c r="D1966" t="s">
        <v>74</v>
      </c>
      <c r="E1966" t="s">
        <v>75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74</v>
      </c>
    </row>
    <row r="1967" spans="1:20" x14ac:dyDescent="0.3">
      <c r="A1967" t="s">
        <v>41</v>
      </c>
      <c r="B1967">
        <v>141</v>
      </c>
      <c r="C1967" t="s">
        <v>71</v>
      </c>
      <c r="D1967" t="s">
        <v>74</v>
      </c>
      <c r="E1967" t="s">
        <v>74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74</v>
      </c>
    </row>
    <row r="1968" spans="1:20" x14ac:dyDescent="0.3">
      <c r="A1968" t="s">
        <v>52</v>
      </c>
      <c r="B1968">
        <v>56</v>
      </c>
      <c r="C1968" t="s">
        <v>73</v>
      </c>
      <c r="D1968" t="s">
        <v>74</v>
      </c>
      <c r="E1968" t="s">
        <v>74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74</v>
      </c>
    </row>
    <row r="1969" spans="1:20" x14ac:dyDescent="0.3">
      <c r="A1969" t="s">
        <v>49</v>
      </c>
      <c r="B1969">
        <v>160</v>
      </c>
      <c r="C1969" t="s">
        <v>71</v>
      </c>
      <c r="D1969" t="s">
        <v>74</v>
      </c>
      <c r="E1969" t="s">
        <v>74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74</v>
      </c>
    </row>
    <row r="1970" spans="1:20" x14ac:dyDescent="0.3">
      <c r="A1970" t="s">
        <v>57</v>
      </c>
      <c r="B1970">
        <v>42</v>
      </c>
      <c r="C1970" t="s">
        <v>71</v>
      </c>
      <c r="D1970" t="s">
        <v>74</v>
      </c>
      <c r="E1970" t="s">
        <v>74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74</v>
      </c>
    </row>
    <row r="1971" spans="1:20" x14ac:dyDescent="0.3">
      <c r="A1971" t="s">
        <v>54</v>
      </c>
      <c r="B1971">
        <v>135</v>
      </c>
      <c r="C1971" t="s">
        <v>71</v>
      </c>
      <c r="D1971" t="s">
        <v>75</v>
      </c>
      <c r="E1971" t="s">
        <v>74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74</v>
      </c>
    </row>
    <row r="1972" spans="1:20" x14ac:dyDescent="0.3">
      <c r="A1972" t="s">
        <v>21</v>
      </c>
      <c r="B1972">
        <v>106</v>
      </c>
      <c r="C1972" t="s">
        <v>71</v>
      </c>
      <c r="D1972" t="s">
        <v>74</v>
      </c>
      <c r="E1972" t="s">
        <v>74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74</v>
      </c>
    </row>
    <row r="1973" spans="1:20" x14ac:dyDescent="0.3">
      <c r="A1973" t="s">
        <v>37</v>
      </c>
      <c r="B1973">
        <v>83</v>
      </c>
      <c r="C1973" t="s">
        <v>71</v>
      </c>
      <c r="D1973" t="s">
        <v>74</v>
      </c>
      <c r="E1973" t="s">
        <v>75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74</v>
      </c>
    </row>
    <row r="1974" spans="1:20" x14ac:dyDescent="0.3">
      <c r="A1974" t="s">
        <v>64</v>
      </c>
      <c r="B1974">
        <v>110</v>
      </c>
      <c r="C1974" t="s">
        <v>71</v>
      </c>
      <c r="D1974" t="s">
        <v>74</v>
      </c>
      <c r="E1974" t="s">
        <v>74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74</v>
      </c>
    </row>
    <row r="1975" spans="1:20" x14ac:dyDescent="0.3">
      <c r="A1975" t="s">
        <v>62</v>
      </c>
      <c r="B1975">
        <v>153</v>
      </c>
      <c r="C1975" t="s">
        <v>73</v>
      </c>
      <c r="D1975" t="s">
        <v>74</v>
      </c>
      <c r="E1975" t="s">
        <v>74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74</v>
      </c>
    </row>
    <row r="1976" spans="1:20" x14ac:dyDescent="0.3">
      <c r="A1976" t="s">
        <v>27</v>
      </c>
      <c r="B1976">
        <v>109</v>
      </c>
      <c r="C1976" t="s">
        <v>72</v>
      </c>
      <c r="D1976" t="s">
        <v>74</v>
      </c>
      <c r="E1976" t="s">
        <v>75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74</v>
      </c>
    </row>
    <row r="1977" spans="1:20" x14ac:dyDescent="0.3">
      <c r="A1977" t="s">
        <v>39</v>
      </c>
      <c r="B1977">
        <v>31</v>
      </c>
      <c r="C1977" t="s">
        <v>72</v>
      </c>
      <c r="D1977" t="s">
        <v>74</v>
      </c>
      <c r="E1977" t="s">
        <v>74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74</v>
      </c>
    </row>
    <row r="1978" spans="1:20" x14ac:dyDescent="0.3">
      <c r="A1978" t="s">
        <v>26</v>
      </c>
      <c r="B1978">
        <v>124</v>
      </c>
      <c r="C1978" t="s">
        <v>72</v>
      </c>
      <c r="D1978" t="s">
        <v>74</v>
      </c>
      <c r="E1978" t="s">
        <v>74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75</v>
      </c>
    </row>
    <row r="1979" spans="1:20" x14ac:dyDescent="0.3">
      <c r="A1979" t="s">
        <v>42</v>
      </c>
      <c r="B1979">
        <v>110</v>
      </c>
      <c r="C1979" t="s">
        <v>71</v>
      </c>
      <c r="D1979" t="s">
        <v>74</v>
      </c>
      <c r="E1979" t="s">
        <v>74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75</v>
      </c>
    </row>
    <row r="1980" spans="1:20" x14ac:dyDescent="0.3">
      <c r="A1980" t="s">
        <v>48</v>
      </c>
      <c r="B1980">
        <v>124</v>
      </c>
      <c r="C1980" t="s">
        <v>71</v>
      </c>
      <c r="D1980" t="s">
        <v>74</v>
      </c>
      <c r="E1980" t="s">
        <v>74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74</v>
      </c>
    </row>
    <row r="1981" spans="1:20" x14ac:dyDescent="0.3">
      <c r="A1981" t="s">
        <v>38</v>
      </c>
      <c r="B1981">
        <v>82</v>
      </c>
      <c r="C1981" t="s">
        <v>71</v>
      </c>
      <c r="D1981" t="s">
        <v>74</v>
      </c>
      <c r="E1981" t="s">
        <v>74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75</v>
      </c>
    </row>
    <row r="1982" spans="1:20" x14ac:dyDescent="0.3">
      <c r="A1982" t="s">
        <v>51</v>
      </c>
      <c r="B1982">
        <v>69</v>
      </c>
      <c r="C1982" t="s">
        <v>72</v>
      </c>
      <c r="D1982" t="s">
        <v>74</v>
      </c>
      <c r="E1982" t="s">
        <v>74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74</v>
      </c>
    </row>
    <row r="1983" spans="1:20" x14ac:dyDescent="0.3">
      <c r="A1983" t="s">
        <v>39</v>
      </c>
      <c r="B1983">
        <v>103</v>
      </c>
      <c r="C1983" t="s">
        <v>71</v>
      </c>
      <c r="D1983" t="s">
        <v>74</v>
      </c>
      <c r="E1983" t="s">
        <v>74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74</v>
      </c>
    </row>
    <row r="1984" spans="1:20" x14ac:dyDescent="0.3">
      <c r="A1984" t="s">
        <v>52</v>
      </c>
      <c r="B1984">
        <v>16</v>
      </c>
      <c r="C1984" t="s">
        <v>72</v>
      </c>
      <c r="D1984" t="s">
        <v>74</v>
      </c>
      <c r="E1984" t="s">
        <v>74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74</v>
      </c>
    </row>
    <row r="1985" spans="1:20" x14ac:dyDescent="0.3">
      <c r="A1985" t="s">
        <v>21</v>
      </c>
      <c r="B1985">
        <v>119</v>
      </c>
      <c r="C1985" t="s">
        <v>71</v>
      </c>
      <c r="D1985" t="s">
        <v>74</v>
      </c>
      <c r="E1985" t="s">
        <v>74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74</v>
      </c>
    </row>
    <row r="1986" spans="1:20" x14ac:dyDescent="0.3">
      <c r="A1986" t="s">
        <v>32</v>
      </c>
      <c r="B1986">
        <v>124</v>
      </c>
      <c r="C1986" t="s">
        <v>72</v>
      </c>
      <c r="D1986" t="s">
        <v>75</v>
      </c>
      <c r="E1986" t="s">
        <v>74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75</v>
      </c>
    </row>
    <row r="1987" spans="1:20" x14ac:dyDescent="0.3">
      <c r="A1987" t="s">
        <v>38</v>
      </c>
      <c r="B1987">
        <v>122</v>
      </c>
      <c r="C1987" t="s">
        <v>71</v>
      </c>
      <c r="D1987" t="s">
        <v>74</v>
      </c>
      <c r="E1987" t="s">
        <v>75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74</v>
      </c>
    </row>
    <row r="1988" spans="1:20" x14ac:dyDescent="0.3">
      <c r="A1988" t="s">
        <v>49</v>
      </c>
      <c r="B1988">
        <v>139</v>
      </c>
      <c r="C1988" t="s">
        <v>71</v>
      </c>
      <c r="D1988" t="s">
        <v>74</v>
      </c>
      <c r="E1988" t="s">
        <v>74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74</v>
      </c>
    </row>
    <row r="1989" spans="1:20" x14ac:dyDescent="0.3">
      <c r="A1989" t="s">
        <v>20</v>
      </c>
      <c r="B1989">
        <v>67</v>
      </c>
      <c r="C1989" t="s">
        <v>72</v>
      </c>
      <c r="D1989" t="s">
        <v>74</v>
      </c>
      <c r="E1989" t="s">
        <v>74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74</v>
      </c>
    </row>
    <row r="1990" spans="1:20" x14ac:dyDescent="0.3">
      <c r="A1990" t="s">
        <v>65</v>
      </c>
      <c r="B1990">
        <v>84</v>
      </c>
      <c r="C1990" t="s">
        <v>73</v>
      </c>
      <c r="D1990" t="s">
        <v>74</v>
      </c>
      <c r="E1990" t="s">
        <v>74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74</v>
      </c>
    </row>
    <row r="1991" spans="1:20" x14ac:dyDescent="0.3">
      <c r="A1991" t="s">
        <v>29</v>
      </c>
      <c r="B1991">
        <v>101</v>
      </c>
      <c r="C1991" t="s">
        <v>72</v>
      </c>
      <c r="D1991" t="s">
        <v>74</v>
      </c>
      <c r="E1991" t="s">
        <v>75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74</v>
      </c>
    </row>
    <row r="1992" spans="1:20" x14ac:dyDescent="0.3">
      <c r="A1992" t="s">
        <v>40</v>
      </c>
      <c r="B1992">
        <v>61</v>
      </c>
      <c r="C1992" t="s">
        <v>71</v>
      </c>
      <c r="D1992" t="s">
        <v>74</v>
      </c>
      <c r="E1992" t="s">
        <v>74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74</v>
      </c>
    </row>
    <row r="1993" spans="1:20" x14ac:dyDescent="0.3">
      <c r="A1993" t="s">
        <v>69</v>
      </c>
      <c r="B1993">
        <v>120</v>
      </c>
      <c r="C1993" t="s">
        <v>73</v>
      </c>
      <c r="D1993" t="s">
        <v>75</v>
      </c>
      <c r="E1993" t="s">
        <v>74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75</v>
      </c>
    </row>
    <row r="1994" spans="1:20" x14ac:dyDescent="0.3">
      <c r="A1994" t="s">
        <v>60</v>
      </c>
      <c r="B1994">
        <v>95</v>
      </c>
      <c r="C1994" t="s">
        <v>71</v>
      </c>
      <c r="D1994" t="s">
        <v>74</v>
      </c>
      <c r="E1994" t="s">
        <v>74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74</v>
      </c>
    </row>
    <row r="1995" spans="1:20" x14ac:dyDescent="0.3">
      <c r="A1995" t="s">
        <v>39</v>
      </c>
      <c r="B1995">
        <v>98</v>
      </c>
      <c r="C1995" t="s">
        <v>73</v>
      </c>
      <c r="D1995" t="s">
        <v>74</v>
      </c>
      <c r="E1995" t="s">
        <v>74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74</v>
      </c>
    </row>
    <row r="1996" spans="1:20" x14ac:dyDescent="0.3">
      <c r="A1996" t="s">
        <v>26</v>
      </c>
      <c r="B1996">
        <v>114</v>
      </c>
      <c r="C1996" t="s">
        <v>71</v>
      </c>
      <c r="D1996" t="s">
        <v>74</v>
      </c>
      <c r="E1996" t="s">
        <v>74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74</v>
      </c>
    </row>
    <row r="1997" spans="1:20" x14ac:dyDescent="0.3">
      <c r="A1997" t="s">
        <v>25</v>
      </c>
      <c r="B1997">
        <v>68</v>
      </c>
      <c r="C1997" t="s">
        <v>71</v>
      </c>
      <c r="D1997" t="s">
        <v>75</v>
      </c>
      <c r="E1997" t="s">
        <v>75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75</v>
      </c>
    </row>
    <row r="1998" spans="1:20" x14ac:dyDescent="0.3">
      <c r="A1998" t="s">
        <v>21</v>
      </c>
      <c r="B1998">
        <v>149</v>
      </c>
      <c r="C1998" t="s">
        <v>71</v>
      </c>
      <c r="D1998" t="s">
        <v>74</v>
      </c>
      <c r="E1998" t="s">
        <v>75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74</v>
      </c>
    </row>
    <row r="1999" spans="1:20" x14ac:dyDescent="0.3">
      <c r="A1999" t="s">
        <v>47</v>
      </c>
      <c r="B1999">
        <v>176</v>
      </c>
      <c r="C1999" t="s">
        <v>71</v>
      </c>
      <c r="D1999" t="s">
        <v>74</v>
      </c>
      <c r="E1999" t="s">
        <v>74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74</v>
      </c>
    </row>
    <row r="2000" spans="1:20" x14ac:dyDescent="0.3">
      <c r="A2000" t="s">
        <v>34</v>
      </c>
      <c r="B2000">
        <v>152</v>
      </c>
      <c r="C2000" t="s">
        <v>71</v>
      </c>
      <c r="D2000" t="s">
        <v>74</v>
      </c>
      <c r="E2000" t="s">
        <v>74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74</v>
      </c>
    </row>
    <row r="2001" spans="1:20" x14ac:dyDescent="0.3">
      <c r="A2001" t="s">
        <v>50</v>
      </c>
      <c r="B2001">
        <v>118</v>
      </c>
      <c r="C2001" t="s">
        <v>73</v>
      </c>
      <c r="D2001" t="s">
        <v>74</v>
      </c>
      <c r="E2001" t="s">
        <v>74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74</v>
      </c>
    </row>
    <row r="2002" spans="1:20" x14ac:dyDescent="0.3">
      <c r="A2002" t="s">
        <v>57</v>
      </c>
      <c r="B2002">
        <v>102</v>
      </c>
      <c r="C2002" t="s">
        <v>73</v>
      </c>
      <c r="D2002" t="s">
        <v>74</v>
      </c>
      <c r="E2002" t="s">
        <v>74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75</v>
      </c>
    </row>
    <row r="2003" spans="1:20" x14ac:dyDescent="0.3">
      <c r="A2003" t="s">
        <v>64</v>
      </c>
      <c r="B2003">
        <v>118</v>
      </c>
      <c r="C2003" t="s">
        <v>73</v>
      </c>
      <c r="D2003" t="s">
        <v>74</v>
      </c>
      <c r="E2003" t="s">
        <v>74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74</v>
      </c>
    </row>
    <row r="2004" spans="1:20" x14ac:dyDescent="0.3">
      <c r="A2004" t="s">
        <v>39</v>
      </c>
      <c r="B2004">
        <v>105</v>
      </c>
      <c r="C2004" t="s">
        <v>71</v>
      </c>
      <c r="D2004" t="s">
        <v>74</v>
      </c>
      <c r="E2004" t="s">
        <v>74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75</v>
      </c>
    </row>
    <row r="2005" spans="1:20" x14ac:dyDescent="0.3">
      <c r="A2005" t="s">
        <v>70</v>
      </c>
      <c r="B2005">
        <v>71</v>
      </c>
      <c r="C2005" t="s">
        <v>71</v>
      </c>
      <c r="D2005" t="s">
        <v>74</v>
      </c>
      <c r="E2005" t="s">
        <v>74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74</v>
      </c>
    </row>
    <row r="2006" spans="1:20" x14ac:dyDescent="0.3">
      <c r="A2006" t="s">
        <v>49</v>
      </c>
      <c r="B2006">
        <v>71</v>
      </c>
      <c r="C2006" t="s">
        <v>71</v>
      </c>
      <c r="D2006" t="s">
        <v>74</v>
      </c>
      <c r="E2006" t="s">
        <v>75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74</v>
      </c>
    </row>
    <row r="2007" spans="1:20" x14ac:dyDescent="0.3">
      <c r="A2007" t="s">
        <v>51</v>
      </c>
      <c r="B2007">
        <v>68</v>
      </c>
      <c r="C2007" t="s">
        <v>71</v>
      </c>
      <c r="D2007" t="s">
        <v>74</v>
      </c>
      <c r="E2007" t="s">
        <v>74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74</v>
      </c>
    </row>
    <row r="2008" spans="1:20" x14ac:dyDescent="0.3">
      <c r="A2008" t="s">
        <v>36</v>
      </c>
      <c r="B2008">
        <v>66</v>
      </c>
      <c r="C2008" t="s">
        <v>71</v>
      </c>
      <c r="D2008" t="s">
        <v>74</v>
      </c>
      <c r="E2008" t="s">
        <v>74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74</v>
      </c>
    </row>
    <row r="2009" spans="1:20" x14ac:dyDescent="0.3">
      <c r="A2009" t="s">
        <v>64</v>
      </c>
      <c r="B2009">
        <v>101</v>
      </c>
      <c r="C2009" t="s">
        <v>71</v>
      </c>
      <c r="D2009" t="s">
        <v>74</v>
      </c>
      <c r="E2009" t="s">
        <v>74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74</v>
      </c>
    </row>
    <row r="2010" spans="1:20" x14ac:dyDescent="0.3">
      <c r="A2010" t="s">
        <v>23</v>
      </c>
      <c r="B2010">
        <v>116</v>
      </c>
      <c r="C2010" t="s">
        <v>71</v>
      </c>
      <c r="D2010" t="s">
        <v>74</v>
      </c>
      <c r="E2010" t="s">
        <v>74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74</v>
      </c>
    </row>
    <row r="2011" spans="1:20" x14ac:dyDescent="0.3">
      <c r="A2011" t="s">
        <v>54</v>
      </c>
      <c r="B2011">
        <v>54</v>
      </c>
      <c r="C2011" t="s">
        <v>71</v>
      </c>
      <c r="D2011" t="s">
        <v>74</v>
      </c>
      <c r="E2011" t="s">
        <v>75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74</v>
      </c>
    </row>
    <row r="2012" spans="1:20" x14ac:dyDescent="0.3">
      <c r="A2012" t="s">
        <v>50</v>
      </c>
      <c r="B2012">
        <v>112</v>
      </c>
      <c r="C2012" t="s">
        <v>73</v>
      </c>
      <c r="D2012" t="s">
        <v>74</v>
      </c>
      <c r="E2012" t="s">
        <v>75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74</v>
      </c>
    </row>
    <row r="2013" spans="1:20" x14ac:dyDescent="0.3">
      <c r="A2013" t="s">
        <v>53</v>
      </c>
      <c r="B2013">
        <v>122</v>
      </c>
      <c r="C2013" t="s">
        <v>73</v>
      </c>
      <c r="D2013" t="s">
        <v>74</v>
      </c>
      <c r="E2013" t="s">
        <v>75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74</v>
      </c>
    </row>
    <row r="2014" spans="1:20" x14ac:dyDescent="0.3">
      <c r="A2014" t="s">
        <v>35</v>
      </c>
      <c r="B2014">
        <v>74</v>
      </c>
      <c r="C2014" t="s">
        <v>71</v>
      </c>
      <c r="D2014" t="s">
        <v>74</v>
      </c>
      <c r="E2014" t="s">
        <v>74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74</v>
      </c>
    </row>
    <row r="2015" spans="1:20" x14ac:dyDescent="0.3">
      <c r="A2015" t="s">
        <v>30</v>
      </c>
      <c r="B2015">
        <v>90</v>
      </c>
      <c r="C2015" t="s">
        <v>71</v>
      </c>
      <c r="D2015" t="s">
        <v>74</v>
      </c>
      <c r="E2015" t="s">
        <v>74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74</v>
      </c>
    </row>
    <row r="2016" spans="1:20" x14ac:dyDescent="0.3">
      <c r="A2016" t="s">
        <v>66</v>
      </c>
      <c r="B2016">
        <v>85</v>
      </c>
      <c r="C2016" t="s">
        <v>72</v>
      </c>
      <c r="D2016" t="s">
        <v>74</v>
      </c>
      <c r="E2016" t="s">
        <v>74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74</v>
      </c>
    </row>
    <row r="2017" spans="1:20" x14ac:dyDescent="0.3">
      <c r="A2017" t="s">
        <v>25</v>
      </c>
      <c r="B2017">
        <v>100</v>
      </c>
      <c r="C2017" t="s">
        <v>71</v>
      </c>
      <c r="D2017" t="s">
        <v>74</v>
      </c>
      <c r="E2017" t="s">
        <v>74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74</v>
      </c>
    </row>
    <row r="2018" spans="1:20" x14ac:dyDescent="0.3">
      <c r="A2018" t="s">
        <v>61</v>
      </c>
      <c r="B2018">
        <v>114</v>
      </c>
      <c r="C2018" t="s">
        <v>71</v>
      </c>
      <c r="D2018" t="s">
        <v>74</v>
      </c>
      <c r="E2018" t="s">
        <v>74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74</v>
      </c>
    </row>
    <row r="2019" spans="1:20" x14ac:dyDescent="0.3">
      <c r="A2019" t="s">
        <v>55</v>
      </c>
      <c r="B2019">
        <v>83</v>
      </c>
      <c r="C2019" t="s">
        <v>72</v>
      </c>
      <c r="D2019" t="s">
        <v>74</v>
      </c>
      <c r="E2019" t="s">
        <v>74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74</v>
      </c>
    </row>
    <row r="2020" spans="1:20" x14ac:dyDescent="0.3">
      <c r="A2020" t="s">
        <v>30</v>
      </c>
      <c r="B2020">
        <v>157</v>
      </c>
      <c r="C2020" t="s">
        <v>71</v>
      </c>
      <c r="D2020" t="s">
        <v>75</v>
      </c>
      <c r="E2020" t="s">
        <v>74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74</v>
      </c>
    </row>
    <row r="2021" spans="1:20" x14ac:dyDescent="0.3">
      <c r="A2021" t="s">
        <v>58</v>
      </c>
      <c r="B2021">
        <v>51</v>
      </c>
      <c r="C2021" t="s">
        <v>72</v>
      </c>
      <c r="D2021" t="s">
        <v>74</v>
      </c>
      <c r="E2021" t="s">
        <v>74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74</v>
      </c>
    </row>
    <row r="2022" spans="1:20" x14ac:dyDescent="0.3">
      <c r="A2022" t="s">
        <v>68</v>
      </c>
      <c r="B2022">
        <v>42</v>
      </c>
      <c r="C2022" t="s">
        <v>71</v>
      </c>
      <c r="D2022" t="s">
        <v>74</v>
      </c>
      <c r="E2022" t="s">
        <v>74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75</v>
      </c>
    </row>
    <row r="2023" spans="1:20" x14ac:dyDescent="0.3">
      <c r="A2023" t="s">
        <v>58</v>
      </c>
      <c r="B2023">
        <v>112</v>
      </c>
      <c r="C2023" t="s">
        <v>72</v>
      </c>
      <c r="D2023" t="s">
        <v>74</v>
      </c>
      <c r="E2023" t="s">
        <v>74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74</v>
      </c>
    </row>
    <row r="2024" spans="1:20" x14ac:dyDescent="0.3">
      <c r="A2024" t="s">
        <v>64</v>
      </c>
      <c r="B2024">
        <v>56</v>
      </c>
      <c r="C2024" t="s">
        <v>72</v>
      </c>
      <c r="D2024" t="s">
        <v>74</v>
      </c>
      <c r="E2024" t="s">
        <v>74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74</v>
      </c>
    </row>
    <row r="2025" spans="1:20" x14ac:dyDescent="0.3">
      <c r="A2025" t="s">
        <v>28</v>
      </c>
      <c r="B2025">
        <v>53</v>
      </c>
      <c r="C2025" t="s">
        <v>73</v>
      </c>
      <c r="D2025" t="s">
        <v>74</v>
      </c>
      <c r="E2025" t="s">
        <v>74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75</v>
      </c>
    </row>
    <row r="2026" spans="1:20" x14ac:dyDescent="0.3">
      <c r="A2026" t="s">
        <v>65</v>
      </c>
      <c r="B2026">
        <v>64</v>
      </c>
      <c r="C2026" t="s">
        <v>71</v>
      </c>
      <c r="D2026" t="s">
        <v>74</v>
      </c>
      <c r="E2026" t="s">
        <v>75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74</v>
      </c>
    </row>
    <row r="2027" spans="1:20" x14ac:dyDescent="0.3">
      <c r="A2027" t="s">
        <v>50</v>
      </c>
      <c r="B2027">
        <v>123</v>
      </c>
      <c r="C2027" t="s">
        <v>73</v>
      </c>
      <c r="D2027" t="s">
        <v>74</v>
      </c>
      <c r="E2027" t="s">
        <v>74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74</v>
      </c>
    </row>
    <row r="2028" spans="1:20" x14ac:dyDescent="0.3">
      <c r="A2028" t="s">
        <v>29</v>
      </c>
      <c r="B2028">
        <v>68</v>
      </c>
      <c r="C2028" t="s">
        <v>72</v>
      </c>
      <c r="D2028" t="s">
        <v>74</v>
      </c>
      <c r="E2028" t="s">
        <v>75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74</v>
      </c>
    </row>
    <row r="2029" spans="1:20" x14ac:dyDescent="0.3">
      <c r="A2029" t="s">
        <v>54</v>
      </c>
      <c r="B2029">
        <v>40</v>
      </c>
      <c r="C2029" t="s">
        <v>72</v>
      </c>
      <c r="D2029" t="s">
        <v>75</v>
      </c>
      <c r="E2029" t="s">
        <v>74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74</v>
      </c>
    </row>
    <row r="2030" spans="1:20" x14ac:dyDescent="0.3">
      <c r="A2030" t="s">
        <v>52</v>
      </c>
      <c r="B2030">
        <v>132</v>
      </c>
      <c r="C2030" t="s">
        <v>73</v>
      </c>
      <c r="D2030" t="s">
        <v>74</v>
      </c>
      <c r="E2030" t="s">
        <v>74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74</v>
      </c>
    </row>
    <row r="2031" spans="1:20" x14ac:dyDescent="0.3">
      <c r="A2031" t="s">
        <v>54</v>
      </c>
      <c r="B2031">
        <v>120</v>
      </c>
      <c r="C2031" t="s">
        <v>73</v>
      </c>
      <c r="D2031" t="s">
        <v>75</v>
      </c>
      <c r="E2031" t="s">
        <v>74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75</v>
      </c>
    </row>
    <row r="2032" spans="1:20" x14ac:dyDescent="0.3">
      <c r="A2032" t="s">
        <v>40</v>
      </c>
      <c r="B2032">
        <v>108</v>
      </c>
      <c r="C2032" t="s">
        <v>73</v>
      </c>
      <c r="D2032" t="s">
        <v>74</v>
      </c>
      <c r="E2032" t="s">
        <v>75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75</v>
      </c>
    </row>
    <row r="2033" spans="1:20" x14ac:dyDescent="0.3">
      <c r="A2033" t="s">
        <v>38</v>
      </c>
      <c r="B2033">
        <v>122</v>
      </c>
      <c r="C2033" t="s">
        <v>72</v>
      </c>
      <c r="D2033" t="s">
        <v>74</v>
      </c>
      <c r="E2033" t="s">
        <v>74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74</v>
      </c>
    </row>
    <row r="2034" spans="1:20" x14ac:dyDescent="0.3">
      <c r="A2034" t="s">
        <v>57</v>
      </c>
      <c r="B2034">
        <v>130</v>
      </c>
      <c r="C2034" t="s">
        <v>73</v>
      </c>
      <c r="D2034" t="s">
        <v>74</v>
      </c>
      <c r="E2034" t="s">
        <v>75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74</v>
      </c>
    </row>
    <row r="2035" spans="1:20" x14ac:dyDescent="0.3">
      <c r="A2035" t="s">
        <v>24</v>
      </c>
      <c r="B2035">
        <v>139</v>
      </c>
      <c r="C2035" t="s">
        <v>71</v>
      </c>
      <c r="D2035" t="s">
        <v>74</v>
      </c>
      <c r="E2035" t="s">
        <v>75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74</v>
      </c>
    </row>
    <row r="2036" spans="1:20" x14ac:dyDescent="0.3">
      <c r="A2036" t="s">
        <v>51</v>
      </c>
      <c r="B2036">
        <v>57</v>
      </c>
      <c r="C2036" t="s">
        <v>71</v>
      </c>
      <c r="D2036" t="s">
        <v>74</v>
      </c>
      <c r="E2036" t="s">
        <v>74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74</v>
      </c>
    </row>
    <row r="2037" spans="1:20" x14ac:dyDescent="0.3">
      <c r="A2037" t="s">
        <v>33</v>
      </c>
      <c r="B2037">
        <v>128</v>
      </c>
      <c r="C2037" t="s">
        <v>72</v>
      </c>
      <c r="D2037" t="s">
        <v>74</v>
      </c>
      <c r="E2037" t="s">
        <v>74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74</v>
      </c>
    </row>
    <row r="2038" spans="1:20" x14ac:dyDescent="0.3">
      <c r="A2038" t="s">
        <v>30</v>
      </c>
      <c r="B2038">
        <v>127</v>
      </c>
      <c r="C2038" t="s">
        <v>72</v>
      </c>
      <c r="D2038" t="s">
        <v>75</v>
      </c>
      <c r="E2038" t="s">
        <v>74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74</v>
      </c>
    </row>
    <row r="2039" spans="1:20" x14ac:dyDescent="0.3">
      <c r="A2039" t="s">
        <v>44</v>
      </c>
      <c r="B2039">
        <v>177</v>
      </c>
      <c r="C2039" t="s">
        <v>73</v>
      </c>
      <c r="D2039" t="s">
        <v>74</v>
      </c>
      <c r="E2039" t="s">
        <v>74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74</v>
      </c>
    </row>
    <row r="2040" spans="1:20" x14ac:dyDescent="0.3">
      <c r="A2040" t="s">
        <v>56</v>
      </c>
      <c r="B2040">
        <v>121</v>
      </c>
      <c r="C2040" t="s">
        <v>71</v>
      </c>
      <c r="D2040" t="s">
        <v>74</v>
      </c>
      <c r="E2040" t="s">
        <v>74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74</v>
      </c>
    </row>
    <row r="2041" spans="1:20" x14ac:dyDescent="0.3">
      <c r="A2041" t="s">
        <v>43</v>
      </c>
      <c r="B2041">
        <v>99</v>
      </c>
      <c r="C2041" t="s">
        <v>72</v>
      </c>
      <c r="D2041" t="s">
        <v>75</v>
      </c>
      <c r="E2041" t="s">
        <v>75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74</v>
      </c>
    </row>
    <row r="2042" spans="1:20" x14ac:dyDescent="0.3">
      <c r="A2042" t="s">
        <v>38</v>
      </c>
      <c r="B2042">
        <v>126</v>
      </c>
      <c r="C2042" t="s">
        <v>71</v>
      </c>
      <c r="D2042" t="s">
        <v>75</v>
      </c>
      <c r="E2042" t="s">
        <v>74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75</v>
      </c>
    </row>
    <row r="2043" spans="1:20" x14ac:dyDescent="0.3">
      <c r="A2043" t="s">
        <v>38</v>
      </c>
      <c r="B2043">
        <v>77</v>
      </c>
      <c r="C2043" t="s">
        <v>71</v>
      </c>
      <c r="D2043" t="s">
        <v>74</v>
      </c>
      <c r="E2043" t="s">
        <v>75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75</v>
      </c>
    </row>
    <row r="2044" spans="1:20" x14ac:dyDescent="0.3">
      <c r="A2044" t="s">
        <v>65</v>
      </c>
      <c r="B2044">
        <v>21</v>
      </c>
      <c r="C2044" t="s">
        <v>71</v>
      </c>
      <c r="D2044" t="s">
        <v>74</v>
      </c>
      <c r="E2044" t="s">
        <v>74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74</v>
      </c>
    </row>
    <row r="2045" spans="1:20" x14ac:dyDescent="0.3">
      <c r="A2045" t="s">
        <v>41</v>
      </c>
      <c r="B2045">
        <v>56</v>
      </c>
      <c r="C2045" t="s">
        <v>73</v>
      </c>
      <c r="D2045" t="s">
        <v>74</v>
      </c>
      <c r="E2045" t="s">
        <v>74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74</v>
      </c>
    </row>
    <row r="2046" spans="1:20" x14ac:dyDescent="0.3">
      <c r="A2046" t="s">
        <v>29</v>
      </c>
      <c r="B2046">
        <v>92</v>
      </c>
      <c r="C2046" t="s">
        <v>71</v>
      </c>
      <c r="D2046" t="s">
        <v>74</v>
      </c>
      <c r="E2046" t="s">
        <v>75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75</v>
      </c>
    </row>
    <row r="2047" spans="1:20" x14ac:dyDescent="0.3">
      <c r="A2047" t="s">
        <v>32</v>
      </c>
      <c r="B2047">
        <v>81</v>
      </c>
      <c r="C2047" t="s">
        <v>72</v>
      </c>
      <c r="D2047" t="s">
        <v>74</v>
      </c>
      <c r="E2047" t="s">
        <v>74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74</v>
      </c>
    </row>
    <row r="2048" spans="1:20" x14ac:dyDescent="0.3">
      <c r="A2048" t="s">
        <v>34</v>
      </c>
      <c r="B2048">
        <v>139</v>
      </c>
      <c r="C2048" t="s">
        <v>72</v>
      </c>
      <c r="D2048" t="s">
        <v>75</v>
      </c>
      <c r="E2048" t="s">
        <v>75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75</v>
      </c>
    </row>
    <row r="2049" spans="1:20" x14ac:dyDescent="0.3">
      <c r="A2049" t="s">
        <v>48</v>
      </c>
      <c r="B2049">
        <v>68</v>
      </c>
      <c r="C2049" t="s">
        <v>71</v>
      </c>
      <c r="D2049" t="s">
        <v>74</v>
      </c>
      <c r="E2049" t="s">
        <v>74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74</v>
      </c>
    </row>
    <row r="2050" spans="1:20" x14ac:dyDescent="0.3">
      <c r="A2050" t="s">
        <v>45</v>
      </c>
      <c r="B2050">
        <v>183</v>
      </c>
      <c r="C2050" t="s">
        <v>71</v>
      </c>
      <c r="D2050" t="s">
        <v>74</v>
      </c>
      <c r="E2050" t="s">
        <v>75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74</v>
      </c>
    </row>
    <row r="2051" spans="1:20" x14ac:dyDescent="0.3">
      <c r="A2051" t="s">
        <v>33</v>
      </c>
      <c r="B2051">
        <v>90</v>
      </c>
      <c r="C2051" t="s">
        <v>73</v>
      </c>
      <c r="D2051" t="s">
        <v>74</v>
      </c>
      <c r="E2051" t="s">
        <v>74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74</v>
      </c>
    </row>
    <row r="2052" spans="1:20" x14ac:dyDescent="0.3">
      <c r="A2052" t="s">
        <v>31</v>
      </c>
      <c r="B2052">
        <v>165</v>
      </c>
      <c r="C2052" t="s">
        <v>73</v>
      </c>
      <c r="D2052" t="s">
        <v>74</v>
      </c>
      <c r="E2052" t="s">
        <v>74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74</v>
      </c>
    </row>
    <row r="2053" spans="1:20" x14ac:dyDescent="0.3">
      <c r="A2053" t="s">
        <v>31</v>
      </c>
      <c r="B2053">
        <v>89</v>
      </c>
      <c r="C2053" t="s">
        <v>71</v>
      </c>
      <c r="D2053" t="s">
        <v>74</v>
      </c>
      <c r="E2053" t="s">
        <v>74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75</v>
      </c>
    </row>
    <row r="2054" spans="1:20" x14ac:dyDescent="0.3">
      <c r="A2054" t="s">
        <v>28</v>
      </c>
      <c r="B2054">
        <v>59</v>
      </c>
      <c r="C2054" t="s">
        <v>72</v>
      </c>
      <c r="D2054" t="s">
        <v>74</v>
      </c>
      <c r="E2054" t="s">
        <v>74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74</v>
      </c>
    </row>
    <row r="2055" spans="1:20" x14ac:dyDescent="0.3">
      <c r="A2055" t="s">
        <v>25</v>
      </c>
      <c r="B2055">
        <v>16</v>
      </c>
      <c r="C2055" t="s">
        <v>71</v>
      </c>
      <c r="D2055" t="s">
        <v>75</v>
      </c>
      <c r="E2055" t="s">
        <v>74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74</v>
      </c>
    </row>
    <row r="2056" spans="1:20" x14ac:dyDescent="0.3">
      <c r="A2056" t="s">
        <v>63</v>
      </c>
      <c r="B2056">
        <v>114</v>
      </c>
      <c r="C2056" t="s">
        <v>71</v>
      </c>
      <c r="D2056" t="s">
        <v>74</v>
      </c>
      <c r="E2056" t="s">
        <v>74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75</v>
      </c>
    </row>
    <row r="2057" spans="1:20" x14ac:dyDescent="0.3">
      <c r="A2057" t="s">
        <v>22</v>
      </c>
      <c r="B2057">
        <v>113</v>
      </c>
      <c r="C2057" t="s">
        <v>72</v>
      </c>
      <c r="D2057" t="s">
        <v>74</v>
      </c>
      <c r="E2057" t="s">
        <v>74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74</v>
      </c>
    </row>
    <row r="2058" spans="1:20" x14ac:dyDescent="0.3">
      <c r="A2058" t="s">
        <v>27</v>
      </c>
      <c r="B2058">
        <v>120</v>
      </c>
      <c r="C2058" t="s">
        <v>73</v>
      </c>
      <c r="D2058" t="s">
        <v>74</v>
      </c>
      <c r="E2058" t="s">
        <v>74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74</v>
      </c>
    </row>
    <row r="2059" spans="1:20" x14ac:dyDescent="0.3">
      <c r="A2059" t="s">
        <v>35</v>
      </c>
      <c r="B2059">
        <v>115</v>
      </c>
      <c r="C2059" t="s">
        <v>71</v>
      </c>
      <c r="D2059" t="s">
        <v>74</v>
      </c>
      <c r="E2059" t="s">
        <v>74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74</v>
      </c>
    </row>
    <row r="2060" spans="1:20" x14ac:dyDescent="0.3">
      <c r="A2060" t="s">
        <v>33</v>
      </c>
      <c r="B2060">
        <v>132</v>
      </c>
      <c r="C2060" t="s">
        <v>71</v>
      </c>
      <c r="D2060" t="s">
        <v>74</v>
      </c>
      <c r="E2060" t="s">
        <v>74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75</v>
      </c>
    </row>
    <row r="2061" spans="1:20" x14ac:dyDescent="0.3">
      <c r="A2061" t="s">
        <v>43</v>
      </c>
      <c r="B2061">
        <v>1</v>
      </c>
      <c r="C2061" t="s">
        <v>73</v>
      </c>
      <c r="D2061" t="s">
        <v>74</v>
      </c>
      <c r="E2061" t="s">
        <v>74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74</v>
      </c>
    </row>
    <row r="2062" spans="1:20" x14ac:dyDescent="0.3">
      <c r="A2062" t="s">
        <v>57</v>
      </c>
      <c r="B2062">
        <v>97</v>
      </c>
      <c r="C2062" t="s">
        <v>71</v>
      </c>
      <c r="D2062" t="s">
        <v>74</v>
      </c>
      <c r="E2062" t="s">
        <v>75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74</v>
      </c>
    </row>
    <row r="2063" spans="1:20" x14ac:dyDescent="0.3">
      <c r="A2063" t="s">
        <v>70</v>
      </c>
      <c r="B2063">
        <v>55</v>
      </c>
      <c r="C2063" t="s">
        <v>71</v>
      </c>
      <c r="D2063" t="s">
        <v>74</v>
      </c>
      <c r="E2063" t="s">
        <v>75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74</v>
      </c>
    </row>
    <row r="2064" spans="1:20" x14ac:dyDescent="0.3">
      <c r="A2064" t="s">
        <v>65</v>
      </c>
      <c r="B2064">
        <v>75</v>
      </c>
      <c r="C2064" t="s">
        <v>71</v>
      </c>
      <c r="D2064" t="s">
        <v>74</v>
      </c>
      <c r="E2064" t="s">
        <v>74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74</v>
      </c>
    </row>
    <row r="2065" spans="1:20" x14ac:dyDescent="0.3">
      <c r="A2065" t="s">
        <v>29</v>
      </c>
      <c r="B2065">
        <v>83</v>
      </c>
      <c r="C2065" t="s">
        <v>71</v>
      </c>
      <c r="D2065" t="s">
        <v>74</v>
      </c>
      <c r="E2065" t="s">
        <v>74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74</v>
      </c>
    </row>
    <row r="2066" spans="1:20" x14ac:dyDescent="0.3">
      <c r="A2066" t="s">
        <v>32</v>
      </c>
      <c r="B2066">
        <v>40</v>
      </c>
      <c r="C2066" t="s">
        <v>72</v>
      </c>
      <c r="D2066" t="s">
        <v>74</v>
      </c>
      <c r="E2066" t="s">
        <v>74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75</v>
      </c>
    </row>
    <row r="2067" spans="1:20" x14ac:dyDescent="0.3">
      <c r="A2067" t="s">
        <v>36</v>
      </c>
      <c r="B2067">
        <v>101</v>
      </c>
      <c r="C2067" t="s">
        <v>71</v>
      </c>
      <c r="D2067" t="s">
        <v>74</v>
      </c>
      <c r="E2067" t="s">
        <v>75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74</v>
      </c>
    </row>
    <row r="2068" spans="1:20" x14ac:dyDescent="0.3">
      <c r="A2068" t="s">
        <v>49</v>
      </c>
      <c r="B2068">
        <v>120</v>
      </c>
      <c r="C2068" t="s">
        <v>71</v>
      </c>
      <c r="D2068" t="s">
        <v>74</v>
      </c>
      <c r="E2068" t="s">
        <v>75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74</v>
      </c>
    </row>
    <row r="2069" spans="1:20" x14ac:dyDescent="0.3">
      <c r="A2069" t="s">
        <v>56</v>
      </c>
      <c r="B2069">
        <v>183</v>
      </c>
      <c r="C2069" t="s">
        <v>71</v>
      </c>
      <c r="D2069" t="s">
        <v>74</v>
      </c>
      <c r="E2069" t="s">
        <v>75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74</v>
      </c>
    </row>
    <row r="2070" spans="1:20" x14ac:dyDescent="0.3">
      <c r="A2070" t="s">
        <v>47</v>
      </c>
      <c r="B2070">
        <v>75</v>
      </c>
      <c r="C2070" t="s">
        <v>72</v>
      </c>
      <c r="D2070" t="s">
        <v>74</v>
      </c>
      <c r="E2070" t="s">
        <v>74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75</v>
      </c>
    </row>
    <row r="2071" spans="1:20" x14ac:dyDescent="0.3">
      <c r="A2071" t="s">
        <v>70</v>
      </c>
      <c r="B2071">
        <v>80</v>
      </c>
      <c r="C2071" t="s">
        <v>71</v>
      </c>
      <c r="D2071" t="s">
        <v>74</v>
      </c>
      <c r="E2071" t="s">
        <v>74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74</v>
      </c>
    </row>
    <row r="2072" spans="1:20" x14ac:dyDescent="0.3">
      <c r="A2072" t="s">
        <v>29</v>
      </c>
      <c r="B2072">
        <v>88</v>
      </c>
      <c r="C2072" t="s">
        <v>71</v>
      </c>
      <c r="D2072" t="s">
        <v>74</v>
      </c>
      <c r="E2072" t="s">
        <v>74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74</v>
      </c>
    </row>
    <row r="2073" spans="1:20" x14ac:dyDescent="0.3">
      <c r="A2073" t="s">
        <v>52</v>
      </c>
      <c r="B2073">
        <v>63</v>
      </c>
      <c r="C2073" t="s">
        <v>72</v>
      </c>
      <c r="D2073" t="s">
        <v>74</v>
      </c>
      <c r="E2073" t="s">
        <v>74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74</v>
      </c>
    </row>
    <row r="2074" spans="1:20" x14ac:dyDescent="0.3">
      <c r="A2074" t="s">
        <v>60</v>
      </c>
      <c r="B2074">
        <v>105</v>
      </c>
      <c r="C2074" t="s">
        <v>71</v>
      </c>
      <c r="D2074" t="s">
        <v>74</v>
      </c>
      <c r="E2074" t="s">
        <v>75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75</v>
      </c>
    </row>
    <row r="2075" spans="1:20" x14ac:dyDescent="0.3">
      <c r="A2075" t="s">
        <v>29</v>
      </c>
      <c r="B2075">
        <v>92</v>
      </c>
      <c r="C2075" t="s">
        <v>71</v>
      </c>
      <c r="D2075" t="s">
        <v>74</v>
      </c>
      <c r="E2075" t="s">
        <v>74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74</v>
      </c>
    </row>
    <row r="2076" spans="1:20" x14ac:dyDescent="0.3">
      <c r="A2076" t="s">
        <v>30</v>
      </c>
      <c r="B2076">
        <v>177</v>
      </c>
      <c r="C2076" t="s">
        <v>71</v>
      </c>
      <c r="D2076" t="s">
        <v>74</v>
      </c>
      <c r="E2076" t="s">
        <v>74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74</v>
      </c>
    </row>
    <row r="2077" spans="1:20" x14ac:dyDescent="0.3">
      <c r="A2077" t="s">
        <v>52</v>
      </c>
      <c r="B2077">
        <v>118</v>
      </c>
      <c r="C2077" t="s">
        <v>72</v>
      </c>
      <c r="D2077" t="s">
        <v>74</v>
      </c>
      <c r="E2077" t="s">
        <v>74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74</v>
      </c>
    </row>
    <row r="2078" spans="1:20" x14ac:dyDescent="0.3">
      <c r="A2078" t="s">
        <v>67</v>
      </c>
      <c r="B2078">
        <v>111</v>
      </c>
      <c r="C2078" t="s">
        <v>73</v>
      </c>
      <c r="D2078" t="s">
        <v>74</v>
      </c>
      <c r="E2078" t="s">
        <v>75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74</v>
      </c>
    </row>
    <row r="2079" spans="1:20" x14ac:dyDescent="0.3">
      <c r="A2079" t="s">
        <v>29</v>
      </c>
      <c r="B2079">
        <v>82</v>
      </c>
      <c r="C2079" t="s">
        <v>72</v>
      </c>
      <c r="D2079" t="s">
        <v>74</v>
      </c>
      <c r="E2079" t="s">
        <v>75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74</v>
      </c>
    </row>
    <row r="2080" spans="1:20" x14ac:dyDescent="0.3">
      <c r="A2080" t="s">
        <v>66</v>
      </c>
      <c r="B2080">
        <v>74</v>
      </c>
      <c r="C2080" t="s">
        <v>71</v>
      </c>
      <c r="D2080" t="s">
        <v>74</v>
      </c>
      <c r="E2080" t="s">
        <v>74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74</v>
      </c>
    </row>
    <row r="2081" spans="1:20" x14ac:dyDescent="0.3">
      <c r="A2081" t="s">
        <v>34</v>
      </c>
      <c r="B2081">
        <v>121</v>
      </c>
      <c r="C2081" t="s">
        <v>71</v>
      </c>
      <c r="D2081" t="s">
        <v>74</v>
      </c>
      <c r="E2081" t="s">
        <v>75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74</v>
      </c>
    </row>
    <row r="2082" spans="1:20" x14ac:dyDescent="0.3">
      <c r="A2082" t="s">
        <v>27</v>
      </c>
      <c r="B2082">
        <v>131</v>
      </c>
      <c r="C2082" t="s">
        <v>73</v>
      </c>
      <c r="D2082" t="s">
        <v>74</v>
      </c>
      <c r="E2082" t="s">
        <v>74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74</v>
      </c>
    </row>
    <row r="2083" spans="1:20" x14ac:dyDescent="0.3">
      <c r="A2083" t="s">
        <v>21</v>
      </c>
      <c r="B2083">
        <v>125</v>
      </c>
      <c r="C2083" t="s">
        <v>73</v>
      </c>
      <c r="D2083" t="s">
        <v>74</v>
      </c>
      <c r="E2083" t="s">
        <v>74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74</v>
      </c>
    </row>
    <row r="2084" spans="1:20" x14ac:dyDescent="0.3">
      <c r="A2084" t="s">
        <v>59</v>
      </c>
      <c r="B2084">
        <v>19</v>
      </c>
      <c r="C2084" t="s">
        <v>71</v>
      </c>
      <c r="D2084" t="s">
        <v>74</v>
      </c>
      <c r="E2084" t="s">
        <v>74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74</v>
      </c>
    </row>
    <row r="2085" spans="1:20" x14ac:dyDescent="0.3">
      <c r="A2085" t="s">
        <v>50</v>
      </c>
      <c r="B2085">
        <v>138</v>
      </c>
      <c r="C2085" t="s">
        <v>71</v>
      </c>
      <c r="D2085" t="s">
        <v>74</v>
      </c>
      <c r="E2085" t="s">
        <v>74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74</v>
      </c>
    </row>
    <row r="2086" spans="1:20" x14ac:dyDescent="0.3">
      <c r="A2086" t="s">
        <v>29</v>
      </c>
      <c r="B2086">
        <v>119</v>
      </c>
      <c r="C2086" t="s">
        <v>71</v>
      </c>
      <c r="D2086" t="s">
        <v>74</v>
      </c>
      <c r="E2086" t="s">
        <v>74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74</v>
      </c>
    </row>
    <row r="2087" spans="1:20" x14ac:dyDescent="0.3">
      <c r="A2087" t="s">
        <v>38</v>
      </c>
      <c r="B2087">
        <v>137</v>
      </c>
      <c r="C2087" t="s">
        <v>72</v>
      </c>
      <c r="D2087" t="s">
        <v>74</v>
      </c>
      <c r="E2087" t="s">
        <v>74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74</v>
      </c>
    </row>
    <row r="2088" spans="1:20" x14ac:dyDescent="0.3">
      <c r="A2088" t="s">
        <v>61</v>
      </c>
      <c r="B2088">
        <v>135</v>
      </c>
      <c r="C2088" t="s">
        <v>71</v>
      </c>
      <c r="D2088" t="s">
        <v>74</v>
      </c>
      <c r="E2088" t="s">
        <v>74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74</v>
      </c>
    </row>
    <row r="2089" spans="1:20" x14ac:dyDescent="0.3">
      <c r="A2089" t="s">
        <v>67</v>
      </c>
      <c r="B2089">
        <v>134</v>
      </c>
      <c r="C2089" t="s">
        <v>71</v>
      </c>
      <c r="D2089" t="s">
        <v>74</v>
      </c>
      <c r="E2089" t="s">
        <v>75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74</v>
      </c>
    </row>
    <row r="2090" spans="1:20" x14ac:dyDescent="0.3">
      <c r="A2090" t="s">
        <v>63</v>
      </c>
      <c r="B2090">
        <v>45</v>
      </c>
      <c r="C2090" t="s">
        <v>71</v>
      </c>
      <c r="D2090" t="s">
        <v>74</v>
      </c>
      <c r="E2090" t="s">
        <v>74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74</v>
      </c>
    </row>
    <row r="2091" spans="1:20" x14ac:dyDescent="0.3">
      <c r="A2091" t="s">
        <v>69</v>
      </c>
      <c r="B2091">
        <v>129</v>
      </c>
      <c r="C2091" t="s">
        <v>73</v>
      </c>
      <c r="D2091" t="s">
        <v>74</v>
      </c>
      <c r="E2091" t="s">
        <v>74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74</v>
      </c>
    </row>
    <row r="2092" spans="1:20" x14ac:dyDescent="0.3">
      <c r="A2092" t="s">
        <v>23</v>
      </c>
      <c r="B2092">
        <v>142</v>
      </c>
      <c r="C2092" t="s">
        <v>71</v>
      </c>
      <c r="D2092" t="s">
        <v>74</v>
      </c>
      <c r="E2092" t="s">
        <v>74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74</v>
      </c>
    </row>
    <row r="2093" spans="1:20" x14ac:dyDescent="0.3">
      <c r="A2093" t="s">
        <v>49</v>
      </c>
      <c r="B2093">
        <v>130</v>
      </c>
      <c r="C2093" t="s">
        <v>71</v>
      </c>
      <c r="D2093" t="s">
        <v>74</v>
      </c>
      <c r="E2093" t="s">
        <v>75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74</v>
      </c>
    </row>
    <row r="2094" spans="1:20" x14ac:dyDescent="0.3">
      <c r="A2094" t="s">
        <v>67</v>
      </c>
      <c r="B2094">
        <v>105</v>
      </c>
      <c r="C2094" t="s">
        <v>71</v>
      </c>
      <c r="D2094" t="s">
        <v>74</v>
      </c>
      <c r="E2094" t="s">
        <v>74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74</v>
      </c>
    </row>
    <row r="2095" spans="1:20" x14ac:dyDescent="0.3">
      <c r="A2095" t="s">
        <v>39</v>
      </c>
      <c r="B2095">
        <v>119</v>
      </c>
      <c r="C2095" t="s">
        <v>71</v>
      </c>
      <c r="D2095" t="s">
        <v>74</v>
      </c>
      <c r="E2095" t="s">
        <v>74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74</v>
      </c>
    </row>
    <row r="2096" spans="1:20" x14ac:dyDescent="0.3">
      <c r="A2096" t="s">
        <v>30</v>
      </c>
      <c r="B2096">
        <v>78</v>
      </c>
      <c r="C2096" t="s">
        <v>73</v>
      </c>
      <c r="D2096" t="s">
        <v>74</v>
      </c>
      <c r="E2096" t="s">
        <v>74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74</v>
      </c>
    </row>
    <row r="2097" spans="1:20" x14ac:dyDescent="0.3">
      <c r="A2097" t="s">
        <v>24</v>
      </c>
      <c r="B2097">
        <v>92</v>
      </c>
      <c r="C2097" t="s">
        <v>71</v>
      </c>
      <c r="D2097" t="s">
        <v>74</v>
      </c>
      <c r="E2097" t="s">
        <v>74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74</v>
      </c>
    </row>
    <row r="2098" spans="1:20" x14ac:dyDescent="0.3">
      <c r="A2098" t="s">
        <v>30</v>
      </c>
      <c r="B2098">
        <v>146</v>
      </c>
      <c r="C2098" t="s">
        <v>71</v>
      </c>
      <c r="D2098" t="s">
        <v>74</v>
      </c>
      <c r="E2098" t="s">
        <v>75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74</v>
      </c>
    </row>
    <row r="2099" spans="1:20" x14ac:dyDescent="0.3">
      <c r="A2099" t="s">
        <v>58</v>
      </c>
      <c r="B2099">
        <v>125</v>
      </c>
      <c r="C2099" t="s">
        <v>73</v>
      </c>
      <c r="D2099" t="s">
        <v>74</v>
      </c>
      <c r="E2099" t="s">
        <v>75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74</v>
      </c>
    </row>
    <row r="2100" spans="1:20" x14ac:dyDescent="0.3">
      <c r="A2100" t="s">
        <v>51</v>
      </c>
      <c r="B2100">
        <v>88</v>
      </c>
      <c r="C2100" t="s">
        <v>71</v>
      </c>
      <c r="D2100" t="s">
        <v>74</v>
      </c>
      <c r="E2100" t="s">
        <v>74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74</v>
      </c>
    </row>
    <row r="2101" spans="1:20" x14ac:dyDescent="0.3">
      <c r="A2101" t="s">
        <v>49</v>
      </c>
      <c r="B2101">
        <v>83</v>
      </c>
      <c r="C2101" t="s">
        <v>73</v>
      </c>
      <c r="D2101" t="s">
        <v>74</v>
      </c>
      <c r="E2101" t="s">
        <v>75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74</v>
      </c>
    </row>
    <row r="2102" spans="1:20" x14ac:dyDescent="0.3">
      <c r="A2102" t="s">
        <v>69</v>
      </c>
      <c r="B2102">
        <v>3</v>
      </c>
      <c r="C2102" t="s">
        <v>72</v>
      </c>
      <c r="D2102" t="s">
        <v>75</v>
      </c>
      <c r="E2102" t="s">
        <v>74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74</v>
      </c>
    </row>
    <row r="2103" spans="1:20" x14ac:dyDescent="0.3">
      <c r="A2103" t="s">
        <v>41</v>
      </c>
      <c r="B2103">
        <v>48</v>
      </c>
      <c r="C2103" t="s">
        <v>72</v>
      </c>
      <c r="D2103" t="s">
        <v>74</v>
      </c>
      <c r="E2103" t="s">
        <v>74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74</v>
      </c>
    </row>
    <row r="2104" spans="1:20" x14ac:dyDescent="0.3">
      <c r="A2104" t="s">
        <v>53</v>
      </c>
      <c r="B2104">
        <v>189</v>
      </c>
      <c r="C2104" t="s">
        <v>71</v>
      </c>
      <c r="D2104" t="s">
        <v>74</v>
      </c>
      <c r="E2104" t="s">
        <v>74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74</v>
      </c>
    </row>
    <row r="2105" spans="1:20" x14ac:dyDescent="0.3">
      <c r="A2105" t="s">
        <v>51</v>
      </c>
      <c r="B2105">
        <v>129</v>
      </c>
      <c r="C2105" t="s">
        <v>71</v>
      </c>
      <c r="D2105" t="s">
        <v>74</v>
      </c>
      <c r="E2105" t="s">
        <v>74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75</v>
      </c>
    </row>
    <row r="2106" spans="1:20" x14ac:dyDescent="0.3">
      <c r="A2106" t="s">
        <v>33</v>
      </c>
      <c r="B2106">
        <v>66</v>
      </c>
      <c r="C2106" t="s">
        <v>73</v>
      </c>
      <c r="D2106" t="s">
        <v>74</v>
      </c>
      <c r="E2106" t="s">
        <v>75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74</v>
      </c>
    </row>
    <row r="2107" spans="1:20" x14ac:dyDescent="0.3">
      <c r="A2107" t="s">
        <v>34</v>
      </c>
      <c r="B2107">
        <v>80</v>
      </c>
      <c r="C2107" t="s">
        <v>72</v>
      </c>
      <c r="D2107" t="s">
        <v>74</v>
      </c>
      <c r="E2107" t="s">
        <v>75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74</v>
      </c>
    </row>
    <row r="2108" spans="1:20" x14ac:dyDescent="0.3">
      <c r="A2108" t="s">
        <v>65</v>
      </c>
      <c r="B2108">
        <v>84</v>
      </c>
      <c r="C2108" t="s">
        <v>73</v>
      </c>
      <c r="D2108" t="s">
        <v>74</v>
      </c>
      <c r="E2108" t="s">
        <v>74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74</v>
      </c>
    </row>
    <row r="2109" spans="1:20" x14ac:dyDescent="0.3">
      <c r="A2109" t="s">
        <v>36</v>
      </c>
      <c r="B2109">
        <v>96</v>
      </c>
      <c r="C2109" t="s">
        <v>71</v>
      </c>
      <c r="D2109" t="s">
        <v>74</v>
      </c>
      <c r="E2109" t="s">
        <v>74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74</v>
      </c>
    </row>
    <row r="2110" spans="1:20" x14ac:dyDescent="0.3">
      <c r="A2110" t="s">
        <v>69</v>
      </c>
      <c r="B2110">
        <v>123</v>
      </c>
      <c r="C2110" t="s">
        <v>71</v>
      </c>
      <c r="D2110" t="s">
        <v>74</v>
      </c>
      <c r="E2110" t="s">
        <v>75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74</v>
      </c>
    </row>
    <row r="2111" spans="1:20" x14ac:dyDescent="0.3">
      <c r="A2111" t="s">
        <v>45</v>
      </c>
      <c r="B2111">
        <v>105</v>
      </c>
      <c r="C2111" t="s">
        <v>71</v>
      </c>
      <c r="D2111" t="s">
        <v>75</v>
      </c>
      <c r="E2111" t="s">
        <v>74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74</v>
      </c>
    </row>
    <row r="2112" spans="1:20" x14ac:dyDescent="0.3">
      <c r="A2112" t="s">
        <v>50</v>
      </c>
      <c r="B2112">
        <v>80</v>
      </c>
      <c r="C2112" t="s">
        <v>71</v>
      </c>
      <c r="D2112" t="s">
        <v>74</v>
      </c>
      <c r="E2112" t="s">
        <v>74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74</v>
      </c>
    </row>
    <row r="2113" spans="1:20" x14ac:dyDescent="0.3">
      <c r="A2113" t="s">
        <v>57</v>
      </c>
      <c r="B2113">
        <v>157</v>
      </c>
      <c r="C2113" t="s">
        <v>73</v>
      </c>
      <c r="D2113" t="s">
        <v>74</v>
      </c>
      <c r="E2113" t="s">
        <v>74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74</v>
      </c>
    </row>
    <row r="2114" spans="1:20" x14ac:dyDescent="0.3">
      <c r="A2114" t="s">
        <v>29</v>
      </c>
      <c r="B2114">
        <v>67</v>
      </c>
      <c r="C2114" t="s">
        <v>72</v>
      </c>
      <c r="D2114" t="s">
        <v>74</v>
      </c>
      <c r="E2114" t="s">
        <v>75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74</v>
      </c>
    </row>
    <row r="2115" spans="1:20" x14ac:dyDescent="0.3">
      <c r="A2115" t="s">
        <v>51</v>
      </c>
      <c r="B2115">
        <v>141</v>
      </c>
      <c r="C2115" t="s">
        <v>71</v>
      </c>
      <c r="D2115" t="s">
        <v>74</v>
      </c>
      <c r="E2115" t="s">
        <v>75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74</v>
      </c>
    </row>
    <row r="2116" spans="1:20" x14ac:dyDescent="0.3">
      <c r="A2116" t="s">
        <v>49</v>
      </c>
      <c r="B2116">
        <v>79</v>
      </c>
      <c r="C2116" t="s">
        <v>71</v>
      </c>
      <c r="D2116" t="s">
        <v>74</v>
      </c>
      <c r="E2116" t="s">
        <v>75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74</v>
      </c>
    </row>
    <row r="2117" spans="1:20" x14ac:dyDescent="0.3">
      <c r="A2117" t="s">
        <v>53</v>
      </c>
      <c r="B2117">
        <v>76</v>
      </c>
      <c r="C2117" t="s">
        <v>73</v>
      </c>
      <c r="D2117" t="s">
        <v>74</v>
      </c>
      <c r="E2117" t="s">
        <v>74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74</v>
      </c>
    </row>
    <row r="2118" spans="1:20" x14ac:dyDescent="0.3">
      <c r="A2118" t="s">
        <v>61</v>
      </c>
      <c r="B2118">
        <v>94</v>
      </c>
      <c r="C2118" t="s">
        <v>71</v>
      </c>
      <c r="D2118" t="s">
        <v>74</v>
      </c>
      <c r="E2118" t="s">
        <v>74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74</v>
      </c>
    </row>
    <row r="2119" spans="1:20" x14ac:dyDescent="0.3">
      <c r="A2119" t="s">
        <v>55</v>
      </c>
      <c r="B2119">
        <v>143</v>
      </c>
      <c r="C2119" t="s">
        <v>73</v>
      </c>
      <c r="D2119" t="s">
        <v>74</v>
      </c>
      <c r="E2119" t="s">
        <v>74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75</v>
      </c>
    </row>
    <row r="2120" spans="1:20" x14ac:dyDescent="0.3">
      <c r="A2120" t="s">
        <v>48</v>
      </c>
      <c r="B2120">
        <v>138</v>
      </c>
      <c r="C2120" t="s">
        <v>71</v>
      </c>
      <c r="D2120" t="s">
        <v>74</v>
      </c>
      <c r="E2120" t="s">
        <v>74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74</v>
      </c>
    </row>
    <row r="2121" spans="1:20" x14ac:dyDescent="0.3">
      <c r="A2121" t="s">
        <v>43</v>
      </c>
      <c r="B2121">
        <v>73</v>
      </c>
      <c r="C2121" t="s">
        <v>71</v>
      </c>
      <c r="D2121" t="s">
        <v>74</v>
      </c>
      <c r="E2121" t="s">
        <v>74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74</v>
      </c>
    </row>
    <row r="2122" spans="1:20" x14ac:dyDescent="0.3">
      <c r="A2122" t="s">
        <v>70</v>
      </c>
      <c r="B2122">
        <v>21</v>
      </c>
      <c r="C2122" t="s">
        <v>71</v>
      </c>
      <c r="D2122" t="s">
        <v>74</v>
      </c>
      <c r="E2122" t="s">
        <v>74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75</v>
      </c>
    </row>
    <row r="2123" spans="1:20" x14ac:dyDescent="0.3">
      <c r="A2123" t="s">
        <v>21</v>
      </c>
      <c r="B2123">
        <v>148</v>
      </c>
      <c r="C2123" t="s">
        <v>71</v>
      </c>
      <c r="D2123" t="s">
        <v>74</v>
      </c>
      <c r="E2123" t="s">
        <v>75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74</v>
      </c>
    </row>
    <row r="2124" spans="1:20" x14ac:dyDescent="0.3">
      <c r="A2124" t="s">
        <v>57</v>
      </c>
      <c r="B2124">
        <v>143</v>
      </c>
      <c r="C2124" t="s">
        <v>73</v>
      </c>
      <c r="D2124" t="s">
        <v>74</v>
      </c>
      <c r="E2124" t="s">
        <v>75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74</v>
      </c>
    </row>
    <row r="2125" spans="1:20" x14ac:dyDescent="0.3">
      <c r="A2125" t="s">
        <v>32</v>
      </c>
      <c r="B2125">
        <v>79</v>
      </c>
      <c r="C2125" t="s">
        <v>73</v>
      </c>
      <c r="D2125" t="s">
        <v>74</v>
      </c>
      <c r="E2125" t="s">
        <v>75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74</v>
      </c>
    </row>
    <row r="2126" spans="1:20" x14ac:dyDescent="0.3">
      <c r="A2126" t="s">
        <v>68</v>
      </c>
      <c r="B2126">
        <v>89</v>
      </c>
      <c r="C2126" t="s">
        <v>71</v>
      </c>
      <c r="D2126" t="s">
        <v>74</v>
      </c>
      <c r="E2126" t="s">
        <v>74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74</v>
      </c>
    </row>
    <row r="2127" spans="1:20" x14ac:dyDescent="0.3">
      <c r="A2127" t="s">
        <v>60</v>
      </c>
      <c r="B2127">
        <v>120</v>
      </c>
      <c r="C2127" t="s">
        <v>71</v>
      </c>
      <c r="D2127" t="s">
        <v>74</v>
      </c>
      <c r="E2127" t="s">
        <v>74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74</v>
      </c>
    </row>
    <row r="2128" spans="1:20" x14ac:dyDescent="0.3">
      <c r="A2128" t="s">
        <v>42</v>
      </c>
      <c r="B2128">
        <v>121</v>
      </c>
      <c r="C2128" t="s">
        <v>71</v>
      </c>
      <c r="D2128" t="s">
        <v>74</v>
      </c>
      <c r="E2128" t="s">
        <v>75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74</v>
      </c>
    </row>
    <row r="2129" spans="1:20" x14ac:dyDescent="0.3">
      <c r="A2129" t="s">
        <v>25</v>
      </c>
      <c r="B2129">
        <v>101</v>
      </c>
      <c r="C2129" t="s">
        <v>71</v>
      </c>
      <c r="D2129" t="s">
        <v>74</v>
      </c>
      <c r="E2129" t="s">
        <v>74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74</v>
      </c>
    </row>
    <row r="2130" spans="1:20" x14ac:dyDescent="0.3">
      <c r="A2130" t="s">
        <v>51</v>
      </c>
      <c r="B2130">
        <v>168</v>
      </c>
      <c r="C2130" t="s">
        <v>71</v>
      </c>
      <c r="D2130" t="s">
        <v>74</v>
      </c>
      <c r="E2130" t="s">
        <v>74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74</v>
      </c>
    </row>
    <row r="2131" spans="1:20" x14ac:dyDescent="0.3">
      <c r="A2131" t="s">
        <v>23</v>
      </c>
      <c r="B2131">
        <v>138</v>
      </c>
      <c r="C2131" t="s">
        <v>71</v>
      </c>
      <c r="D2131" t="s">
        <v>74</v>
      </c>
      <c r="E2131" t="s">
        <v>74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74</v>
      </c>
    </row>
    <row r="2132" spans="1:20" x14ac:dyDescent="0.3">
      <c r="A2132" t="s">
        <v>23</v>
      </c>
      <c r="B2132">
        <v>43</v>
      </c>
      <c r="C2132" t="s">
        <v>73</v>
      </c>
      <c r="D2132" t="s">
        <v>74</v>
      </c>
      <c r="E2132" t="s">
        <v>74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74</v>
      </c>
    </row>
    <row r="2133" spans="1:20" x14ac:dyDescent="0.3">
      <c r="A2133" t="s">
        <v>42</v>
      </c>
      <c r="B2133">
        <v>117</v>
      </c>
      <c r="C2133" t="s">
        <v>72</v>
      </c>
      <c r="D2133" t="s">
        <v>74</v>
      </c>
      <c r="E2133" t="s">
        <v>75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74</v>
      </c>
    </row>
    <row r="2134" spans="1:20" x14ac:dyDescent="0.3">
      <c r="A2134" t="s">
        <v>70</v>
      </c>
      <c r="B2134">
        <v>108</v>
      </c>
      <c r="C2134" t="s">
        <v>73</v>
      </c>
      <c r="D2134" t="s">
        <v>74</v>
      </c>
      <c r="E2134" t="s">
        <v>74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74</v>
      </c>
    </row>
    <row r="2135" spans="1:20" x14ac:dyDescent="0.3">
      <c r="A2135" t="s">
        <v>50</v>
      </c>
      <c r="B2135">
        <v>118</v>
      </c>
      <c r="C2135" t="s">
        <v>73</v>
      </c>
      <c r="D2135" t="s">
        <v>74</v>
      </c>
      <c r="E2135" t="s">
        <v>74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74</v>
      </c>
    </row>
    <row r="2136" spans="1:20" x14ac:dyDescent="0.3">
      <c r="A2136" t="s">
        <v>61</v>
      </c>
      <c r="B2136">
        <v>169</v>
      </c>
      <c r="C2136" t="s">
        <v>73</v>
      </c>
      <c r="D2136" t="s">
        <v>74</v>
      </c>
      <c r="E2136" t="s">
        <v>74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74</v>
      </c>
    </row>
    <row r="2137" spans="1:20" x14ac:dyDescent="0.3">
      <c r="A2137" t="s">
        <v>48</v>
      </c>
      <c r="B2137">
        <v>62</v>
      </c>
      <c r="C2137" t="s">
        <v>73</v>
      </c>
      <c r="D2137" t="s">
        <v>74</v>
      </c>
      <c r="E2137" t="s">
        <v>75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74</v>
      </c>
    </row>
    <row r="2138" spans="1:20" x14ac:dyDescent="0.3">
      <c r="A2138" t="s">
        <v>38</v>
      </c>
      <c r="B2138">
        <v>86</v>
      </c>
      <c r="C2138" t="s">
        <v>72</v>
      </c>
      <c r="D2138" t="s">
        <v>74</v>
      </c>
      <c r="E2138" t="s">
        <v>74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74</v>
      </c>
    </row>
    <row r="2139" spans="1:20" x14ac:dyDescent="0.3">
      <c r="A2139" t="s">
        <v>50</v>
      </c>
      <c r="B2139">
        <v>44</v>
      </c>
      <c r="C2139" t="s">
        <v>73</v>
      </c>
      <c r="D2139" t="s">
        <v>74</v>
      </c>
      <c r="E2139" t="s">
        <v>74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74</v>
      </c>
    </row>
    <row r="2140" spans="1:20" x14ac:dyDescent="0.3">
      <c r="A2140" t="s">
        <v>49</v>
      </c>
      <c r="B2140">
        <v>111</v>
      </c>
      <c r="C2140" t="s">
        <v>72</v>
      </c>
      <c r="D2140" t="s">
        <v>74</v>
      </c>
      <c r="E2140" t="s">
        <v>74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75</v>
      </c>
    </row>
    <row r="2141" spans="1:20" x14ac:dyDescent="0.3">
      <c r="A2141" t="s">
        <v>36</v>
      </c>
      <c r="B2141">
        <v>127</v>
      </c>
      <c r="C2141" t="s">
        <v>72</v>
      </c>
      <c r="D2141" t="s">
        <v>74</v>
      </c>
      <c r="E2141" t="s">
        <v>75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74</v>
      </c>
    </row>
    <row r="2142" spans="1:20" x14ac:dyDescent="0.3">
      <c r="A2142" t="s">
        <v>25</v>
      </c>
      <c r="B2142">
        <v>151</v>
      </c>
      <c r="C2142" t="s">
        <v>71</v>
      </c>
      <c r="D2142" t="s">
        <v>75</v>
      </c>
      <c r="E2142" t="s">
        <v>74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74</v>
      </c>
    </row>
    <row r="2143" spans="1:20" x14ac:dyDescent="0.3">
      <c r="A2143" t="s">
        <v>26</v>
      </c>
      <c r="B2143">
        <v>53</v>
      </c>
      <c r="C2143" t="s">
        <v>71</v>
      </c>
      <c r="D2143" t="s">
        <v>74</v>
      </c>
      <c r="E2143" t="s">
        <v>74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74</v>
      </c>
    </row>
    <row r="2144" spans="1:20" x14ac:dyDescent="0.3">
      <c r="A2144" t="s">
        <v>37</v>
      </c>
      <c r="B2144">
        <v>15</v>
      </c>
      <c r="C2144" t="s">
        <v>71</v>
      </c>
      <c r="D2144" t="s">
        <v>74</v>
      </c>
      <c r="E2144" t="s">
        <v>74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74</v>
      </c>
    </row>
    <row r="2145" spans="1:20" x14ac:dyDescent="0.3">
      <c r="A2145" t="s">
        <v>63</v>
      </c>
      <c r="B2145">
        <v>123</v>
      </c>
      <c r="C2145" t="s">
        <v>73</v>
      </c>
      <c r="D2145" t="s">
        <v>74</v>
      </c>
      <c r="E2145" t="s">
        <v>75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74</v>
      </c>
    </row>
    <row r="2146" spans="1:20" x14ac:dyDescent="0.3">
      <c r="A2146" t="s">
        <v>47</v>
      </c>
      <c r="B2146">
        <v>137</v>
      </c>
      <c r="C2146" t="s">
        <v>71</v>
      </c>
      <c r="D2146" t="s">
        <v>74</v>
      </c>
      <c r="E2146" t="s">
        <v>74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74</v>
      </c>
    </row>
    <row r="2147" spans="1:20" x14ac:dyDescent="0.3">
      <c r="A2147" t="s">
        <v>69</v>
      </c>
      <c r="B2147">
        <v>106</v>
      </c>
      <c r="C2147" t="s">
        <v>71</v>
      </c>
      <c r="D2147" t="s">
        <v>74</v>
      </c>
      <c r="E2147" t="s">
        <v>74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74</v>
      </c>
    </row>
    <row r="2148" spans="1:20" x14ac:dyDescent="0.3">
      <c r="A2148" t="s">
        <v>28</v>
      </c>
      <c r="B2148">
        <v>88</v>
      </c>
      <c r="C2148" t="s">
        <v>72</v>
      </c>
      <c r="D2148" t="s">
        <v>74</v>
      </c>
      <c r="E2148" t="s">
        <v>74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74</v>
      </c>
    </row>
    <row r="2149" spans="1:20" x14ac:dyDescent="0.3">
      <c r="A2149" t="s">
        <v>50</v>
      </c>
      <c r="B2149">
        <v>106</v>
      </c>
      <c r="C2149" t="s">
        <v>71</v>
      </c>
      <c r="D2149" t="s">
        <v>74</v>
      </c>
      <c r="E2149" t="s">
        <v>74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74</v>
      </c>
    </row>
    <row r="2150" spans="1:20" x14ac:dyDescent="0.3">
      <c r="A2150" t="s">
        <v>69</v>
      </c>
      <c r="B2150">
        <v>95</v>
      </c>
      <c r="C2150" t="s">
        <v>72</v>
      </c>
      <c r="D2150" t="s">
        <v>74</v>
      </c>
      <c r="E2150" t="s">
        <v>74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74</v>
      </c>
    </row>
    <row r="2151" spans="1:20" x14ac:dyDescent="0.3">
      <c r="A2151" t="s">
        <v>28</v>
      </c>
      <c r="B2151">
        <v>57</v>
      </c>
      <c r="C2151" t="s">
        <v>72</v>
      </c>
      <c r="D2151" t="s">
        <v>75</v>
      </c>
      <c r="E2151" t="s">
        <v>74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75</v>
      </c>
    </row>
    <row r="2152" spans="1:20" x14ac:dyDescent="0.3">
      <c r="A2152" t="s">
        <v>41</v>
      </c>
      <c r="B2152">
        <v>184</v>
      </c>
      <c r="C2152" t="s">
        <v>73</v>
      </c>
      <c r="D2152" t="s">
        <v>74</v>
      </c>
      <c r="E2152" t="s">
        <v>74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74</v>
      </c>
    </row>
    <row r="2153" spans="1:20" x14ac:dyDescent="0.3">
      <c r="A2153" t="s">
        <v>31</v>
      </c>
      <c r="B2153">
        <v>127</v>
      </c>
      <c r="C2153" t="s">
        <v>71</v>
      </c>
      <c r="D2153" t="s">
        <v>74</v>
      </c>
      <c r="E2153" t="s">
        <v>74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74</v>
      </c>
    </row>
    <row r="2154" spans="1:20" x14ac:dyDescent="0.3">
      <c r="A2154" t="s">
        <v>59</v>
      </c>
      <c r="B2154">
        <v>174</v>
      </c>
      <c r="C2154" t="s">
        <v>71</v>
      </c>
      <c r="D2154" t="s">
        <v>74</v>
      </c>
      <c r="E2154" t="s">
        <v>74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74</v>
      </c>
    </row>
    <row r="2155" spans="1:20" x14ac:dyDescent="0.3">
      <c r="A2155" t="s">
        <v>33</v>
      </c>
      <c r="B2155">
        <v>92</v>
      </c>
      <c r="C2155" t="s">
        <v>71</v>
      </c>
      <c r="D2155" t="s">
        <v>74</v>
      </c>
      <c r="E2155" t="s">
        <v>74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75</v>
      </c>
    </row>
    <row r="2156" spans="1:20" x14ac:dyDescent="0.3">
      <c r="A2156" t="s">
        <v>33</v>
      </c>
      <c r="B2156">
        <v>81</v>
      </c>
      <c r="C2156" t="s">
        <v>73</v>
      </c>
      <c r="D2156" t="s">
        <v>74</v>
      </c>
      <c r="E2156" t="s">
        <v>74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74</v>
      </c>
    </row>
    <row r="2157" spans="1:20" x14ac:dyDescent="0.3">
      <c r="A2157" t="s">
        <v>55</v>
      </c>
      <c r="B2157">
        <v>125</v>
      </c>
      <c r="C2157" t="s">
        <v>73</v>
      </c>
      <c r="D2157" t="s">
        <v>74</v>
      </c>
      <c r="E2157" t="s">
        <v>74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75</v>
      </c>
    </row>
    <row r="2158" spans="1:20" x14ac:dyDescent="0.3">
      <c r="A2158" t="s">
        <v>54</v>
      </c>
      <c r="B2158">
        <v>119</v>
      </c>
      <c r="C2158" t="s">
        <v>73</v>
      </c>
      <c r="D2158" t="s">
        <v>74</v>
      </c>
      <c r="E2158" t="s">
        <v>74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75</v>
      </c>
    </row>
    <row r="2159" spans="1:20" x14ac:dyDescent="0.3">
      <c r="A2159" t="s">
        <v>66</v>
      </c>
      <c r="B2159">
        <v>122</v>
      </c>
      <c r="C2159" t="s">
        <v>71</v>
      </c>
      <c r="D2159" t="s">
        <v>74</v>
      </c>
      <c r="E2159" t="s">
        <v>74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74</v>
      </c>
    </row>
    <row r="2160" spans="1:20" x14ac:dyDescent="0.3">
      <c r="A2160" t="s">
        <v>30</v>
      </c>
      <c r="B2160">
        <v>34</v>
      </c>
      <c r="C2160" t="s">
        <v>73</v>
      </c>
      <c r="D2160" t="s">
        <v>74</v>
      </c>
      <c r="E2160" t="s">
        <v>74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74</v>
      </c>
    </row>
    <row r="2161" spans="1:20" x14ac:dyDescent="0.3">
      <c r="A2161" t="s">
        <v>58</v>
      </c>
      <c r="B2161">
        <v>138</v>
      </c>
      <c r="C2161" t="s">
        <v>71</v>
      </c>
      <c r="D2161" t="s">
        <v>75</v>
      </c>
      <c r="E2161" t="s">
        <v>75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75</v>
      </c>
    </row>
    <row r="2162" spans="1:20" x14ac:dyDescent="0.3">
      <c r="A2162" t="s">
        <v>39</v>
      </c>
      <c r="B2162">
        <v>90</v>
      </c>
      <c r="C2162" t="s">
        <v>71</v>
      </c>
      <c r="D2162" t="s">
        <v>74</v>
      </c>
      <c r="E2162" t="s">
        <v>75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74</v>
      </c>
    </row>
    <row r="2163" spans="1:20" x14ac:dyDescent="0.3">
      <c r="A2163" t="s">
        <v>70</v>
      </c>
      <c r="B2163">
        <v>73</v>
      </c>
      <c r="C2163" t="s">
        <v>73</v>
      </c>
      <c r="D2163" t="s">
        <v>74</v>
      </c>
      <c r="E2163" t="s">
        <v>74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74</v>
      </c>
    </row>
    <row r="2164" spans="1:20" x14ac:dyDescent="0.3">
      <c r="A2164" t="s">
        <v>43</v>
      </c>
      <c r="B2164">
        <v>19</v>
      </c>
      <c r="C2164" t="s">
        <v>72</v>
      </c>
      <c r="D2164" t="s">
        <v>74</v>
      </c>
      <c r="E2164" t="s">
        <v>74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75</v>
      </c>
    </row>
    <row r="2165" spans="1:20" x14ac:dyDescent="0.3">
      <c r="A2165" t="s">
        <v>41</v>
      </c>
      <c r="B2165">
        <v>120</v>
      </c>
      <c r="C2165" t="s">
        <v>73</v>
      </c>
      <c r="D2165" t="s">
        <v>74</v>
      </c>
      <c r="E2165" t="s">
        <v>75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74</v>
      </c>
    </row>
    <row r="2166" spans="1:20" x14ac:dyDescent="0.3">
      <c r="A2166" t="s">
        <v>57</v>
      </c>
      <c r="B2166">
        <v>160</v>
      </c>
      <c r="C2166" t="s">
        <v>71</v>
      </c>
      <c r="D2166" t="s">
        <v>74</v>
      </c>
      <c r="E2166" t="s">
        <v>74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74</v>
      </c>
    </row>
    <row r="2167" spans="1:20" x14ac:dyDescent="0.3">
      <c r="A2167" t="s">
        <v>47</v>
      </c>
      <c r="B2167">
        <v>141</v>
      </c>
      <c r="C2167" t="s">
        <v>72</v>
      </c>
      <c r="D2167" t="s">
        <v>74</v>
      </c>
      <c r="E2167" t="s">
        <v>74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74</v>
      </c>
    </row>
    <row r="2168" spans="1:20" x14ac:dyDescent="0.3">
      <c r="A2168" t="s">
        <v>36</v>
      </c>
      <c r="B2168">
        <v>90</v>
      </c>
      <c r="C2168" t="s">
        <v>73</v>
      </c>
      <c r="D2168" t="s">
        <v>74</v>
      </c>
      <c r="E2168" t="s">
        <v>74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74</v>
      </c>
    </row>
    <row r="2169" spans="1:20" x14ac:dyDescent="0.3">
      <c r="A2169" t="s">
        <v>23</v>
      </c>
      <c r="B2169">
        <v>72</v>
      </c>
      <c r="C2169" t="s">
        <v>71</v>
      </c>
      <c r="D2169" t="s">
        <v>74</v>
      </c>
      <c r="E2169" t="s">
        <v>74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74</v>
      </c>
    </row>
    <row r="2170" spans="1:20" x14ac:dyDescent="0.3">
      <c r="A2170" t="s">
        <v>32</v>
      </c>
      <c r="B2170">
        <v>117</v>
      </c>
      <c r="C2170" t="s">
        <v>73</v>
      </c>
      <c r="D2170" t="s">
        <v>74</v>
      </c>
      <c r="E2170" t="s">
        <v>75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74</v>
      </c>
    </row>
    <row r="2171" spans="1:20" x14ac:dyDescent="0.3">
      <c r="A2171" t="s">
        <v>62</v>
      </c>
      <c r="B2171">
        <v>87</v>
      </c>
      <c r="C2171" t="s">
        <v>73</v>
      </c>
      <c r="D2171" t="s">
        <v>74</v>
      </c>
      <c r="E2171" t="s">
        <v>74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74</v>
      </c>
    </row>
    <row r="2172" spans="1:20" x14ac:dyDescent="0.3">
      <c r="A2172" t="s">
        <v>66</v>
      </c>
      <c r="B2172">
        <v>190</v>
      </c>
      <c r="C2172" t="s">
        <v>73</v>
      </c>
      <c r="D2172" t="s">
        <v>74</v>
      </c>
      <c r="E2172" t="s">
        <v>74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74</v>
      </c>
    </row>
    <row r="2173" spans="1:20" x14ac:dyDescent="0.3">
      <c r="A2173" t="s">
        <v>69</v>
      </c>
      <c r="B2173">
        <v>120</v>
      </c>
      <c r="C2173" t="s">
        <v>71</v>
      </c>
      <c r="D2173" t="s">
        <v>74</v>
      </c>
      <c r="E2173" t="s">
        <v>74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74</v>
      </c>
    </row>
    <row r="2174" spans="1:20" x14ac:dyDescent="0.3">
      <c r="A2174" t="s">
        <v>63</v>
      </c>
      <c r="B2174">
        <v>115</v>
      </c>
      <c r="C2174" t="s">
        <v>72</v>
      </c>
      <c r="D2174" t="s">
        <v>74</v>
      </c>
      <c r="E2174" t="s">
        <v>75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74</v>
      </c>
    </row>
    <row r="2175" spans="1:20" x14ac:dyDescent="0.3">
      <c r="A2175" t="s">
        <v>32</v>
      </c>
      <c r="B2175">
        <v>61</v>
      </c>
      <c r="C2175" t="s">
        <v>71</v>
      </c>
      <c r="D2175" t="s">
        <v>74</v>
      </c>
      <c r="E2175" t="s">
        <v>74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74</v>
      </c>
    </row>
    <row r="2176" spans="1:20" x14ac:dyDescent="0.3">
      <c r="A2176" t="s">
        <v>22</v>
      </c>
      <c r="B2176">
        <v>143</v>
      </c>
      <c r="C2176" t="s">
        <v>72</v>
      </c>
      <c r="D2176" t="s">
        <v>74</v>
      </c>
      <c r="E2176" t="s">
        <v>75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74</v>
      </c>
    </row>
    <row r="2177" spans="1:20" x14ac:dyDescent="0.3">
      <c r="A2177" t="s">
        <v>20</v>
      </c>
      <c r="B2177">
        <v>110</v>
      </c>
      <c r="C2177" t="s">
        <v>72</v>
      </c>
      <c r="D2177" t="s">
        <v>74</v>
      </c>
      <c r="E2177" t="s">
        <v>74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74</v>
      </c>
    </row>
    <row r="2178" spans="1:20" x14ac:dyDescent="0.3">
      <c r="A2178" t="s">
        <v>64</v>
      </c>
      <c r="B2178">
        <v>104</v>
      </c>
      <c r="C2178" t="s">
        <v>71</v>
      </c>
      <c r="D2178" t="s">
        <v>74</v>
      </c>
      <c r="E2178" t="s">
        <v>74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74</v>
      </c>
    </row>
    <row r="2179" spans="1:20" x14ac:dyDescent="0.3">
      <c r="A2179" t="s">
        <v>57</v>
      </c>
      <c r="B2179">
        <v>16</v>
      </c>
      <c r="C2179" t="s">
        <v>72</v>
      </c>
      <c r="D2179" t="s">
        <v>74</v>
      </c>
      <c r="E2179" t="s">
        <v>74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74</v>
      </c>
    </row>
    <row r="2180" spans="1:20" x14ac:dyDescent="0.3">
      <c r="A2180" t="s">
        <v>25</v>
      </c>
      <c r="B2180">
        <v>183</v>
      </c>
      <c r="C2180" t="s">
        <v>72</v>
      </c>
      <c r="D2180" t="s">
        <v>74</v>
      </c>
      <c r="E2180" t="s">
        <v>74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74</v>
      </c>
    </row>
    <row r="2181" spans="1:20" x14ac:dyDescent="0.3">
      <c r="A2181" t="s">
        <v>70</v>
      </c>
      <c r="B2181">
        <v>58</v>
      </c>
      <c r="C2181" t="s">
        <v>71</v>
      </c>
      <c r="D2181" t="s">
        <v>74</v>
      </c>
      <c r="E2181" t="s">
        <v>74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75</v>
      </c>
    </row>
    <row r="2182" spans="1:20" x14ac:dyDescent="0.3">
      <c r="A2182" t="s">
        <v>53</v>
      </c>
      <c r="B2182">
        <v>102</v>
      </c>
      <c r="C2182" t="s">
        <v>72</v>
      </c>
      <c r="D2182" t="s">
        <v>75</v>
      </c>
      <c r="E2182" t="s">
        <v>74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74</v>
      </c>
    </row>
    <row r="2183" spans="1:20" x14ac:dyDescent="0.3">
      <c r="A2183" t="s">
        <v>22</v>
      </c>
      <c r="B2183">
        <v>64</v>
      </c>
      <c r="C2183" t="s">
        <v>71</v>
      </c>
      <c r="D2183" t="s">
        <v>74</v>
      </c>
      <c r="E2183" t="s">
        <v>75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74</v>
      </c>
    </row>
    <row r="2184" spans="1:20" x14ac:dyDescent="0.3">
      <c r="A2184" t="s">
        <v>35</v>
      </c>
      <c r="B2184">
        <v>103</v>
      </c>
      <c r="C2184" t="s">
        <v>72</v>
      </c>
      <c r="D2184" t="s">
        <v>74</v>
      </c>
      <c r="E2184" t="s">
        <v>74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74</v>
      </c>
    </row>
    <row r="2185" spans="1:20" x14ac:dyDescent="0.3">
      <c r="A2185" t="s">
        <v>32</v>
      </c>
      <c r="B2185">
        <v>152</v>
      </c>
      <c r="C2185" t="s">
        <v>71</v>
      </c>
      <c r="D2185" t="s">
        <v>74</v>
      </c>
      <c r="E2185" t="s">
        <v>74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75</v>
      </c>
    </row>
    <row r="2186" spans="1:20" x14ac:dyDescent="0.3">
      <c r="A2186" t="s">
        <v>65</v>
      </c>
      <c r="B2186">
        <v>124</v>
      </c>
      <c r="C2186" t="s">
        <v>71</v>
      </c>
      <c r="D2186" t="s">
        <v>74</v>
      </c>
      <c r="E2186" t="s">
        <v>74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75</v>
      </c>
    </row>
    <row r="2187" spans="1:20" x14ac:dyDescent="0.3">
      <c r="A2187" t="s">
        <v>53</v>
      </c>
      <c r="B2187">
        <v>131</v>
      </c>
      <c r="C2187" t="s">
        <v>71</v>
      </c>
      <c r="D2187" t="s">
        <v>74</v>
      </c>
      <c r="E2187" t="s">
        <v>74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75</v>
      </c>
    </row>
    <row r="2188" spans="1:20" x14ac:dyDescent="0.3">
      <c r="A2188" t="s">
        <v>59</v>
      </c>
      <c r="B2188">
        <v>57</v>
      </c>
      <c r="C2188" t="s">
        <v>71</v>
      </c>
      <c r="D2188" t="s">
        <v>74</v>
      </c>
      <c r="E2188" t="s">
        <v>75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74</v>
      </c>
    </row>
    <row r="2189" spans="1:20" x14ac:dyDescent="0.3">
      <c r="A2189" t="s">
        <v>32</v>
      </c>
      <c r="B2189">
        <v>157</v>
      </c>
      <c r="C2189" t="s">
        <v>72</v>
      </c>
      <c r="D2189" t="s">
        <v>74</v>
      </c>
      <c r="E2189" t="s">
        <v>74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74</v>
      </c>
    </row>
    <row r="2190" spans="1:20" x14ac:dyDescent="0.3">
      <c r="A2190" t="s">
        <v>27</v>
      </c>
      <c r="B2190">
        <v>194</v>
      </c>
      <c r="C2190" t="s">
        <v>72</v>
      </c>
      <c r="D2190" t="s">
        <v>74</v>
      </c>
      <c r="E2190" t="s">
        <v>74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74</v>
      </c>
    </row>
    <row r="2191" spans="1:20" x14ac:dyDescent="0.3">
      <c r="A2191" t="s">
        <v>63</v>
      </c>
      <c r="B2191">
        <v>66</v>
      </c>
      <c r="C2191" t="s">
        <v>71</v>
      </c>
      <c r="D2191" t="s">
        <v>74</v>
      </c>
      <c r="E2191" t="s">
        <v>74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74</v>
      </c>
    </row>
    <row r="2192" spans="1:20" x14ac:dyDescent="0.3">
      <c r="A2192" t="s">
        <v>27</v>
      </c>
      <c r="B2192">
        <v>155</v>
      </c>
      <c r="C2192" t="s">
        <v>72</v>
      </c>
      <c r="D2192" t="s">
        <v>74</v>
      </c>
      <c r="E2192" t="s">
        <v>74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74</v>
      </c>
    </row>
    <row r="2193" spans="1:20" x14ac:dyDescent="0.3">
      <c r="A2193" t="s">
        <v>44</v>
      </c>
      <c r="B2193">
        <v>116</v>
      </c>
      <c r="C2193" t="s">
        <v>72</v>
      </c>
      <c r="D2193" t="s">
        <v>74</v>
      </c>
      <c r="E2193" t="s">
        <v>74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74</v>
      </c>
    </row>
    <row r="2194" spans="1:20" x14ac:dyDescent="0.3">
      <c r="A2194" t="s">
        <v>27</v>
      </c>
      <c r="B2194">
        <v>64</v>
      </c>
      <c r="C2194" t="s">
        <v>72</v>
      </c>
      <c r="D2194" t="s">
        <v>74</v>
      </c>
      <c r="E2194" t="s">
        <v>74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74</v>
      </c>
    </row>
    <row r="2195" spans="1:20" x14ac:dyDescent="0.3">
      <c r="A2195" t="s">
        <v>28</v>
      </c>
      <c r="B2195">
        <v>96</v>
      </c>
      <c r="C2195" t="s">
        <v>72</v>
      </c>
      <c r="D2195" t="s">
        <v>74</v>
      </c>
      <c r="E2195" t="s">
        <v>74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74</v>
      </c>
    </row>
    <row r="2196" spans="1:20" x14ac:dyDescent="0.3">
      <c r="A2196" t="s">
        <v>32</v>
      </c>
      <c r="B2196">
        <v>53</v>
      </c>
      <c r="C2196" t="s">
        <v>71</v>
      </c>
      <c r="D2196" t="s">
        <v>74</v>
      </c>
      <c r="E2196" t="s">
        <v>74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74</v>
      </c>
    </row>
    <row r="2197" spans="1:20" x14ac:dyDescent="0.3">
      <c r="A2197" t="s">
        <v>59</v>
      </c>
      <c r="B2197">
        <v>105</v>
      </c>
      <c r="C2197" t="s">
        <v>72</v>
      </c>
      <c r="D2197" t="s">
        <v>74</v>
      </c>
      <c r="E2197" t="s">
        <v>74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74</v>
      </c>
    </row>
    <row r="2198" spans="1:20" x14ac:dyDescent="0.3">
      <c r="A2198" t="s">
        <v>40</v>
      </c>
      <c r="B2198">
        <v>53</v>
      </c>
      <c r="C2198" t="s">
        <v>72</v>
      </c>
      <c r="D2198" t="s">
        <v>74</v>
      </c>
      <c r="E2198" t="s">
        <v>75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74</v>
      </c>
    </row>
    <row r="2199" spans="1:20" x14ac:dyDescent="0.3">
      <c r="A2199" t="s">
        <v>57</v>
      </c>
      <c r="B2199">
        <v>101</v>
      </c>
      <c r="C2199" t="s">
        <v>71</v>
      </c>
      <c r="D2199" t="s">
        <v>74</v>
      </c>
      <c r="E2199" t="s">
        <v>74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74</v>
      </c>
    </row>
    <row r="2200" spans="1:20" x14ac:dyDescent="0.3">
      <c r="A2200" t="s">
        <v>24</v>
      </c>
      <c r="B2200">
        <v>129</v>
      </c>
      <c r="C2200" t="s">
        <v>72</v>
      </c>
      <c r="D2200" t="s">
        <v>74</v>
      </c>
      <c r="E2200" t="s">
        <v>75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74</v>
      </c>
    </row>
    <row r="2201" spans="1:20" x14ac:dyDescent="0.3">
      <c r="A2201" t="s">
        <v>64</v>
      </c>
      <c r="B2201">
        <v>122</v>
      </c>
      <c r="C2201" t="s">
        <v>73</v>
      </c>
      <c r="D2201" t="s">
        <v>74</v>
      </c>
      <c r="E2201" t="s">
        <v>74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75</v>
      </c>
    </row>
    <row r="2202" spans="1:20" x14ac:dyDescent="0.3">
      <c r="A2202" t="s">
        <v>50</v>
      </c>
      <c r="B2202">
        <v>163</v>
      </c>
      <c r="C2202" t="s">
        <v>71</v>
      </c>
      <c r="D2202" t="s">
        <v>74</v>
      </c>
      <c r="E2202" t="s">
        <v>74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74</v>
      </c>
    </row>
    <row r="2203" spans="1:20" x14ac:dyDescent="0.3">
      <c r="A2203" t="s">
        <v>23</v>
      </c>
      <c r="B2203">
        <v>93</v>
      </c>
      <c r="C2203" t="s">
        <v>73</v>
      </c>
      <c r="D2203" t="s">
        <v>74</v>
      </c>
      <c r="E2203" t="s">
        <v>74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74</v>
      </c>
    </row>
    <row r="2204" spans="1:20" x14ac:dyDescent="0.3">
      <c r="A2204" t="s">
        <v>61</v>
      </c>
      <c r="B2204">
        <v>115</v>
      </c>
      <c r="C2204" t="s">
        <v>72</v>
      </c>
      <c r="D2204" t="s">
        <v>75</v>
      </c>
      <c r="E2204" t="s">
        <v>74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75</v>
      </c>
    </row>
    <row r="2205" spans="1:20" x14ac:dyDescent="0.3">
      <c r="A2205" t="s">
        <v>21</v>
      </c>
      <c r="B2205">
        <v>25</v>
      </c>
      <c r="C2205" t="s">
        <v>73</v>
      </c>
      <c r="D2205" t="s">
        <v>74</v>
      </c>
      <c r="E2205" t="s">
        <v>74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75</v>
      </c>
    </row>
    <row r="2206" spans="1:20" x14ac:dyDescent="0.3">
      <c r="A2206" t="s">
        <v>63</v>
      </c>
      <c r="B2206">
        <v>73</v>
      </c>
      <c r="C2206" t="s">
        <v>73</v>
      </c>
      <c r="D2206" t="s">
        <v>74</v>
      </c>
      <c r="E2206" t="s">
        <v>74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74</v>
      </c>
    </row>
    <row r="2207" spans="1:20" x14ac:dyDescent="0.3">
      <c r="A2207" t="s">
        <v>64</v>
      </c>
      <c r="B2207">
        <v>120</v>
      </c>
      <c r="C2207" t="s">
        <v>71</v>
      </c>
      <c r="D2207" t="s">
        <v>74</v>
      </c>
      <c r="E2207" t="s">
        <v>74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74</v>
      </c>
    </row>
    <row r="2208" spans="1:20" x14ac:dyDescent="0.3">
      <c r="A2208" t="s">
        <v>69</v>
      </c>
      <c r="B2208">
        <v>196</v>
      </c>
      <c r="C2208" t="s">
        <v>71</v>
      </c>
      <c r="D2208" t="s">
        <v>74</v>
      </c>
      <c r="E2208" t="s">
        <v>74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74</v>
      </c>
    </row>
    <row r="2209" spans="1:20" x14ac:dyDescent="0.3">
      <c r="A2209" t="s">
        <v>45</v>
      </c>
      <c r="B2209">
        <v>97</v>
      </c>
      <c r="C2209" t="s">
        <v>72</v>
      </c>
      <c r="D2209" t="s">
        <v>74</v>
      </c>
      <c r="E2209" t="s">
        <v>74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75</v>
      </c>
    </row>
    <row r="2210" spans="1:20" x14ac:dyDescent="0.3">
      <c r="A2210" t="s">
        <v>38</v>
      </c>
      <c r="B2210">
        <v>148</v>
      </c>
      <c r="C2210" t="s">
        <v>73</v>
      </c>
      <c r="D2210" t="s">
        <v>74</v>
      </c>
      <c r="E2210" t="s">
        <v>74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74</v>
      </c>
    </row>
    <row r="2211" spans="1:20" x14ac:dyDescent="0.3">
      <c r="A2211" t="s">
        <v>21</v>
      </c>
      <c r="B2211">
        <v>85</v>
      </c>
      <c r="C2211" t="s">
        <v>73</v>
      </c>
      <c r="D2211" t="s">
        <v>74</v>
      </c>
      <c r="E2211" t="s">
        <v>75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74</v>
      </c>
    </row>
    <row r="2212" spans="1:20" x14ac:dyDescent="0.3">
      <c r="A2212" t="s">
        <v>44</v>
      </c>
      <c r="B2212">
        <v>86</v>
      </c>
      <c r="C2212" t="s">
        <v>72</v>
      </c>
      <c r="D2212" t="s">
        <v>75</v>
      </c>
      <c r="E2212" t="s">
        <v>74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75</v>
      </c>
    </row>
    <row r="2213" spans="1:20" x14ac:dyDescent="0.3">
      <c r="A2213" t="s">
        <v>24</v>
      </c>
      <c r="B2213">
        <v>147</v>
      </c>
      <c r="C2213" t="s">
        <v>71</v>
      </c>
      <c r="D2213" t="s">
        <v>74</v>
      </c>
      <c r="E2213" t="s">
        <v>75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74</v>
      </c>
    </row>
    <row r="2214" spans="1:20" x14ac:dyDescent="0.3">
      <c r="A2214" t="s">
        <v>25</v>
      </c>
      <c r="B2214">
        <v>91</v>
      </c>
      <c r="C2214" t="s">
        <v>71</v>
      </c>
      <c r="D2214" t="s">
        <v>74</v>
      </c>
      <c r="E2214" t="s">
        <v>74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74</v>
      </c>
    </row>
    <row r="2215" spans="1:20" x14ac:dyDescent="0.3">
      <c r="A2215" t="s">
        <v>51</v>
      </c>
      <c r="B2215">
        <v>81</v>
      </c>
      <c r="C2215" t="s">
        <v>73</v>
      </c>
      <c r="D2215" t="s">
        <v>74</v>
      </c>
      <c r="E2215" t="s">
        <v>75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74</v>
      </c>
    </row>
    <row r="2216" spans="1:20" x14ac:dyDescent="0.3">
      <c r="A2216" t="s">
        <v>42</v>
      </c>
      <c r="B2216">
        <v>116</v>
      </c>
      <c r="C2216" t="s">
        <v>71</v>
      </c>
      <c r="D2216" t="s">
        <v>74</v>
      </c>
      <c r="E2216" t="s">
        <v>75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74</v>
      </c>
    </row>
    <row r="2217" spans="1:20" x14ac:dyDescent="0.3">
      <c r="A2217" t="s">
        <v>26</v>
      </c>
      <c r="B2217">
        <v>69</v>
      </c>
      <c r="C2217" t="s">
        <v>71</v>
      </c>
      <c r="D2217" t="s">
        <v>74</v>
      </c>
      <c r="E2217" t="s">
        <v>75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74</v>
      </c>
    </row>
    <row r="2218" spans="1:20" x14ac:dyDescent="0.3">
      <c r="A2218" t="s">
        <v>29</v>
      </c>
      <c r="B2218">
        <v>135</v>
      </c>
      <c r="C2218" t="s">
        <v>72</v>
      </c>
      <c r="D2218" t="s">
        <v>74</v>
      </c>
      <c r="E2218" t="s">
        <v>74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74</v>
      </c>
    </row>
    <row r="2219" spans="1:20" x14ac:dyDescent="0.3">
      <c r="A2219" t="s">
        <v>70</v>
      </c>
      <c r="B2219">
        <v>73</v>
      </c>
      <c r="C2219" t="s">
        <v>72</v>
      </c>
      <c r="D2219" t="s">
        <v>74</v>
      </c>
      <c r="E2219" t="s">
        <v>74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74</v>
      </c>
    </row>
    <row r="2220" spans="1:20" x14ac:dyDescent="0.3">
      <c r="A2220" t="s">
        <v>46</v>
      </c>
      <c r="B2220">
        <v>125</v>
      </c>
      <c r="C2220" t="s">
        <v>71</v>
      </c>
      <c r="D2220" t="s">
        <v>75</v>
      </c>
      <c r="E2220" t="s">
        <v>74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75</v>
      </c>
    </row>
    <row r="2221" spans="1:20" x14ac:dyDescent="0.3">
      <c r="A2221" t="s">
        <v>58</v>
      </c>
      <c r="B2221">
        <v>165</v>
      </c>
      <c r="C2221" t="s">
        <v>71</v>
      </c>
      <c r="D2221" t="s">
        <v>74</v>
      </c>
      <c r="E2221" t="s">
        <v>75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74</v>
      </c>
    </row>
    <row r="2222" spans="1:20" x14ac:dyDescent="0.3">
      <c r="A2222" t="s">
        <v>56</v>
      </c>
      <c r="B2222">
        <v>64</v>
      </c>
      <c r="C2222" t="s">
        <v>71</v>
      </c>
      <c r="D2222" t="s">
        <v>74</v>
      </c>
      <c r="E2222" t="s">
        <v>74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74</v>
      </c>
    </row>
    <row r="2223" spans="1:20" x14ac:dyDescent="0.3">
      <c r="A2223" t="s">
        <v>49</v>
      </c>
      <c r="B2223">
        <v>116</v>
      </c>
      <c r="C2223" t="s">
        <v>72</v>
      </c>
      <c r="D2223" t="s">
        <v>75</v>
      </c>
      <c r="E2223" t="s">
        <v>75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74</v>
      </c>
    </row>
    <row r="2224" spans="1:20" x14ac:dyDescent="0.3">
      <c r="A2224" t="s">
        <v>37</v>
      </c>
      <c r="B2224">
        <v>84</v>
      </c>
      <c r="C2224" t="s">
        <v>71</v>
      </c>
      <c r="D2224" t="s">
        <v>74</v>
      </c>
      <c r="E2224" t="s">
        <v>75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74</v>
      </c>
    </row>
    <row r="2225" spans="1:20" x14ac:dyDescent="0.3">
      <c r="A2225" t="s">
        <v>42</v>
      </c>
      <c r="B2225">
        <v>134</v>
      </c>
      <c r="C2225" t="s">
        <v>71</v>
      </c>
      <c r="D2225" t="s">
        <v>74</v>
      </c>
      <c r="E2225" t="s">
        <v>74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74</v>
      </c>
    </row>
    <row r="2226" spans="1:20" x14ac:dyDescent="0.3">
      <c r="A2226" t="s">
        <v>40</v>
      </c>
      <c r="B2226">
        <v>105</v>
      </c>
      <c r="C2226" t="s">
        <v>71</v>
      </c>
      <c r="D2226" t="s">
        <v>74</v>
      </c>
      <c r="E2226" t="s">
        <v>74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75</v>
      </c>
    </row>
    <row r="2227" spans="1:20" x14ac:dyDescent="0.3">
      <c r="A2227" t="s">
        <v>62</v>
      </c>
      <c r="B2227">
        <v>88</v>
      </c>
      <c r="C2227" t="s">
        <v>73</v>
      </c>
      <c r="D2227" t="s">
        <v>74</v>
      </c>
      <c r="E2227" t="s">
        <v>74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74</v>
      </c>
    </row>
    <row r="2228" spans="1:20" x14ac:dyDescent="0.3">
      <c r="A2228" t="s">
        <v>34</v>
      </c>
      <c r="B2228">
        <v>90</v>
      </c>
      <c r="C2228" t="s">
        <v>73</v>
      </c>
      <c r="D2228" t="s">
        <v>74</v>
      </c>
      <c r="E2228" t="s">
        <v>75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74</v>
      </c>
    </row>
    <row r="2229" spans="1:20" x14ac:dyDescent="0.3">
      <c r="A2229" t="s">
        <v>35</v>
      </c>
      <c r="B2229">
        <v>86</v>
      </c>
      <c r="C2229" t="s">
        <v>73</v>
      </c>
      <c r="D2229" t="s">
        <v>74</v>
      </c>
      <c r="E2229" t="s">
        <v>74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74</v>
      </c>
    </row>
    <row r="2230" spans="1:20" x14ac:dyDescent="0.3">
      <c r="A2230" t="s">
        <v>69</v>
      </c>
      <c r="B2230">
        <v>37</v>
      </c>
      <c r="C2230" t="s">
        <v>71</v>
      </c>
      <c r="D2230" t="s">
        <v>74</v>
      </c>
      <c r="E2230" t="s">
        <v>74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74</v>
      </c>
    </row>
    <row r="2231" spans="1:20" x14ac:dyDescent="0.3">
      <c r="A2231" t="s">
        <v>52</v>
      </c>
      <c r="B2231">
        <v>148</v>
      </c>
      <c r="C2231" t="s">
        <v>73</v>
      </c>
      <c r="D2231" t="s">
        <v>74</v>
      </c>
      <c r="E2231" t="s">
        <v>74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74</v>
      </c>
    </row>
    <row r="2232" spans="1:20" x14ac:dyDescent="0.3">
      <c r="A2232" t="s">
        <v>55</v>
      </c>
      <c r="B2232">
        <v>63</v>
      </c>
      <c r="C2232" t="s">
        <v>71</v>
      </c>
      <c r="D2232" t="s">
        <v>74</v>
      </c>
      <c r="E2232" t="s">
        <v>74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74</v>
      </c>
    </row>
    <row r="2233" spans="1:20" x14ac:dyDescent="0.3">
      <c r="A2233" t="s">
        <v>21</v>
      </c>
      <c r="B2233">
        <v>102</v>
      </c>
      <c r="C2233" t="s">
        <v>71</v>
      </c>
      <c r="D2233" t="s">
        <v>74</v>
      </c>
      <c r="E2233" t="s">
        <v>74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74</v>
      </c>
    </row>
    <row r="2234" spans="1:20" x14ac:dyDescent="0.3">
      <c r="A2234" t="s">
        <v>66</v>
      </c>
      <c r="B2234">
        <v>76</v>
      </c>
      <c r="C2234" t="s">
        <v>72</v>
      </c>
      <c r="D2234" t="s">
        <v>74</v>
      </c>
      <c r="E2234" t="s">
        <v>74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74</v>
      </c>
    </row>
    <row r="2235" spans="1:20" x14ac:dyDescent="0.3">
      <c r="A2235" t="s">
        <v>56</v>
      </c>
      <c r="B2235">
        <v>104</v>
      </c>
      <c r="C2235" t="s">
        <v>73</v>
      </c>
      <c r="D2235" t="s">
        <v>74</v>
      </c>
      <c r="E2235" t="s">
        <v>74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74</v>
      </c>
    </row>
    <row r="2236" spans="1:20" x14ac:dyDescent="0.3">
      <c r="A2236" t="s">
        <v>57</v>
      </c>
      <c r="B2236">
        <v>109</v>
      </c>
      <c r="C2236" t="s">
        <v>72</v>
      </c>
      <c r="D2236" t="s">
        <v>74</v>
      </c>
      <c r="E2236" t="s">
        <v>74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74</v>
      </c>
    </row>
    <row r="2237" spans="1:20" x14ac:dyDescent="0.3">
      <c r="A2237" t="s">
        <v>67</v>
      </c>
      <c r="B2237">
        <v>105</v>
      </c>
      <c r="C2237" t="s">
        <v>72</v>
      </c>
      <c r="D2237" t="s">
        <v>74</v>
      </c>
      <c r="E2237" t="s">
        <v>74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74</v>
      </c>
    </row>
    <row r="2238" spans="1:20" x14ac:dyDescent="0.3">
      <c r="A2238" t="s">
        <v>57</v>
      </c>
      <c r="B2238">
        <v>63</v>
      </c>
      <c r="C2238" t="s">
        <v>71</v>
      </c>
      <c r="D2238" t="s">
        <v>74</v>
      </c>
      <c r="E2238" t="s">
        <v>75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74</v>
      </c>
    </row>
    <row r="2239" spans="1:20" x14ac:dyDescent="0.3">
      <c r="A2239" t="s">
        <v>70</v>
      </c>
      <c r="B2239">
        <v>105</v>
      </c>
      <c r="C2239" t="s">
        <v>71</v>
      </c>
      <c r="D2239" t="s">
        <v>74</v>
      </c>
      <c r="E2239" t="s">
        <v>75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74</v>
      </c>
    </row>
    <row r="2240" spans="1:20" x14ac:dyDescent="0.3">
      <c r="A2240" t="s">
        <v>63</v>
      </c>
      <c r="B2240">
        <v>68</v>
      </c>
      <c r="C2240" t="s">
        <v>71</v>
      </c>
      <c r="D2240" t="s">
        <v>75</v>
      </c>
      <c r="E2240" t="s">
        <v>75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74</v>
      </c>
    </row>
    <row r="2241" spans="1:20" x14ac:dyDescent="0.3">
      <c r="A2241" t="s">
        <v>33</v>
      </c>
      <c r="B2241">
        <v>63</v>
      </c>
      <c r="C2241" t="s">
        <v>73</v>
      </c>
      <c r="D2241" t="s">
        <v>75</v>
      </c>
      <c r="E2241" t="s">
        <v>75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74</v>
      </c>
    </row>
    <row r="2242" spans="1:20" x14ac:dyDescent="0.3">
      <c r="A2242" t="s">
        <v>40</v>
      </c>
      <c r="B2242">
        <v>74</v>
      </c>
      <c r="C2242" t="s">
        <v>71</v>
      </c>
      <c r="D2242" t="s">
        <v>74</v>
      </c>
      <c r="E2242" t="s">
        <v>74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74</v>
      </c>
    </row>
    <row r="2243" spans="1:20" x14ac:dyDescent="0.3">
      <c r="A2243" t="s">
        <v>66</v>
      </c>
      <c r="B2243">
        <v>101</v>
      </c>
      <c r="C2243" t="s">
        <v>71</v>
      </c>
      <c r="D2243" t="s">
        <v>74</v>
      </c>
      <c r="E2243" t="s">
        <v>74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74</v>
      </c>
    </row>
    <row r="2244" spans="1:20" x14ac:dyDescent="0.3">
      <c r="A2244" t="s">
        <v>43</v>
      </c>
      <c r="B2244">
        <v>116</v>
      </c>
      <c r="C2244" t="s">
        <v>73</v>
      </c>
      <c r="D2244" t="s">
        <v>74</v>
      </c>
      <c r="E2244" t="s">
        <v>74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75</v>
      </c>
    </row>
    <row r="2245" spans="1:20" x14ac:dyDescent="0.3">
      <c r="A2245" t="s">
        <v>33</v>
      </c>
      <c r="B2245">
        <v>131</v>
      </c>
      <c r="C2245" t="s">
        <v>71</v>
      </c>
      <c r="D2245" t="s">
        <v>74</v>
      </c>
      <c r="E2245" t="s">
        <v>75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74</v>
      </c>
    </row>
    <row r="2246" spans="1:20" x14ac:dyDescent="0.3">
      <c r="A2246" t="s">
        <v>32</v>
      </c>
      <c r="B2246">
        <v>84</v>
      </c>
      <c r="C2246" t="s">
        <v>71</v>
      </c>
      <c r="D2246" t="s">
        <v>74</v>
      </c>
      <c r="E2246" t="s">
        <v>74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74</v>
      </c>
    </row>
    <row r="2247" spans="1:20" x14ac:dyDescent="0.3">
      <c r="A2247" t="s">
        <v>30</v>
      </c>
      <c r="B2247">
        <v>104</v>
      </c>
      <c r="C2247" t="s">
        <v>71</v>
      </c>
      <c r="D2247" t="s">
        <v>74</v>
      </c>
      <c r="E2247" t="s">
        <v>74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74</v>
      </c>
    </row>
    <row r="2248" spans="1:20" x14ac:dyDescent="0.3">
      <c r="A2248" t="s">
        <v>39</v>
      </c>
      <c r="B2248">
        <v>108</v>
      </c>
      <c r="C2248" t="s">
        <v>72</v>
      </c>
      <c r="D2248" t="s">
        <v>74</v>
      </c>
      <c r="E2248" t="s">
        <v>74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74</v>
      </c>
    </row>
    <row r="2249" spans="1:20" x14ac:dyDescent="0.3">
      <c r="A2249" t="s">
        <v>38</v>
      </c>
      <c r="B2249">
        <v>111</v>
      </c>
      <c r="C2249" t="s">
        <v>71</v>
      </c>
      <c r="D2249" t="s">
        <v>74</v>
      </c>
      <c r="E2249" t="s">
        <v>74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74</v>
      </c>
    </row>
    <row r="2250" spans="1:20" x14ac:dyDescent="0.3">
      <c r="A2250" t="s">
        <v>44</v>
      </c>
      <c r="B2250">
        <v>155</v>
      </c>
      <c r="C2250" t="s">
        <v>73</v>
      </c>
      <c r="D2250" t="s">
        <v>74</v>
      </c>
      <c r="E2250" t="s">
        <v>75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74</v>
      </c>
    </row>
    <row r="2251" spans="1:20" x14ac:dyDescent="0.3">
      <c r="A2251" t="s">
        <v>59</v>
      </c>
      <c r="B2251">
        <v>66</v>
      </c>
      <c r="C2251" t="s">
        <v>72</v>
      </c>
      <c r="D2251" t="s">
        <v>74</v>
      </c>
      <c r="E2251" t="s">
        <v>74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74</v>
      </c>
    </row>
    <row r="2252" spans="1:20" x14ac:dyDescent="0.3">
      <c r="A2252" t="s">
        <v>24</v>
      </c>
      <c r="B2252">
        <v>64</v>
      </c>
      <c r="C2252" t="s">
        <v>72</v>
      </c>
      <c r="D2252" t="s">
        <v>74</v>
      </c>
      <c r="E2252" t="s">
        <v>74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74</v>
      </c>
    </row>
    <row r="2253" spans="1:20" x14ac:dyDescent="0.3">
      <c r="A2253" t="s">
        <v>54</v>
      </c>
      <c r="B2253">
        <v>116</v>
      </c>
      <c r="C2253" t="s">
        <v>71</v>
      </c>
      <c r="D2253" t="s">
        <v>74</v>
      </c>
      <c r="E2253" t="s">
        <v>74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74</v>
      </c>
    </row>
    <row r="2254" spans="1:20" x14ac:dyDescent="0.3">
      <c r="A2254" t="s">
        <v>63</v>
      </c>
      <c r="B2254">
        <v>101</v>
      </c>
      <c r="C2254" t="s">
        <v>71</v>
      </c>
      <c r="D2254" t="s">
        <v>74</v>
      </c>
      <c r="E2254" t="s">
        <v>74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74</v>
      </c>
    </row>
    <row r="2255" spans="1:20" x14ac:dyDescent="0.3">
      <c r="A2255" t="s">
        <v>44</v>
      </c>
      <c r="B2255">
        <v>15</v>
      </c>
      <c r="C2255" t="s">
        <v>71</v>
      </c>
      <c r="D2255" t="s">
        <v>74</v>
      </c>
      <c r="E2255" t="s">
        <v>74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74</v>
      </c>
    </row>
    <row r="2256" spans="1:20" x14ac:dyDescent="0.3">
      <c r="A2256" t="s">
        <v>28</v>
      </c>
      <c r="B2256">
        <v>88</v>
      </c>
      <c r="C2256" t="s">
        <v>71</v>
      </c>
      <c r="D2256" t="s">
        <v>74</v>
      </c>
      <c r="E2256" t="s">
        <v>74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75</v>
      </c>
    </row>
    <row r="2257" spans="1:20" x14ac:dyDescent="0.3">
      <c r="A2257" t="s">
        <v>22</v>
      </c>
      <c r="B2257">
        <v>197</v>
      </c>
      <c r="C2257" t="s">
        <v>71</v>
      </c>
      <c r="D2257" t="s">
        <v>74</v>
      </c>
      <c r="E2257" t="s">
        <v>74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74</v>
      </c>
    </row>
    <row r="2258" spans="1:20" x14ac:dyDescent="0.3">
      <c r="A2258" t="s">
        <v>50</v>
      </c>
      <c r="B2258">
        <v>50</v>
      </c>
      <c r="C2258" t="s">
        <v>71</v>
      </c>
      <c r="D2258" t="s">
        <v>75</v>
      </c>
      <c r="E2258" t="s">
        <v>74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75</v>
      </c>
    </row>
    <row r="2259" spans="1:20" x14ac:dyDescent="0.3">
      <c r="A2259" t="s">
        <v>50</v>
      </c>
      <c r="B2259">
        <v>172</v>
      </c>
      <c r="C2259" t="s">
        <v>72</v>
      </c>
      <c r="D2259" t="s">
        <v>74</v>
      </c>
      <c r="E2259" t="s">
        <v>74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74</v>
      </c>
    </row>
    <row r="2260" spans="1:20" x14ac:dyDescent="0.3">
      <c r="A2260" t="s">
        <v>52</v>
      </c>
      <c r="B2260">
        <v>188</v>
      </c>
      <c r="C2260" t="s">
        <v>71</v>
      </c>
      <c r="D2260" t="s">
        <v>75</v>
      </c>
      <c r="E2260" t="s">
        <v>75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75</v>
      </c>
    </row>
    <row r="2261" spans="1:20" x14ac:dyDescent="0.3">
      <c r="A2261" t="s">
        <v>39</v>
      </c>
      <c r="B2261">
        <v>85</v>
      </c>
      <c r="C2261" t="s">
        <v>73</v>
      </c>
      <c r="D2261" t="s">
        <v>75</v>
      </c>
      <c r="E2261" t="s">
        <v>74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74</v>
      </c>
    </row>
    <row r="2262" spans="1:20" x14ac:dyDescent="0.3">
      <c r="A2262" t="s">
        <v>55</v>
      </c>
      <c r="B2262">
        <v>103</v>
      </c>
      <c r="C2262" t="s">
        <v>72</v>
      </c>
      <c r="D2262" t="s">
        <v>75</v>
      </c>
      <c r="E2262" t="s">
        <v>74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75</v>
      </c>
    </row>
    <row r="2263" spans="1:20" x14ac:dyDescent="0.3">
      <c r="A2263" t="s">
        <v>28</v>
      </c>
      <c r="B2263">
        <v>136</v>
      </c>
      <c r="C2263" t="s">
        <v>73</v>
      </c>
      <c r="D2263" t="s">
        <v>74</v>
      </c>
      <c r="E2263" t="s">
        <v>75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74</v>
      </c>
    </row>
    <row r="2264" spans="1:20" x14ac:dyDescent="0.3">
      <c r="A2264" t="s">
        <v>24</v>
      </c>
      <c r="B2264">
        <v>155</v>
      </c>
      <c r="C2264" t="s">
        <v>73</v>
      </c>
      <c r="D2264" t="s">
        <v>74</v>
      </c>
      <c r="E2264" t="s">
        <v>75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74</v>
      </c>
    </row>
    <row r="2265" spans="1:20" x14ac:dyDescent="0.3">
      <c r="A2265" t="s">
        <v>65</v>
      </c>
      <c r="B2265">
        <v>145</v>
      </c>
      <c r="C2265" t="s">
        <v>71</v>
      </c>
      <c r="D2265" t="s">
        <v>74</v>
      </c>
      <c r="E2265" t="s">
        <v>74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74</v>
      </c>
    </row>
    <row r="2266" spans="1:20" x14ac:dyDescent="0.3">
      <c r="A2266" t="s">
        <v>30</v>
      </c>
      <c r="B2266">
        <v>116</v>
      </c>
      <c r="C2266" t="s">
        <v>72</v>
      </c>
      <c r="D2266" t="s">
        <v>74</v>
      </c>
      <c r="E2266" t="s">
        <v>75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74</v>
      </c>
    </row>
    <row r="2267" spans="1:20" x14ac:dyDescent="0.3">
      <c r="A2267" t="s">
        <v>43</v>
      </c>
      <c r="B2267">
        <v>152</v>
      </c>
      <c r="C2267" t="s">
        <v>73</v>
      </c>
      <c r="D2267" t="s">
        <v>74</v>
      </c>
      <c r="E2267" t="s">
        <v>74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74</v>
      </c>
    </row>
    <row r="2268" spans="1:20" x14ac:dyDescent="0.3">
      <c r="A2268" t="s">
        <v>53</v>
      </c>
      <c r="B2268">
        <v>65</v>
      </c>
      <c r="C2268" t="s">
        <v>71</v>
      </c>
      <c r="D2268" t="s">
        <v>75</v>
      </c>
      <c r="E2268" t="s">
        <v>74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75</v>
      </c>
    </row>
    <row r="2269" spans="1:20" x14ac:dyDescent="0.3">
      <c r="A2269" t="s">
        <v>25</v>
      </c>
      <c r="B2269">
        <v>67</v>
      </c>
      <c r="C2269" t="s">
        <v>71</v>
      </c>
      <c r="D2269" t="s">
        <v>74</v>
      </c>
      <c r="E2269" t="s">
        <v>74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74</v>
      </c>
    </row>
    <row r="2270" spans="1:20" x14ac:dyDescent="0.3">
      <c r="A2270" t="s">
        <v>58</v>
      </c>
      <c r="B2270">
        <v>60</v>
      </c>
      <c r="C2270" t="s">
        <v>71</v>
      </c>
      <c r="D2270" t="s">
        <v>74</v>
      </c>
      <c r="E2270" t="s">
        <v>74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74</v>
      </c>
    </row>
    <row r="2271" spans="1:20" x14ac:dyDescent="0.3">
      <c r="A2271" t="s">
        <v>42</v>
      </c>
      <c r="B2271">
        <v>138</v>
      </c>
      <c r="C2271" t="s">
        <v>72</v>
      </c>
      <c r="D2271" t="s">
        <v>74</v>
      </c>
      <c r="E2271" t="s">
        <v>74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74</v>
      </c>
    </row>
    <row r="2272" spans="1:20" x14ac:dyDescent="0.3">
      <c r="A2272" t="s">
        <v>22</v>
      </c>
      <c r="B2272">
        <v>44</v>
      </c>
      <c r="C2272" t="s">
        <v>71</v>
      </c>
      <c r="D2272" t="s">
        <v>74</v>
      </c>
      <c r="E2272" t="s">
        <v>74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75</v>
      </c>
    </row>
    <row r="2273" spans="1:20" x14ac:dyDescent="0.3">
      <c r="A2273" t="s">
        <v>59</v>
      </c>
      <c r="B2273">
        <v>25</v>
      </c>
      <c r="C2273" t="s">
        <v>72</v>
      </c>
      <c r="D2273" t="s">
        <v>74</v>
      </c>
      <c r="E2273" t="s">
        <v>74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74</v>
      </c>
    </row>
    <row r="2274" spans="1:20" x14ac:dyDescent="0.3">
      <c r="A2274" t="s">
        <v>30</v>
      </c>
      <c r="B2274">
        <v>145</v>
      </c>
      <c r="C2274" t="s">
        <v>73</v>
      </c>
      <c r="D2274" t="s">
        <v>74</v>
      </c>
      <c r="E2274" t="s">
        <v>74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74</v>
      </c>
    </row>
    <row r="2275" spans="1:20" x14ac:dyDescent="0.3">
      <c r="A2275" t="s">
        <v>31</v>
      </c>
      <c r="B2275">
        <v>122</v>
      </c>
      <c r="C2275" t="s">
        <v>72</v>
      </c>
      <c r="D2275" t="s">
        <v>74</v>
      </c>
      <c r="E2275" t="s">
        <v>75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74</v>
      </c>
    </row>
    <row r="2276" spans="1:20" x14ac:dyDescent="0.3">
      <c r="A2276" t="s">
        <v>43</v>
      </c>
      <c r="B2276">
        <v>121</v>
      </c>
      <c r="C2276" t="s">
        <v>71</v>
      </c>
      <c r="D2276" t="s">
        <v>74</v>
      </c>
      <c r="E2276" t="s">
        <v>74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75</v>
      </c>
    </row>
    <row r="2277" spans="1:20" x14ac:dyDescent="0.3">
      <c r="A2277" t="s">
        <v>63</v>
      </c>
      <c r="B2277">
        <v>55</v>
      </c>
      <c r="C2277" t="s">
        <v>72</v>
      </c>
      <c r="D2277" t="s">
        <v>75</v>
      </c>
      <c r="E2277" t="s">
        <v>74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74</v>
      </c>
    </row>
    <row r="2278" spans="1:20" x14ac:dyDescent="0.3">
      <c r="A2278" t="s">
        <v>54</v>
      </c>
      <c r="B2278">
        <v>77</v>
      </c>
      <c r="C2278" t="s">
        <v>71</v>
      </c>
      <c r="D2278" t="s">
        <v>74</v>
      </c>
      <c r="E2278" t="s">
        <v>74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74</v>
      </c>
    </row>
    <row r="2279" spans="1:20" x14ac:dyDescent="0.3">
      <c r="A2279" t="s">
        <v>58</v>
      </c>
      <c r="B2279">
        <v>12</v>
      </c>
      <c r="C2279" t="s">
        <v>71</v>
      </c>
      <c r="D2279" t="s">
        <v>74</v>
      </c>
      <c r="E2279" t="s">
        <v>74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74</v>
      </c>
    </row>
    <row r="2280" spans="1:20" x14ac:dyDescent="0.3">
      <c r="A2280" t="s">
        <v>68</v>
      </c>
      <c r="B2280">
        <v>92</v>
      </c>
      <c r="C2280" t="s">
        <v>71</v>
      </c>
      <c r="D2280" t="s">
        <v>74</v>
      </c>
      <c r="E2280" t="s">
        <v>75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74</v>
      </c>
    </row>
    <row r="2281" spans="1:20" x14ac:dyDescent="0.3">
      <c r="A2281" t="s">
        <v>32</v>
      </c>
      <c r="B2281">
        <v>125</v>
      </c>
      <c r="C2281" t="s">
        <v>71</v>
      </c>
      <c r="D2281" t="s">
        <v>75</v>
      </c>
      <c r="E2281" t="s">
        <v>75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75</v>
      </c>
    </row>
    <row r="2282" spans="1:20" x14ac:dyDescent="0.3">
      <c r="A2282" t="s">
        <v>20</v>
      </c>
      <c r="B2282">
        <v>79</v>
      </c>
      <c r="C2282" t="s">
        <v>71</v>
      </c>
      <c r="D2282" t="s">
        <v>74</v>
      </c>
      <c r="E2282" t="s">
        <v>74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74</v>
      </c>
    </row>
    <row r="2283" spans="1:20" x14ac:dyDescent="0.3">
      <c r="A2283" t="s">
        <v>55</v>
      </c>
      <c r="B2283">
        <v>36</v>
      </c>
      <c r="C2283" t="s">
        <v>71</v>
      </c>
      <c r="D2283" t="s">
        <v>74</v>
      </c>
      <c r="E2283" t="s">
        <v>74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74</v>
      </c>
    </row>
    <row r="2284" spans="1:20" x14ac:dyDescent="0.3">
      <c r="A2284" t="s">
        <v>63</v>
      </c>
      <c r="B2284">
        <v>102</v>
      </c>
      <c r="C2284" t="s">
        <v>71</v>
      </c>
      <c r="D2284" t="s">
        <v>74</v>
      </c>
      <c r="E2284" t="s">
        <v>74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74</v>
      </c>
    </row>
    <row r="2285" spans="1:20" x14ac:dyDescent="0.3">
      <c r="A2285" t="s">
        <v>25</v>
      </c>
      <c r="B2285">
        <v>138</v>
      </c>
      <c r="C2285" t="s">
        <v>73</v>
      </c>
      <c r="D2285" t="s">
        <v>75</v>
      </c>
      <c r="E2285" t="s">
        <v>74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74</v>
      </c>
    </row>
    <row r="2286" spans="1:20" x14ac:dyDescent="0.3">
      <c r="A2286" t="s">
        <v>42</v>
      </c>
      <c r="B2286">
        <v>164</v>
      </c>
      <c r="C2286" t="s">
        <v>72</v>
      </c>
      <c r="D2286" t="s">
        <v>74</v>
      </c>
      <c r="E2286" t="s">
        <v>74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74</v>
      </c>
    </row>
    <row r="2287" spans="1:20" x14ac:dyDescent="0.3">
      <c r="A2287" t="s">
        <v>32</v>
      </c>
      <c r="B2287">
        <v>125</v>
      </c>
      <c r="C2287" t="s">
        <v>71</v>
      </c>
      <c r="D2287" t="s">
        <v>74</v>
      </c>
      <c r="E2287" t="s">
        <v>74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75</v>
      </c>
    </row>
    <row r="2288" spans="1:20" x14ac:dyDescent="0.3">
      <c r="A2288" t="s">
        <v>31</v>
      </c>
      <c r="B2288">
        <v>72</v>
      </c>
      <c r="C2288" t="s">
        <v>73</v>
      </c>
      <c r="D2288" t="s">
        <v>74</v>
      </c>
      <c r="E2288" t="s">
        <v>74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74</v>
      </c>
    </row>
    <row r="2289" spans="1:20" x14ac:dyDescent="0.3">
      <c r="A2289" t="s">
        <v>36</v>
      </c>
      <c r="B2289">
        <v>145</v>
      </c>
      <c r="C2289" t="s">
        <v>71</v>
      </c>
      <c r="D2289" t="s">
        <v>74</v>
      </c>
      <c r="E2289" t="s">
        <v>74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74</v>
      </c>
    </row>
    <row r="2290" spans="1:20" x14ac:dyDescent="0.3">
      <c r="A2290" t="s">
        <v>21</v>
      </c>
      <c r="B2290">
        <v>136</v>
      </c>
      <c r="C2290" t="s">
        <v>72</v>
      </c>
      <c r="D2290" t="s">
        <v>74</v>
      </c>
      <c r="E2290" t="s">
        <v>74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74</v>
      </c>
    </row>
    <row r="2291" spans="1:20" x14ac:dyDescent="0.3">
      <c r="A2291" t="s">
        <v>43</v>
      </c>
      <c r="B2291">
        <v>209</v>
      </c>
      <c r="C2291" t="s">
        <v>72</v>
      </c>
      <c r="D2291" t="s">
        <v>74</v>
      </c>
      <c r="E2291" t="s">
        <v>74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75</v>
      </c>
    </row>
    <row r="2292" spans="1:20" x14ac:dyDescent="0.3">
      <c r="A2292" t="s">
        <v>31</v>
      </c>
      <c r="B2292">
        <v>66</v>
      </c>
      <c r="C2292" t="s">
        <v>71</v>
      </c>
      <c r="D2292" t="s">
        <v>75</v>
      </c>
      <c r="E2292" t="s">
        <v>74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74</v>
      </c>
    </row>
    <row r="2293" spans="1:20" x14ac:dyDescent="0.3">
      <c r="A2293" t="s">
        <v>23</v>
      </c>
      <c r="B2293">
        <v>152</v>
      </c>
      <c r="C2293" t="s">
        <v>72</v>
      </c>
      <c r="D2293" t="s">
        <v>74</v>
      </c>
      <c r="E2293" t="s">
        <v>75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74</v>
      </c>
    </row>
    <row r="2294" spans="1:20" x14ac:dyDescent="0.3">
      <c r="A2294" t="s">
        <v>54</v>
      </c>
      <c r="B2294">
        <v>162</v>
      </c>
      <c r="C2294" t="s">
        <v>73</v>
      </c>
      <c r="D2294" t="s">
        <v>74</v>
      </c>
      <c r="E2294" t="s">
        <v>74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74</v>
      </c>
    </row>
    <row r="2295" spans="1:20" x14ac:dyDescent="0.3">
      <c r="A2295" t="s">
        <v>58</v>
      </c>
      <c r="B2295">
        <v>72</v>
      </c>
      <c r="C2295" t="s">
        <v>72</v>
      </c>
      <c r="D2295" t="s">
        <v>74</v>
      </c>
      <c r="E2295" t="s">
        <v>74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74</v>
      </c>
    </row>
    <row r="2296" spans="1:20" x14ac:dyDescent="0.3">
      <c r="A2296" t="s">
        <v>67</v>
      </c>
      <c r="B2296">
        <v>101</v>
      </c>
      <c r="C2296" t="s">
        <v>71</v>
      </c>
      <c r="D2296" t="s">
        <v>74</v>
      </c>
      <c r="E2296" t="s">
        <v>74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74</v>
      </c>
    </row>
    <row r="2297" spans="1:20" x14ac:dyDescent="0.3">
      <c r="A2297" t="s">
        <v>65</v>
      </c>
      <c r="B2297">
        <v>125</v>
      </c>
      <c r="C2297" t="s">
        <v>71</v>
      </c>
      <c r="D2297" t="s">
        <v>74</v>
      </c>
      <c r="E2297" t="s">
        <v>74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74</v>
      </c>
    </row>
    <row r="2298" spans="1:20" x14ac:dyDescent="0.3">
      <c r="A2298" t="s">
        <v>59</v>
      </c>
      <c r="B2298">
        <v>193</v>
      </c>
      <c r="C2298" t="s">
        <v>71</v>
      </c>
      <c r="D2298" t="s">
        <v>74</v>
      </c>
      <c r="E2298" t="s">
        <v>75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74</v>
      </c>
    </row>
    <row r="2299" spans="1:20" x14ac:dyDescent="0.3">
      <c r="A2299" t="s">
        <v>65</v>
      </c>
      <c r="B2299">
        <v>63</v>
      </c>
      <c r="C2299" t="s">
        <v>72</v>
      </c>
      <c r="D2299" t="s">
        <v>74</v>
      </c>
      <c r="E2299" t="s">
        <v>74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75</v>
      </c>
    </row>
    <row r="2300" spans="1:20" x14ac:dyDescent="0.3">
      <c r="A2300" t="s">
        <v>24</v>
      </c>
      <c r="B2300">
        <v>124</v>
      </c>
      <c r="C2300" t="s">
        <v>72</v>
      </c>
      <c r="D2300" t="s">
        <v>74</v>
      </c>
      <c r="E2300" t="s">
        <v>74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74</v>
      </c>
    </row>
    <row r="2301" spans="1:20" x14ac:dyDescent="0.3">
      <c r="A2301" t="s">
        <v>63</v>
      </c>
      <c r="B2301">
        <v>144</v>
      </c>
      <c r="C2301" t="s">
        <v>71</v>
      </c>
      <c r="D2301" t="s">
        <v>74</v>
      </c>
      <c r="E2301" t="s">
        <v>74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74</v>
      </c>
    </row>
    <row r="2302" spans="1:20" x14ac:dyDescent="0.3">
      <c r="A2302" t="s">
        <v>46</v>
      </c>
      <c r="B2302">
        <v>116</v>
      </c>
      <c r="C2302" t="s">
        <v>73</v>
      </c>
      <c r="D2302" t="s">
        <v>74</v>
      </c>
      <c r="E2302" t="s">
        <v>75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74</v>
      </c>
    </row>
    <row r="2303" spans="1:20" x14ac:dyDescent="0.3">
      <c r="A2303" t="s">
        <v>49</v>
      </c>
      <c r="B2303">
        <v>189</v>
      </c>
      <c r="C2303" t="s">
        <v>71</v>
      </c>
      <c r="D2303" t="s">
        <v>74</v>
      </c>
      <c r="E2303" t="s">
        <v>75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74</v>
      </c>
    </row>
    <row r="2304" spans="1:20" x14ac:dyDescent="0.3">
      <c r="A2304" t="s">
        <v>46</v>
      </c>
      <c r="B2304">
        <v>97</v>
      </c>
      <c r="C2304" t="s">
        <v>73</v>
      </c>
      <c r="D2304" t="s">
        <v>74</v>
      </c>
      <c r="E2304" t="s">
        <v>75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74</v>
      </c>
    </row>
    <row r="2305" spans="1:20" x14ac:dyDescent="0.3">
      <c r="A2305" t="s">
        <v>65</v>
      </c>
      <c r="B2305">
        <v>137</v>
      </c>
      <c r="C2305" t="s">
        <v>72</v>
      </c>
      <c r="D2305" t="s">
        <v>74</v>
      </c>
      <c r="E2305" t="s">
        <v>75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74</v>
      </c>
    </row>
    <row r="2306" spans="1:20" x14ac:dyDescent="0.3">
      <c r="A2306" t="s">
        <v>25</v>
      </c>
      <c r="B2306">
        <v>142</v>
      </c>
      <c r="C2306" t="s">
        <v>71</v>
      </c>
      <c r="D2306" t="s">
        <v>74</v>
      </c>
      <c r="E2306" t="s">
        <v>75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74</v>
      </c>
    </row>
    <row r="2307" spans="1:20" x14ac:dyDescent="0.3">
      <c r="A2307" t="s">
        <v>44</v>
      </c>
      <c r="B2307">
        <v>84</v>
      </c>
      <c r="C2307" t="s">
        <v>72</v>
      </c>
      <c r="D2307" t="s">
        <v>74</v>
      </c>
      <c r="E2307" t="s">
        <v>74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74</v>
      </c>
    </row>
    <row r="2308" spans="1:20" x14ac:dyDescent="0.3">
      <c r="A2308" t="s">
        <v>46</v>
      </c>
      <c r="B2308">
        <v>119</v>
      </c>
      <c r="C2308" t="s">
        <v>71</v>
      </c>
      <c r="D2308" t="s">
        <v>74</v>
      </c>
      <c r="E2308" t="s">
        <v>75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74</v>
      </c>
    </row>
    <row r="2309" spans="1:20" x14ac:dyDescent="0.3">
      <c r="A2309" t="s">
        <v>40</v>
      </c>
      <c r="B2309">
        <v>158</v>
      </c>
      <c r="C2309" t="s">
        <v>71</v>
      </c>
      <c r="D2309" t="s">
        <v>74</v>
      </c>
      <c r="E2309" t="s">
        <v>74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74</v>
      </c>
    </row>
    <row r="2310" spans="1:20" x14ac:dyDescent="0.3">
      <c r="A2310" t="s">
        <v>67</v>
      </c>
      <c r="B2310">
        <v>101</v>
      </c>
      <c r="C2310" t="s">
        <v>71</v>
      </c>
      <c r="D2310" t="s">
        <v>74</v>
      </c>
      <c r="E2310" t="s">
        <v>75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74</v>
      </c>
    </row>
    <row r="2311" spans="1:20" x14ac:dyDescent="0.3">
      <c r="A2311" t="s">
        <v>28</v>
      </c>
      <c r="B2311">
        <v>182</v>
      </c>
      <c r="C2311" t="s">
        <v>71</v>
      </c>
      <c r="D2311" t="s">
        <v>74</v>
      </c>
      <c r="E2311" t="s">
        <v>74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75</v>
      </c>
    </row>
    <row r="2312" spans="1:20" x14ac:dyDescent="0.3">
      <c r="A2312" t="s">
        <v>65</v>
      </c>
      <c r="B2312">
        <v>51</v>
      </c>
      <c r="C2312" t="s">
        <v>73</v>
      </c>
      <c r="D2312" t="s">
        <v>74</v>
      </c>
      <c r="E2312" t="s">
        <v>74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74</v>
      </c>
    </row>
    <row r="2313" spans="1:20" x14ac:dyDescent="0.3">
      <c r="A2313" t="s">
        <v>66</v>
      </c>
      <c r="B2313">
        <v>117</v>
      </c>
      <c r="C2313" t="s">
        <v>72</v>
      </c>
      <c r="D2313" t="s">
        <v>74</v>
      </c>
      <c r="E2313" t="s">
        <v>74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74</v>
      </c>
    </row>
    <row r="2314" spans="1:20" x14ac:dyDescent="0.3">
      <c r="A2314" t="s">
        <v>47</v>
      </c>
      <c r="B2314">
        <v>92</v>
      </c>
      <c r="C2314" t="s">
        <v>71</v>
      </c>
      <c r="D2314" t="s">
        <v>75</v>
      </c>
      <c r="E2314" t="s">
        <v>74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74</v>
      </c>
    </row>
    <row r="2315" spans="1:20" x14ac:dyDescent="0.3">
      <c r="A2315" t="s">
        <v>40</v>
      </c>
      <c r="B2315">
        <v>86</v>
      </c>
      <c r="C2315" t="s">
        <v>73</v>
      </c>
      <c r="D2315" t="s">
        <v>74</v>
      </c>
      <c r="E2315" t="s">
        <v>74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74</v>
      </c>
    </row>
    <row r="2316" spans="1:20" x14ac:dyDescent="0.3">
      <c r="A2316" t="s">
        <v>30</v>
      </c>
      <c r="B2316">
        <v>122</v>
      </c>
      <c r="C2316" t="s">
        <v>71</v>
      </c>
      <c r="D2316" t="s">
        <v>74</v>
      </c>
      <c r="E2316" t="s">
        <v>74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74</v>
      </c>
    </row>
    <row r="2317" spans="1:20" x14ac:dyDescent="0.3">
      <c r="A2317" t="s">
        <v>28</v>
      </c>
      <c r="B2317">
        <v>127</v>
      </c>
      <c r="C2317" t="s">
        <v>72</v>
      </c>
      <c r="D2317" t="s">
        <v>74</v>
      </c>
      <c r="E2317" t="s">
        <v>74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75</v>
      </c>
    </row>
    <row r="2318" spans="1:20" x14ac:dyDescent="0.3">
      <c r="A2318" t="s">
        <v>52</v>
      </c>
      <c r="B2318">
        <v>158</v>
      </c>
      <c r="C2318" t="s">
        <v>73</v>
      </c>
      <c r="D2318" t="s">
        <v>74</v>
      </c>
      <c r="E2318" t="s">
        <v>74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74</v>
      </c>
    </row>
    <row r="2319" spans="1:20" x14ac:dyDescent="0.3">
      <c r="A2319" t="s">
        <v>53</v>
      </c>
      <c r="B2319">
        <v>145</v>
      </c>
      <c r="C2319" t="s">
        <v>72</v>
      </c>
      <c r="D2319" t="s">
        <v>75</v>
      </c>
      <c r="E2319" t="s">
        <v>75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74</v>
      </c>
    </row>
    <row r="2320" spans="1:20" x14ac:dyDescent="0.3">
      <c r="A2320" t="s">
        <v>44</v>
      </c>
      <c r="B2320">
        <v>127</v>
      </c>
      <c r="C2320" t="s">
        <v>72</v>
      </c>
      <c r="D2320" t="s">
        <v>74</v>
      </c>
      <c r="E2320" t="s">
        <v>75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74</v>
      </c>
    </row>
    <row r="2321" spans="1:20" x14ac:dyDescent="0.3">
      <c r="A2321" t="s">
        <v>29</v>
      </c>
      <c r="B2321">
        <v>109</v>
      </c>
      <c r="C2321" t="s">
        <v>71</v>
      </c>
      <c r="D2321" t="s">
        <v>74</v>
      </c>
      <c r="E2321" t="s">
        <v>74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74</v>
      </c>
    </row>
    <row r="2322" spans="1:20" x14ac:dyDescent="0.3">
      <c r="A2322" t="s">
        <v>21</v>
      </c>
      <c r="B2322">
        <v>88</v>
      </c>
      <c r="C2322" t="s">
        <v>71</v>
      </c>
      <c r="D2322" t="s">
        <v>74</v>
      </c>
      <c r="E2322" t="s">
        <v>74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74</v>
      </c>
    </row>
    <row r="2323" spans="1:20" x14ac:dyDescent="0.3">
      <c r="A2323" t="s">
        <v>67</v>
      </c>
      <c r="B2323">
        <v>171</v>
      </c>
      <c r="C2323" t="s">
        <v>72</v>
      </c>
      <c r="D2323" t="s">
        <v>74</v>
      </c>
      <c r="E2323" t="s">
        <v>74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74</v>
      </c>
    </row>
    <row r="2324" spans="1:20" x14ac:dyDescent="0.3">
      <c r="A2324" t="s">
        <v>50</v>
      </c>
      <c r="B2324">
        <v>21</v>
      </c>
      <c r="C2324" t="s">
        <v>71</v>
      </c>
      <c r="D2324" t="s">
        <v>74</v>
      </c>
      <c r="E2324" t="s">
        <v>74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74</v>
      </c>
    </row>
    <row r="2325" spans="1:20" x14ac:dyDescent="0.3">
      <c r="A2325" t="s">
        <v>65</v>
      </c>
      <c r="B2325">
        <v>145</v>
      </c>
      <c r="C2325" t="s">
        <v>73</v>
      </c>
      <c r="D2325" t="s">
        <v>74</v>
      </c>
      <c r="E2325" t="s">
        <v>75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74</v>
      </c>
    </row>
    <row r="2326" spans="1:20" x14ac:dyDescent="0.3">
      <c r="A2326" t="s">
        <v>45</v>
      </c>
      <c r="B2326">
        <v>90</v>
      </c>
      <c r="C2326" t="s">
        <v>71</v>
      </c>
      <c r="D2326" t="s">
        <v>74</v>
      </c>
      <c r="E2326" t="s">
        <v>74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74</v>
      </c>
    </row>
    <row r="2327" spans="1:20" x14ac:dyDescent="0.3">
      <c r="A2327" t="s">
        <v>60</v>
      </c>
      <c r="B2327">
        <v>33</v>
      </c>
      <c r="C2327" t="s">
        <v>73</v>
      </c>
      <c r="D2327" t="s">
        <v>74</v>
      </c>
      <c r="E2327" t="s">
        <v>74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74</v>
      </c>
    </row>
    <row r="2328" spans="1:20" x14ac:dyDescent="0.3">
      <c r="A2328" t="s">
        <v>47</v>
      </c>
      <c r="B2328">
        <v>61</v>
      </c>
      <c r="C2328" t="s">
        <v>73</v>
      </c>
      <c r="D2328" t="s">
        <v>74</v>
      </c>
      <c r="E2328" t="s">
        <v>75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75</v>
      </c>
    </row>
    <row r="2329" spans="1:20" x14ac:dyDescent="0.3">
      <c r="A2329" t="s">
        <v>33</v>
      </c>
      <c r="B2329">
        <v>107</v>
      </c>
      <c r="C2329" t="s">
        <v>71</v>
      </c>
      <c r="D2329" t="s">
        <v>74</v>
      </c>
      <c r="E2329" t="s">
        <v>74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74</v>
      </c>
    </row>
    <row r="2330" spans="1:20" x14ac:dyDescent="0.3">
      <c r="A2330" t="s">
        <v>49</v>
      </c>
      <c r="B2330">
        <v>147</v>
      </c>
      <c r="C2330" t="s">
        <v>73</v>
      </c>
      <c r="D2330" t="s">
        <v>74</v>
      </c>
      <c r="E2330" t="s">
        <v>74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75</v>
      </c>
    </row>
    <row r="2331" spans="1:20" x14ac:dyDescent="0.3">
      <c r="A2331" t="s">
        <v>20</v>
      </c>
      <c r="B2331">
        <v>186</v>
      </c>
      <c r="C2331" t="s">
        <v>72</v>
      </c>
      <c r="D2331" t="s">
        <v>74</v>
      </c>
      <c r="E2331" t="s">
        <v>74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74</v>
      </c>
    </row>
    <row r="2332" spans="1:20" x14ac:dyDescent="0.3">
      <c r="A2332" t="s">
        <v>40</v>
      </c>
      <c r="B2332">
        <v>128</v>
      </c>
      <c r="C2332" t="s">
        <v>71</v>
      </c>
      <c r="D2332" t="s">
        <v>74</v>
      </c>
      <c r="E2332" t="s">
        <v>74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74</v>
      </c>
    </row>
    <row r="2333" spans="1:20" x14ac:dyDescent="0.3">
      <c r="A2333" t="s">
        <v>35</v>
      </c>
      <c r="B2333">
        <v>55</v>
      </c>
      <c r="C2333" t="s">
        <v>73</v>
      </c>
      <c r="D2333" t="s">
        <v>74</v>
      </c>
      <c r="E2333" t="s">
        <v>75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74</v>
      </c>
    </row>
    <row r="2334" spans="1:20" x14ac:dyDescent="0.3">
      <c r="A2334" t="s">
        <v>61</v>
      </c>
      <c r="B2334">
        <v>134</v>
      </c>
      <c r="C2334" t="s">
        <v>71</v>
      </c>
      <c r="D2334" t="s">
        <v>74</v>
      </c>
      <c r="E2334" t="s">
        <v>74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74</v>
      </c>
    </row>
    <row r="2335" spans="1:20" x14ac:dyDescent="0.3">
      <c r="A2335" t="s">
        <v>51</v>
      </c>
      <c r="B2335">
        <v>96</v>
      </c>
      <c r="C2335" t="s">
        <v>71</v>
      </c>
      <c r="D2335" t="s">
        <v>74</v>
      </c>
      <c r="E2335" t="s">
        <v>75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74</v>
      </c>
    </row>
    <row r="2336" spans="1:20" x14ac:dyDescent="0.3">
      <c r="A2336" t="s">
        <v>20</v>
      </c>
      <c r="B2336">
        <v>123</v>
      </c>
      <c r="C2336" t="s">
        <v>71</v>
      </c>
      <c r="D2336" t="s">
        <v>74</v>
      </c>
      <c r="E2336" t="s">
        <v>74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74</v>
      </c>
    </row>
    <row r="2337" spans="1:20" x14ac:dyDescent="0.3">
      <c r="A2337" t="s">
        <v>44</v>
      </c>
      <c r="B2337">
        <v>35</v>
      </c>
      <c r="C2337" t="s">
        <v>71</v>
      </c>
      <c r="D2337" t="s">
        <v>74</v>
      </c>
      <c r="E2337" t="s">
        <v>74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74</v>
      </c>
    </row>
    <row r="2338" spans="1:20" x14ac:dyDescent="0.3">
      <c r="A2338" t="s">
        <v>31</v>
      </c>
      <c r="B2338">
        <v>74</v>
      </c>
      <c r="C2338" t="s">
        <v>73</v>
      </c>
      <c r="D2338" t="s">
        <v>74</v>
      </c>
      <c r="E2338" t="s">
        <v>74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74</v>
      </c>
    </row>
    <row r="2339" spans="1:20" x14ac:dyDescent="0.3">
      <c r="A2339" t="s">
        <v>51</v>
      </c>
      <c r="B2339">
        <v>130</v>
      </c>
      <c r="C2339" t="s">
        <v>73</v>
      </c>
      <c r="D2339" t="s">
        <v>74</v>
      </c>
      <c r="E2339" t="s">
        <v>74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74</v>
      </c>
    </row>
    <row r="2340" spans="1:20" x14ac:dyDescent="0.3">
      <c r="A2340" t="s">
        <v>25</v>
      </c>
      <c r="B2340">
        <v>137</v>
      </c>
      <c r="C2340" t="s">
        <v>73</v>
      </c>
      <c r="D2340" t="s">
        <v>75</v>
      </c>
      <c r="E2340" t="s">
        <v>74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75</v>
      </c>
    </row>
    <row r="2341" spans="1:20" x14ac:dyDescent="0.3">
      <c r="A2341" t="s">
        <v>63</v>
      </c>
      <c r="B2341">
        <v>80</v>
      </c>
      <c r="C2341" t="s">
        <v>73</v>
      </c>
      <c r="D2341" t="s">
        <v>74</v>
      </c>
      <c r="E2341" t="s">
        <v>74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74</v>
      </c>
    </row>
    <row r="2342" spans="1:20" x14ac:dyDescent="0.3">
      <c r="A2342" t="s">
        <v>66</v>
      </c>
      <c r="B2342">
        <v>116</v>
      </c>
      <c r="C2342" t="s">
        <v>73</v>
      </c>
      <c r="D2342" t="s">
        <v>74</v>
      </c>
      <c r="E2342" t="s">
        <v>75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74</v>
      </c>
    </row>
    <row r="2343" spans="1:20" x14ac:dyDescent="0.3">
      <c r="A2343" t="s">
        <v>55</v>
      </c>
      <c r="B2343">
        <v>123</v>
      </c>
      <c r="C2343" t="s">
        <v>72</v>
      </c>
      <c r="D2343" t="s">
        <v>74</v>
      </c>
      <c r="E2343" t="s">
        <v>75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74</v>
      </c>
    </row>
    <row r="2344" spans="1:20" x14ac:dyDescent="0.3">
      <c r="A2344" t="s">
        <v>50</v>
      </c>
      <c r="B2344">
        <v>146</v>
      </c>
      <c r="C2344" t="s">
        <v>71</v>
      </c>
      <c r="D2344" t="s">
        <v>75</v>
      </c>
      <c r="E2344" t="s">
        <v>74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74</v>
      </c>
    </row>
    <row r="2345" spans="1:20" x14ac:dyDescent="0.3">
      <c r="A2345" t="s">
        <v>68</v>
      </c>
      <c r="B2345">
        <v>121</v>
      </c>
      <c r="C2345" t="s">
        <v>73</v>
      </c>
      <c r="D2345" t="s">
        <v>74</v>
      </c>
      <c r="E2345" t="s">
        <v>75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74</v>
      </c>
    </row>
    <row r="2346" spans="1:20" x14ac:dyDescent="0.3">
      <c r="A2346" t="s">
        <v>31</v>
      </c>
      <c r="B2346">
        <v>137</v>
      </c>
      <c r="C2346" t="s">
        <v>72</v>
      </c>
      <c r="D2346" t="s">
        <v>74</v>
      </c>
      <c r="E2346" t="s">
        <v>74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74</v>
      </c>
    </row>
    <row r="2347" spans="1:20" x14ac:dyDescent="0.3">
      <c r="A2347" t="s">
        <v>24</v>
      </c>
      <c r="B2347">
        <v>67</v>
      </c>
      <c r="C2347" t="s">
        <v>72</v>
      </c>
      <c r="D2347" t="s">
        <v>74</v>
      </c>
      <c r="E2347" t="s">
        <v>75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74</v>
      </c>
    </row>
    <row r="2348" spans="1:20" x14ac:dyDescent="0.3">
      <c r="A2348" t="s">
        <v>31</v>
      </c>
      <c r="B2348">
        <v>161</v>
      </c>
      <c r="C2348" t="s">
        <v>73</v>
      </c>
      <c r="D2348" t="s">
        <v>74</v>
      </c>
      <c r="E2348" t="s">
        <v>74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75</v>
      </c>
    </row>
    <row r="2349" spans="1:20" x14ac:dyDescent="0.3">
      <c r="A2349" t="s">
        <v>28</v>
      </c>
      <c r="B2349">
        <v>134</v>
      </c>
      <c r="C2349" t="s">
        <v>72</v>
      </c>
      <c r="D2349" t="s">
        <v>74</v>
      </c>
      <c r="E2349" t="s">
        <v>75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75</v>
      </c>
    </row>
    <row r="2350" spans="1:20" x14ac:dyDescent="0.3">
      <c r="A2350" t="s">
        <v>30</v>
      </c>
      <c r="B2350">
        <v>120</v>
      </c>
      <c r="C2350" t="s">
        <v>71</v>
      </c>
      <c r="D2350" t="s">
        <v>74</v>
      </c>
      <c r="E2350" t="s">
        <v>75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74</v>
      </c>
    </row>
    <row r="2351" spans="1:20" x14ac:dyDescent="0.3">
      <c r="A2351" t="s">
        <v>51</v>
      </c>
      <c r="B2351">
        <v>130</v>
      </c>
      <c r="C2351" t="s">
        <v>73</v>
      </c>
      <c r="D2351" t="s">
        <v>74</v>
      </c>
      <c r="E2351" t="s">
        <v>75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74</v>
      </c>
    </row>
    <row r="2352" spans="1:20" x14ac:dyDescent="0.3">
      <c r="A2352" t="s">
        <v>23</v>
      </c>
      <c r="B2352">
        <v>68</v>
      </c>
      <c r="C2352" t="s">
        <v>71</v>
      </c>
      <c r="D2352" t="s">
        <v>74</v>
      </c>
      <c r="E2352" t="s">
        <v>74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74</v>
      </c>
    </row>
    <row r="2353" spans="1:20" x14ac:dyDescent="0.3">
      <c r="A2353" t="s">
        <v>51</v>
      </c>
      <c r="B2353">
        <v>77</v>
      </c>
      <c r="C2353" t="s">
        <v>73</v>
      </c>
      <c r="D2353" t="s">
        <v>74</v>
      </c>
      <c r="E2353" t="s">
        <v>74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74</v>
      </c>
    </row>
    <row r="2354" spans="1:20" x14ac:dyDescent="0.3">
      <c r="A2354" t="s">
        <v>43</v>
      </c>
      <c r="B2354">
        <v>109</v>
      </c>
      <c r="C2354" t="s">
        <v>71</v>
      </c>
      <c r="D2354" t="s">
        <v>74</v>
      </c>
      <c r="E2354" t="s">
        <v>74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74</v>
      </c>
    </row>
    <row r="2355" spans="1:20" x14ac:dyDescent="0.3">
      <c r="A2355" t="s">
        <v>51</v>
      </c>
      <c r="B2355">
        <v>108</v>
      </c>
      <c r="C2355" t="s">
        <v>71</v>
      </c>
      <c r="D2355" t="s">
        <v>74</v>
      </c>
      <c r="E2355" t="s">
        <v>74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74</v>
      </c>
    </row>
    <row r="2356" spans="1:20" x14ac:dyDescent="0.3">
      <c r="A2356" t="s">
        <v>22</v>
      </c>
      <c r="B2356">
        <v>79</v>
      </c>
      <c r="C2356" t="s">
        <v>71</v>
      </c>
      <c r="D2356" t="s">
        <v>74</v>
      </c>
      <c r="E2356" t="s">
        <v>75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74</v>
      </c>
    </row>
    <row r="2357" spans="1:20" x14ac:dyDescent="0.3">
      <c r="A2357" t="s">
        <v>49</v>
      </c>
      <c r="B2357">
        <v>119</v>
      </c>
      <c r="C2357" t="s">
        <v>73</v>
      </c>
      <c r="D2357" t="s">
        <v>74</v>
      </c>
      <c r="E2357" t="s">
        <v>74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75</v>
      </c>
    </row>
    <row r="2358" spans="1:20" x14ac:dyDescent="0.3">
      <c r="A2358" t="s">
        <v>32</v>
      </c>
      <c r="B2358">
        <v>38</v>
      </c>
      <c r="C2358" t="s">
        <v>72</v>
      </c>
      <c r="D2358" t="s">
        <v>74</v>
      </c>
      <c r="E2358" t="s">
        <v>74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75</v>
      </c>
    </row>
    <row r="2359" spans="1:20" x14ac:dyDescent="0.3">
      <c r="A2359" t="s">
        <v>62</v>
      </c>
      <c r="B2359">
        <v>109</v>
      </c>
      <c r="C2359" t="s">
        <v>71</v>
      </c>
      <c r="D2359" t="s">
        <v>74</v>
      </c>
      <c r="E2359" t="s">
        <v>75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75</v>
      </c>
    </row>
    <row r="2360" spans="1:20" x14ac:dyDescent="0.3">
      <c r="A2360" t="s">
        <v>53</v>
      </c>
      <c r="B2360">
        <v>78</v>
      </c>
      <c r="C2360" t="s">
        <v>71</v>
      </c>
      <c r="D2360" t="s">
        <v>74</v>
      </c>
      <c r="E2360" t="s">
        <v>74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74</v>
      </c>
    </row>
    <row r="2361" spans="1:20" x14ac:dyDescent="0.3">
      <c r="A2361" t="s">
        <v>32</v>
      </c>
      <c r="B2361">
        <v>134</v>
      </c>
      <c r="C2361" t="s">
        <v>71</v>
      </c>
      <c r="D2361" t="s">
        <v>74</v>
      </c>
      <c r="E2361" t="s">
        <v>74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74</v>
      </c>
    </row>
    <row r="2362" spans="1:20" x14ac:dyDescent="0.3">
      <c r="A2362" t="s">
        <v>41</v>
      </c>
      <c r="B2362">
        <v>47</v>
      </c>
      <c r="C2362" t="s">
        <v>71</v>
      </c>
      <c r="D2362" t="s">
        <v>74</v>
      </c>
      <c r="E2362" t="s">
        <v>75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74</v>
      </c>
    </row>
    <row r="2363" spans="1:20" x14ac:dyDescent="0.3">
      <c r="A2363" t="s">
        <v>53</v>
      </c>
      <c r="B2363">
        <v>59</v>
      </c>
      <c r="C2363" t="s">
        <v>73</v>
      </c>
      <c r="D2363" t="s">
        <v>74</v>
      </c>
      <c r="E2363" t="s">
        <v>75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74</v>
      </c>
    </row>
    <row r="2364" spans="1:20" x14ac:dyDescent="0.3">
      <c r="A2364" t="s">
        <v>29</v>
      </c>
      <c r="B2364">
        <v>151</v>
      </c>
      <c r="C2364" t="s">
        <v>71</v>
      </c>
      <c r="D2364" t="s">
        <v>74</v>
      </c>
      <c r="E2364" t="s">
        <v>74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74</v>
      </c>
    </row>
    <row r="2365" spans="1:20" x14ac:dyDescent="0.3">
      <c r="A2365" t="s">
        <v>66</v>
      </c>
      <c r="B2365">
        <v>129</v>
      </c>
      <c r="C2365" t="s">
        <v>71</v>
      </c>
      <c r="D2365" t="s">
        <v>74</v>
      </c>
      <c r="E2365" t="s">
        <v>74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74</v>
      </c>
    </row>
    <row r="2366" spans="1:20" x14ac:dyDescent="0.3">
      <c r="A2366" t="s">
        <v>40</v>
      </c>
      <c r="B2366">
        <v>76</v>
      </c>
      <c r="C2366" t="s">
        <v>72</v>
      </c>
      <c r="D2366" t="s">
        <v>74</v>
      </c>
      <c r="E2366" t="s">
        <v>74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74</v>
      </c>
    </row>
    <row r="2367" spans="1:20" x14ac:dyDescent="0.3">
      <c r="A2367" t="s">
        <v>67</v>
      </c>
      <c r="B2367">
        <v>24</v>
      </c>
      <c r="C2367" t="s">
        <v>71</v>
      </c>
      <c r="D2367" t="s">
        <v>74</v>
      </c>
      <c r="E2367" t="s">
        <v>74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74</v>
      </c>
    </row>
    <row r="2368" spans="1:20" x14ac:dyDescent="0.3">
      <c r="A2368" t="s">
        <v>66</v>
      </c>
      <c r="B2368">
        <v>169</v>
      </c>
      <c r="C2368" t="s">
        <v>73</v>
      </c>
      <c r="D2368" t="s">
        <v>74</v>
      </c>
      <c r="E2368" t="s">
        <v>74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74</v>
      </c>
    </row>
    <row r="2369" spans="1:20" x14ac:dyDescent="0.3">
      <c r="A2369" t="s">
        <v>32</v>
      </c>
      <c r="B2369">
        <v>30</v>
      </c>
      <c r="C2369" t="s">
        <v>73</v>
      </c>
      <c r="D2369" t="s">
        <v>74</v>
      </c>
      <c r="E2369" t="s">
        <v>74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74</v>
      </c>
    </row>
    <row r="2370" spans="1:20" x14ac:dyDescent="0.3">
      <c r="A2370" t="s">
        <v>65</v>
      </c>
      <c r="B2370">
        <v>70</v>
      </c>
      <c r="C2370" t="s">
        <v>71</v>
      </c>
      <c r="D2370" t="s">
        <v>74</v>
      </c>
      <c r="E2370" t="s">
        <v>74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74</v>
      </c>
    </row>
    <row r="2371" spans="1:20" x14ac:dyDescent="0.3">
      <c r="A2371" t="s">
        <v>56</v>
      </c>
      <c r="B2371">
        <v>52</v>
      </c>
      <c r="C2371" t="s">
        <v>72</v>
      </c>
      <c r="D2371" t="s">
        <v>75</v>
      </c>
      <c r="E2371" t="s">
        <v>74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75</v>
      </c>
    </row>
    <row r="2372" spans="1:20" x14ac:dyDescent="0.3">
      <c r="A2372" t="s">
        <v>67</v>
      </c>
      <c r="B2372">
        <v>3</v>
      </c>
      <c r="C2372" t="s">
        <v>73</v>
      </c>
      <c r="D2372" t="s">
        <v>74</v>
      </c>
      <c r="E2372" t="s">
        <v>74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74</v>
      </c>
    </row>
    <row r="2373" spans="1:20" x14ac:dyDescent="0.3">
      <c r="A2373" t="s">
        <v>53</v>
      </c>
      <c r="B2373">
        <v>38</v>
      </c>
      <c r="C2373" t="s">
        <v>71</v>
      </c>
      <c r="D2373" t="s">
        <v>74</v>
      </c>
      <c r="E2373" t="s">
        <v>74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74</v>
      </c>
    </row>
    <row r="2374" spans="1:20" x14ac:dyDescent="0.3">
      <c r="A2374" t="s">
        <v>38</v>
      </c>
      <c r="B2374">
        <v>104</v>
      </c>
      <c r="C2374" t="s">
        <v>71</v>
      </c>
      <c r="D2374" t="s">
        <v>74</v>
      </c>
      <c r="E2374" t="s">
        <v>74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74</v>
      </c>
    </row>
    <row r="2375" spans="1:20" x14ac:dyDescent="0.3">
      <c r="A2375" t="s">
        <v>26</v>
      </c>
      <c r="B2375">
        <v>27</v>
      </c>
      <c r="C2375" t="s">
        <v>73</v>
      </c>
      <c r="D2375" t="s">
        <v>74</v>
      </c>
      <c r="E2375" t="s">
        <v>74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74</v>
      </c>
    </row>
    <row r="2376" spans="1:20" x14ac:dyDescent="0.3">
      <c r="A2376" t="s">
        <v>20</v>
      </c>
      <c r="B2376">
        <v>166</v>
      </c>
      <c r="C2376" t="s">
        <v>71</v>
      </c>
      <c r="D2376" t="s">
        <v>75</v>
      </c>
      <c r="E2376" t="s">
        <v>75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74</v>
      </c>
    </row>
    <row r="2377" spans="1:20" x14ac:dyDescent="0.3">
      <c r="A2377" t="s">
        <v>36</v>
      </c>
      <c r="B2377">
        <v>13</v>
      </c>
      <c r="C2377" t="s">
        <v>73</v>
      </c>
      <c r="D2377" t="s">
        <v>74</v>
      </c>
      <c r="E2377" t="s">
        <v>74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74</v>
      </c>
    </row>
    <row r="2378" spans="1:20" x14ac:dyDescent="0.3">
      <c r="A2378" t="s">
        <v>35</v>
      </c>
      <c r="B2378">
        <v>52</v>
      </c>
      <c r="C2378" t="s">
        <v>73</v>
      </c>
      <c r="D2378" t="s">
        <v>74</v>
      </c>
      <c r="E2378" t="s">
        <v>74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74</v>
      </c>
    </row>
    <row r="2379" spans="1:20" x14ac:dyDescent="0.3">
      <c r="A2379" t="s">
        <v>56</v>
      </c>
      <c r="B2379">
        <v>114</v>
      </c>
      <c r="C2379" t="s">
        <v>71</v>
      </c>
      <c r="D2379" t="s">
        <v>74</v>
      </c>
      <c r="E2379" t="s">
        <v>75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74</v>
      </c>
    </row>
    <row r="2380" spans="1:20" x14ac:dyDescent="0.3">
      <c r="A2380" t="s">
        <v>33</v>
      </c>
      <c r="B2380">
        <v>156</v>
      </c>
      <c r="C2380" t="s">
        <v>73</v>
      </c>
      <c r="D2380" t="s">
        <v>74</v>
      </c>
      <c r="E2380" t="s">
        <v>74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74</v>
      </c>
    </row>
    <row r="2381" spans="1:20" x14ac:dyDescent="0.3">
      <c r="A2381" t="s">
        <v>65</v>
      </c>
      <c r="B2381">
        <v>62</v>
      </c>
      <c r="C2381" t="s">
        <v>71</v>
      </c>
      <c r="D2381" t="s">
        <v>74</v>
      </c>
      <c r="E2381" t="s">
        <v>74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74</v>
      </c>
    </row>
    <row r="2382" spans="1:20" x14ac:dyDescent="0.3">
      <c r="A2382" t="s">
        <v>48</v>
      </c>
      <c r="B2382">
        <v>82</v>
      </c>
      <c r="C2382" t="s">
        <v>71</v>
      </c>
      <c r="D2382" t="s">
        <v>74</v>
      </c>
      <c r="E2382" t="s">
        <v>75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74</v>
      </c>
    </row>
    <row r="2383" spans="1:20" x14ac:dyDescent="0.3">
      <c r="A2383" t="s">
        <v>59</v>
      </c>
      <c r="B2383">
        <v>52</v>
      </c>
      <c r="C2383" t="s">
        <v>72</v>
      </c>
      <c r="D2383" t="s">
        <v>74</v>
      </c>
      <c r="E2383" t="s">
        <v>74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74</v>
      </c>
    </row>
    <row r="2384" spans="1:20" x14ac:dyDescent="0.3">
      <c r="A2384" t="s">
        <v>46</v>
      </c>
      <c r="B2384">
        <v>146</v>
      </c>
      <c r="C2384" t="s">
        <v>72</v>
      </c>
      <c r="D2384" t="s">
        <v>74</v>
      </c>
      <c r="E2384" t="s">
        <v>74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74</v>
      </c>
    </row>
    <row r="2385" spans="1:20" x14ac:dyDescent="0.3">
      <c r="A2385" t="s">
        <v>55</v>
      </c>
      <c r="B2385">
        <v>120</v>
      </c>
      <c r="C2385" t="s">
        <v>71</v>
      </c>
      <c r="D2385" t="s">
        <v>74</v>
      </c>
      <c r="E2385" t="s">
        <v>75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74</v>
      </c>
    </row>
    <row r="2386" spans="1:20" x14ac:dyDescent="0.3">
      <c r="A2386" t="s">
        <v>29</v>
      </c>
      <c r="B2386">
        <v>130</v>
      </c>
      <c r="C2386" t="s">
        <v>71</v>
      </c>
      <c r="D2386" t="s">
        <v>74</v>
      </c>
      <c r="E2386" t="s">
        <v>74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75</v>
      </c>
    </row>
    <row r="2387" spans="1:20" x14ac:dyDescent="0.3">
      <c r="A2387" t="s">
        <v>31</v>
      </c>
      <c r="B2387">
        <v>90</v>
      </c>
      <c r="C2387" t="s">
        <v>73</v>
      </c>
      <c r="D2387" t="s">
        <v>74</v>
      </c>
      <c r="E2387" t="s">
        <v>74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74</v>
      </c>
    </row>
    <row r="2388" spans="1:20" x14ac:dyDescent="0.3">
      <c r="A2388" t="s">
        <v>52</v>
      </c>
      <c r="B2388">
        <v>147</v>
      </c>
      <c r="C2388" t="s">
        <v>73</v>
      </c>
      <c r="D2388" t="s">
        <v>75</v>
      </c>
      <c r="E2388" t="s">
        <v>74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74</v>
      </c>
    </row>
    <row r="2389" spans="1:20" x14ac:dyDescent="0.3">
      <c r="A2389" t="s">
        <v>30</v>
      </c>
      <c r="B2389">
        <v>159</v>
      </c>
      <c r="C2389" t="s">
        <v>71</v>
      </c>
      <c r="D2389" t="s">
        <v>74</v>
      </c>
      <c r="E2389" t="s">
        <v>74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75</v>
      </c>
    </row>
    <row r="2390" spans="1:20" x14ac:dyDescent="0.3">
      <c r="A2390" t="s">
        <v>25</v>
      </c>
      <c r="B2390">
        <v>74</v>
      </c>
      <c r="C2390" t="s">
        <v>72</v>
      </c>
      <c r="D2390" t="s">
        <v>74</v>
      </c>
      <c r="E2390" t="s">
        <v>75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74</v>
      </c>
    </row>
    <row r="2391" spans="1:20" x14ac:dyDescent="0.3">
      <c r="A2391" t="s">
        <v>34</v>
      </c>
      <c r="B2391">
        <v>130</v>
      </c>
      <c r="C2391" t="s">
        <v>73</v>
      </c>
      <c r="D2391" t="s">
        <v>74</v>
      </c>
      <c r="E2391" t="s">
        <v>74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74</v>
      </c>
    </row>
    <row r="2392" spans="1:20" x14ac:dyDescent="0.3">
      <c r="A2392" t="s">
        <v>55</v>
      </c>
      <c r="B2392">
        <v>155</v>
      </c>
      <c r="C2392" t="s">
        <v>73</v>
      </c>
      <c r="D2392" t="s">
        <v>75</v>
      </c>
      <c r="E2392" t="s">
        <v>74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74</v>
      </c>
    </row>
    <row r="2393" spans="1:20" x14ac:dyDescent="0.3">
      <c r="A2393" t="s">
        <v>40</v>
      </c>
      <c r="B2393">
        <v>87</v>
      </c>
      <c r="C2393" t="s">
        <v>71</v>
      </c>
      <c r="D2393" t="s">
        <v>74</v>
      </c>
      <c r="E2393" t="s">
        <v>74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74</v>
      </c>
    </row>
    <row r="2394" spans="1:20" x14ac:dyDescent="0.3">
      <c r="A2394" t="s">
        <v>58</v>
      </c>
      <c r="B2394">
        <v>81</v>
      </c>
      <c r="C2394" t="s">
        <v>71</v>
      </c>
      <c r="D2394" t="s">
        <v>74</v>
      </c>
      <c r="E2394" t="s">
        <v>74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75</v>
      </c>
    </row>
    <row r="2395" spans="1:20" x14ac:dyDescent="0.3">
      <c r="A2395" t="s">
        <v>50</v>
      </c>
      <c r="B2395">
        <v>99</v>
      </c>
      <c r="C2395" t="s">
        <v>72</v>
      </c>
      <c r="D2395" t="s">
        <v>74</v>
      </c>
      <c r="E2395" t="s">
        <v>74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74</v>
      </c>
    </row>
    <row r="2396" spans="1:20" x14ac:dyDescent="0.3">
      <c r="A2396" t="s">
        <v>56</v>
      </c>
      <c r="B2396">
        <v>131</v>
      </c>
      <c r="C2396" t="s">
        <v>72</v>
      </c>
      <c r="D2396" t="s">
        <v>74</v>
      </c>
      <c r="E2396" t="s">
        <v>74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74</v>
      </c>
    </row>
    <row r="2397" spans="1:20" x14ac:dyDescent="0.3">
      <c r="A2397" t="s">
        <v>21</v>
      </c>
      <c r="B2397">
        <v>89</v>
      </c>
      <c r="C2397" t="s">
        <v>72</v>
      </c>
      <c r="D2397" t="s">
        <v>74</v>
      </c>
      <c r="E2397" t="s">
        <v>74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75</v>
      </c>
    </row>
    <row r="2398" spans="1:20" x14ac:dyDescent="0.3">
      <c r="A2398" t="s">
        <v>53</v>
      </c>
      <c r="B2398">
        <v>123</v>
      </c>
      <c r="C2398" t="s">
        <v>71</v>
      </c>
      <c r="D2398" t="s">
        <v>75</v>
      </c>
      <c r="E2398" t="s">
        <v>74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75</v>
      </c>
    </row>
    <row r="2399" spans="1:20" x14ac:dyDescent="0.3">
      <c r="A2399" t="s">
        <v>53</v>
      </c>
      <c r="B2399">
        <v>130</v>
      </c>
      <c r="C2399" t="s">
        <v>72</v>
      </c>
      <c r="D2399" t="s">
        <v>74</v>
      </c>
      <c r="E2399" t="s">
        <v>75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74</v>
      </c>
    </row>
    <row r="2400" spans="1:20" x14ac:dyDescent="0.3">
      <c r="A2400" t="s">
        <v>67</v>
      </c>
      <c r="B2400">
        <v>99</v>
      </c>
      <c r="C2400" t="s">
        <v>71</v>
      </c>
      <c r="D2400" t="s">
        <v>74</v>
      </c>
      <c r="E2400" t="s">
        <v>74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74</v>
      </c>
    </row>
    <row r="2401" spans="1:20" x14ac:dyDescent="0.3">
      <c r="A2401" t="s">
        <v>65</v>
      </c>
      <c r="B2401">
        <v>36</v>
      </c>
      <c r="C2401" t="s">
        <v>73</v>
      </c>
      <c r="D2401" t="s">
        <v>74</v>
      </c>
      <c r="E2401" t="s">
        <v>74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74</v>
      </c>
    </row>
    <row r="2402" spans="1:20" x14ac:dyDescent="0.3">
      <c r="A2402" t="s">
        <v>65</v>
      </c>
      <c r="B2402">
        <v>87</v>
      </c>
      <c r="C2402" t="s">
        <v>71</v>
      </c>
      <c r="D2402" t="s">
        <v>74</v>
      </c>
      <c r="E2402" t="s">
        <v>74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74</v>
      </c>
    </row>
    <row r="2403" spans="1:20" x14ac:dyDescent="0.3">
      <c r="A2403" t="s">
        <v>65</v>
      </c>
      <c r="B2403">
        <v>139</v>
      </c>
      <c r="C2403" t="s">
        <v>71</v>
      </c>
      <c r="D2403" t="s">
        <v>74</v>
      </c>
      <c r="E2403" t="s">
        <v>74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74</v>
      </c>
    </row>
    <row r="2404" spans="1:20" x14ac:dyDescent="0.3">
      <c r="A2404" t="s">
        <v>52</v>
      </c>
      <c r="B2404">
        <v>96</v>
      </c>
      <c r="C2404" t="s">
        <v>71</v>
      </c>
      <c r="D2404" t="s">
        <v>74</v>
      </c>
      <c r="E2404" t="s">
        <v>75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74</v>
      </c>
    </row>
    <row r="2405" spans="1:20" x14ac:dyDescent="0.3">
      <c r="A2405" t="s">
        <v>45</v>
      </c>
      <c r="B2405">
        <v>112</v>
      </c>
      <c r="C2405" t="s">
        <v>73</v>
      </c>
      <c r="D2405" t="s">
        <v>74</v>
      </c>
      <c r="E2405" t="s">
        <v>74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74</v>
      </c>
    </row>
    <row r="2406" spans="1:20" x14ac:dyDescent="0.3">
      <c r="A2406" t="s">
        <v>66</v>
      </c>
      <c r="B2406">
        <v>75</v>
      </c>
      <c r="C2406" t="s">
        <v>73</v>
      </c>
      <c r="D2406" t="s">
        <v>74</v>
      </c>
      <c r="E2406" t="s">
        <v>74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74</v>
      </c>
    </row>
    <row r="2407" spans="1:20" x14ac:dyDescent="0.3">
      <c r="A2407" t="s">
        <v>52</v>
      </c>
      <c r="B2407">
        <v>178</v>
      </c>
      <c r="C2407" t="s">
        <v>71</v>
      </c>
      <c r="D2407" t="s">
        <v>74</v>
      </c>
      <c r="E2407" t="s">
        <v>75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74</v>
      </c>
    </row>
    <row r="2408" spans="1:20" x14ac:dyDescent="0.3">
      <c r="A2408" t="s">
        <v>43</v>
      </c>
      <c r="B2408">
        <v>112</v>
      </c>
      <c r="C2408" t="s">
        <v>71</v>
      </c>
      <c r="D2408" t="s">
        <v>74</v>
      </c>
      <c r="E2408" t="s">
        <v>74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75</v>
      </c>
    </row>
    <row r="2409" spans="1:20" x14ac:dyDescent="0.3">
      <c r="A2409" t="s">
        <v>28</v>
      </c>
      <c r="B2409">
        <v>108</v>
      </c>
      <c r="C2409" t="s">
        <v>71</v>
      </c>
      <c r="D2409" t="s">
        <v>74</v>
      </c>
      <c r="E2409" t="s">
        <v>75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74</v>
      </c>
    </row>
    <row r="2410" spans="1:20" x14ac:dyDescent="0.3">
      <c r="A2410" t="s">
        <v>48</v>
      </c>
      <c r="B2410">
        <v>100</v>
      </c>
      <c r="C2410" t="s">
        <v>72</v>
      </c>
      <c r="D2410" t="s">
        <v>74</v>
      </c>
      <c r="E2410" t="s">
        <v>74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74</v>
      </c>
    </row>
    <row r="2411" spans="1:20" x14ac:dyDescent="0.3">
      <c r="A2411" t="s">
        <v>55</v>
      </c>
      <c r="B2411">
        <v>121</v>
      </c>
      <c r="C2411" t="s">
        <v>72</v>
      </c>
      <c r="D2411" t="s">
        <v>74</v>
      </c>
      <c r="E2411" t="s">
        <v>75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74</v>
      </c>
    </row>
    <row r="2412" spans="1:20" x14ac:dyDescent="0.3">
      <c r="A2412" t="s">
        <v>56</v>
      </c>
      <c r="B2412">
        <v>116</v>
      </c>
      <c r="C2412" t="s">
        <v>71</v>
      </c>
      <c r="D2412" t="s">
        <v>74</v>
      </c>
      <c r="E2412" t="s">
        <v>74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74</v>
      </c>
    </row>
    <row r="2413" spans="1:20" x14ac:dyDescent="0.3">
      <c r="A2413" t="s">
        <v>46</v>
      </c>
      <c r="B2413">
        <v>161</v>
      </c>
      <c r="C2413" t="s">
        <v>71</v>
      </c>
      <c r="D2413" t="s">
        <v>74</v>
      </c>
      <c r="E2413" t="s">
        <v>74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74</v>
      </c>
    </row>
    <row r="2414" spans="1:20" x14ac:dyDescent="0.3">
      <c r="A2414" t="s">
        <v>65</v>
      </c>
      <c r="B2414">
        <v>104</v>
      </c>
      <c r="C2414" t="s">
        <v>71</v>
      </c>
      <c r="D2414" t="s">
        <v>74</v>
      </c>
      <c r="E2414" t="s">
        <v>74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74</v>
      </c>
    </row>
    <row r="2415" spans="1:20" x14ac:dyDescent="0.3">
      <c r="A2415" t="s">
        <v>29</v>
      </c>
      <c r="B2415">
        <v>119</v>
      </c>
      <c r="C2415" t="s">
        <v>71</v>
      </c>
      <c r="D2415" t="s">
        <v>75</v>
      </c>
      <c r="E2415" t="s">
        <v>75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74</v>
      </c>
    </row>
    <row r="2416" spans="1:20" x14ac:dyDescent="0.3">
      <c r="A2416" t="s">
        <v>49</v>
      </c>
      <c r="B2416">
        <v>125</v>
      </c>
      <c r="C2416" t="s">
        <v>71</v>
      </c>
      <c r="D2416" t="s">
        <v>74</v>
      </c>
      <c r="E2416" t="s">
        <v>74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74</v>
      </c>
    </row>
    <row r="2417" spans="1:20" x14ac:dyDescent="0.3">
      <c r="A2417" t="s">
        <v>30</v>
      </c>
      <c r="B2417">
        <v>109</v>
      </c>
      <c r="C2417" t="s">
        <v>71</v>
      </c>
      <c r="D2417" t="s">
        <v>74</v>
      </c>
      <c r="E2417" t="s">
        <v>74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74</v>
      </c>
    </row>
    <row r="2418" spans="1:20" x14ac:dyDescent="0.3">
      <c r="A2418" t="s">
        <v>46</v>
      </c>
      <c r="B2418">
        <v>95</v>
      </c>
      <c r="C2418" t="s">
        <v>72</v>
      </c>
      <c r="D2418" t="s">
        <v>74</v>
      </c>
      <c r="E2418" t="s">
        <v>74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74</v>
      </c>
    </row>
    <row r="2419" spans="1:20" x14ac:dyDescent="0.3">
      <c r="A2419" t="s">
        <v>32</v>
      </c>
      <c r="B2419">
        <v>90</v>
      </c>
      <c r="C2419" t="s">
        <v>73</v>
      </c>
      <c r="D2419" t="s">
        <v>74</v>
      </c>
      <c r="E2419" t="s">
        <v>74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74</v>
      </c>
    </row>
    <row r="2420" spans="1:20" x14ac:dyDescent="0.3">
      <c r="A2420" t="s">
        <v>36</v>
      </c>
      <c r="B2420">
        <v>105</v>
      </c>
      <c r="C2420" t="s">
        <v>71</v>
      </c>
      <c r="D2420" t="s">
        <v>74</v>
      </c>
      <c r="E2420" t="s">
        <v>75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74</v>
      </c>
    </row>
    <row r="2421" spans="1:20" x14ac:dyDescent="0.3">
      <c r="A2421" t="s">
        <v>32</v>
      </c>
      <c r="B2421">
        <v>95</v>
      </c>
      <c r="C2421" t="s">
        <v>71</v>
      </c>
      <c r="D2421" t="s">
        <v>74</v>
      </c>
      <c r="E2421" t="s">
        <v>74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74</v>
      </c>
    </row>
    <row r="2422" spans="1:20" x14ac:dyDescent="0.3">
      <c r="A2422" t="s">
        <v>38</v>
      </c>
      <c r="B2422">
        <v>160</v>
      </c>
      <c r="C2422" t="s">
        <v>73</v>
      </c>
      <c r="D2422" t="s">
        <v>74</v>
      </c>
      <c r="E2422" t="s">
        <v>74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74</v>
      </c>
    </row>
    <row r="2423" spans="1:20" x14ac:dyDescent="0.3">
      <c r="A2423" t="s">
        <v>21</v>
      </c>
      <c r="B2423">
        <v>141</v>
      </c>
      <c r="C2423" t="s">
        <v>72</v>
      </c>
      <c r="D2423" t="s">
        <v>74</v>
      </c>
      <c r="E2423" t="s">
        <v>75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74</v>
      </c>
    </row>
    <row r="2424" spans="1:20" x14ac:dyDescent="0.3">
      <c r="A2424" t="s">
        <v>65</v>
      </c>
      <c r="B2424">
        <v>87</v>
      </c>
      <c r="C2424" t="s">
        <v>71</v>
      </c>
      <c r="D2424" t="s">
        <v>74</v>
      </c>
      <c r="E2424" t="s">
        <v>74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74</v>
      </c>
    </row>
    <row r="2425" spans="1:20" x14ac:dyDescent="0.3">
      <c r="A2425" t="s">
        <v>52</v>
      </c>
      <c r="B2425">
        <v>81</v>
      </c>
      <c r="C2425" t="s">
        <v>71</v>
      </c>
      <c r="D2425" t="s">
        <v>74</v>
      </c>
      <c r="E2425" t="s">
        <v>74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74</v>
      </c>
    </row>
    <row r="2426" spans="1:20" x14ac:dyDescent="0.3">
      <c r="A2426" t="s">
        <v>60</v>
      </c>
      <c r="B2426">
        <v>75</v>
      </c>
      <c r="C2426" t="s">
        <v>71</v>
      </c>
      <c r="D2426" t="s">
        <v>74</v>
      </c>
      <c r="E2426" t="s">
        <v>75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74</v>
      </c>
    </row>
    <row r="2427" spans="1:20" x14ac:dyDescent="0.3">
      <c r="A2427" t="s">
        <v>36</v>
      </c>
      <c r="B2427">
        <v>126</v>
      </c>
      <c r="C2427" t="s">
        <v>73</v>
      </c>
      <c r="D2427" t="s">
        <v>74</v>
      </c>
      <c r="E2427" t="s">
        <v>75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74</v>
      </c>
    </row>
    <row r="2428" spans="1:20" x14ac:dyDescent="0.3">
      <c r="A2428" t="s">
        <v>59</v>
      </c>
      <c r="B2428">
        <v>28</v>
      </c>
      <c r="C2428" t="s">
        <v>71</v>
      </c>
      <c r="D2428" t="s">
        <v>74</v>
      </c>
      <c r="E2428" t="s">
        <v>74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74</v>
      </c>
    </row>
    <row r="2429" spans="1:20" x14ac:dyDescent="0.3">
      <c r="A2429" t="s">
        <v>39</v>
      </c>
      <c r="B2429">
        <v>153</v>
      </c>
      <c r="C2429" t="s">
        <v>71</v>
      </c>
      <c r="D2429" t="s">
        <v>74</v>
      </c>
      <c r="E2429" t="s">
        <v>74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74</v>
      </c>
    </row>
    <row r="2430" spans="1:20" x14ac:dyDescent="0.3">
      <c r="A2430" t="s">
        <v>36</v>
      </c>
      <c r="B2430">
        <v>17</v>
      </c>
      <c r="C2430" t="s">
        <v>71</v>
      </c>
      <c r="D2430" t="s">
        <v>75</v>
      </c>
      <c r="E2430" t="s">
        <v>74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75</v>
      </c>
    </row>
    <row r="2431" spans="1:20" x14ac:dyDescent="0.3">
      <c r="A2431" t="s">
        <v>34</v>
      </c>
      <c r="B2431">
        <v>121</v>
      </c>
      <c r="C2431" t="s">
        <v>71</v>
      </c>
      <c r="D2431" t="s">
        <v>74</v>
      </c>
      <c r="E2431" t="s">
        <v>74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74</v>
      </c>
    </row>
    <row r="2432" spans="1:20" x14ac:dyDescent="0.3">
      <c r="A2432" t="s">
        <v>66</v>
      </c>
      <c r="B2432">
        <v>125</v>
      </c>
      <c r="C2432" t="s">
        <v>73</v>
      </c>
      <c r="D2432" t="s">
        <v>74</v>
      </c>
      <c r="E2432" t="s">
        <v>74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74</v>
      </c>
    </row>
    <row r="2433" spans="1:20" x14ac:dyDescent="0.3">
      <c r="A2433" t="s">
        <v>54</v>
      </c>
      <c r="B2433">
        <v>124</v>
      </c>
      <c r="C2433" t="s">
        <v>71</v>
      </c>
      <c r="D2433" t="s">
        <v>74</v>
      </c>
      <c r="E2433" t="s">
        <v>74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74</v>
      </c>
    </row>
    <row r="2434" spans="1:20" x14ac:dyDescent="0.3">
      <c r="A2434" t="s">
        <v>28</v>
      </c>
      <c r="B2434">
        <v>35</v>
      </c>
      <c r="C2434" t="s">
        <v>73</v>
      </c>
      <c r="D2434" t="s">
        <v>74</v>
      </c>
      <c r="E2434" t="s">
        <v>74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74</v>
      </c>
    </row>
    <row r="2435" spans="1:20" x14ac:dyDescent="0.3">
      <c r="A2435" t="s">
        <v>30</v>
      </c>
      <c r="B2435">
        <v>134</v>
      </c>
      <c r="C2435" t="s">
        <v>72</v>
      </c>
      <c r="D2435" t="s">
        <v>74</v>
      </c>
      <c r="E2435" t="s">
        <v>74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75</v>
      </c>
    </row>
    <row r="2436" spans="1:20" x14ac:dyDescent="0.3">
      <c r="A2436" t="s">
        <v>26</v>
      </c>
      <c r="B2436">
        <v>123</v>
      </c>
      <c r="C2436" t="s">
        <v>72</v>
      </c>
      <c r="D2436" t="s">
        <v>74</v>
      </c>
      <c r="E2436" t="s">
        <v>75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74</v>
      </c>
    </row>
    <row r="2437" spans="1:20" x14ac:dyDescent="0.3">
      <c r="A2437" t="s">
        <v>68</v>
      </c>
      <c r="B2437">
        <v>124</v>
      </c>
      <c r="C2437" t="s">
        <v>71</v>
      </c>
      <c r="D2437" t="s">
        <v>74</v>
      </c>
      <c r="E2437" t="s">
        <v>74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74</v>
      </c>
    </row>
    <row r="2438" spans="1:20" x14ac:dyDescent="0.3">
      <c r="A2438" t="s">
        <v>65</v>
      </c>
      <c r="B2438">
        <v>133</v>
      </c>
      <c r="C2438" t="s">
        <v>72</v>
      </c>
      <c r="D2438" t="s">
        <v>74</v>
      </c>
      <c r="E2438" t="s">
        <v>74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74</v>
      </c>
    </row>
    <row r="2439" spans="1:20" x14ac:dyDescent="0.3">
      <c r="A2439" t="s">
        <v>62</v>
      </c>
      <c r="B2439">
        <v>185</v>
      </c>
      <c r="C2439" t="s">
        <v>71</v>
      </c>
      <c r="D2439" t="s">
        <v>74</v>
      </c>
      <c r="E2439" t="s">
        <v>75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74</v>
      </c>
    </row>
    <row r="2440" spans="1:20" x14ac:dyDescent="0.3">
      <c r="A2440" t="s">
        <v>20</v>
      </c>
      <c r="B2440">
        <v>107</v>
      </c>
      <c r="C2440" t="s">
        <v>71</v>
      </c>
      <c r="D2440" t="s">
        <v>74</v>
      </c>
      <c r="E2440" t="s">
        <v>74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74</v>
      </c>
    </row>
    <row r="2441" spans="1:20" x14ac:dyDescent="0.3">
      <c r="A2441" t="s">
        <v>40</v>
      </c>
      <c r="B2441">
        <v>178</v>
      </c>
      <c r="C2441" t="s">
        <v>73</v>
      </c>
      <c r="D2441" t="s">
        <v>75</v>
      </c>
      <c r="E2441" t="s">
        <v>74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75</v>
      </c>
    </row>
    <row r="2442" spans="1:20" x14ac:dyDescent="0.3">
      <c r="A2442" t="s">
        <v>36</v>
      </c>
      <c r="B2442">
        <v>123</v>
      </c>
      <c r="C2442" t="s">
        <v>71</v>
      </c>
      <c r="D2442" t="s">
        <v>74</v>
      </c>
      <c r="E2442" t="s">
        <v>74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74</v>
      </c>
    </row>
    <row r="2443" spans="1:20" x14ac:dyDescent="0.3">
      <c r="A2443" t="s">
        <v>42</v>
      </c>
      <c r="B2443">
        <v>170</v>
      </c>
      <c r="C2443" t="s">
        <v>71</v>
      </c>
      <c r="D2443" t="s">
        <v>74</v>
      </c>
      <c r="E2443" t="s">
        <v>74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75</v>
      </c>
    </row>
    <row r="2444" spans="1:20" x14ac:dyDescent="0.3">
      <c r="A2444" t="s">
        <v>67</v>
      </c>
      <c r="B2444">
        <v>135</v>
      </c>
      <c r="C2444" t="s">
        <v>71</v>
      </c>
      <c r="D2444" t="s">
        <v>74</v>
      </c>
      <c r="E2444" t="s">
        <v>74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74</v>
      </c>
    </row>
    <row r="2445" spans="1:20" x14ac:dyDescent="0.3">
      <c r="A2445" t="s">
        <v>58</v>
      </c>
      <c r="B2445">
        <v>134</v>
      </c>
      <c r="C2445" t="s">
        <v>71</v>
      </c>
      <c r="D2445" t="s">
        <v>74</v>
      </c>
      <c r="E2445" t="s">
        <v>75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74</v>
      </c>
    </row>
    <row r="2446" spans="1:20" x14ac:dyDescent="0.3">
      <c r="A2446" t="s">
        <v>69</v>
      </c>
      <c r="B2446">
        <v>148</v>
      </c>
      <c r="C2446" t="s">
        <v>71</v>
      </c>
      <c r="D2446" t="s">
        <v>74</v>
      </c>
      <c r="E2446" t="s">
        <v>75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74</v>
      </c>
    </row>
    <row r="2447" spans="1:20" x14ac:dyDescent="0.3">
      <c r="A2447" t="s">
        <v>54</v>
      </c>
      <c r="B2447">
        <v>93</v>
      </c>
      <c r="C2447" t="s">
        <v>71</v>
      </c>
      <c r="D2447" t="s">
        <v>74</v>
      </c>
      <c r="E2447" t="s">
        <v>74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75</v>
      </c>
    </row>
    <row r="2448" spans="1:20" x14ac:dyDescent="0.3">
      <c r="A2448" t="s">
        <v>48</v>
      </c>
      <c r="B2448">
        <v>138</v>
      </c>
      <c r="C2448" t="s">
        <v>71</v>
      </c>
      <c r="D2448" t="s">
        <v>74</v>
      </c>
      <c r="E2448" t="s">
        <v>74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74</v>
      </c>
    </row>
    <row r="2449" spans="1:20" x14ac:dyDescent="0.3">
      <c r="A2449" t="s">
        <v>58</v>
      </c>
      <c r="B2449">
        <v>159</v>
      </c>
      <c r="C2449" t="s">
        <v>72</v>
      </c>
      <c r="D2449" t="s">
        <v>74</v>
      </c>
      <c r="E2449" t="s">
        <v>74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74</v>
      </c>
    </row>
    <row r="2450" spans="1:20" x14ac:dyDescent="0.3">
      <c r="A2450" t="s">
        <v>45</v>
      </c>
      <c r="B2450">
        <v>103</v>
      </c>
      <c r="C2450" t="s">
        <v>71</v>
      </c>
      <c r="D2450" t="s">
        <v>74</v>
      </c>
      <c r="E2450" t="s">
        <v>75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74</v>
      </c>
    </row>
    <row r="2451" spans="1:20" x14ac:dyDescent="0.3">
      <c r="A2451" t="s">
        <v>36</v>
      </c>
      <c r="B2451">
        <v>150</v>
      </c>
      <c r="C2451" t="s">
        <v>73</v>
      </c>
      <c r="D2451" t="s">
        <v>74</v>
      </c>
      <c r="E2451" t="s">
        <v>75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74</v>
      </c>
    </row>
    <row r="2452" spans="1:20" x14ac:dyDescent="0.3">
      <c r="A2452" t="s">
        <v>54</v>
      </c>
      <c r="B2452">
        <v>37</v>
      </c>
      <c r="C2452" t="s">
        <v>73</v>
      </c>
      <c r="D2452" t="s">
        <v>74</v>
      </c>
      <c r="E2452" t="s">
        <v>74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74</v>
      </c>
    </row>
    <row r="2453" spans="1:20" x14ac:dyDescent="0.3">
      <c r="A2453" t="s">
        <v>62</v>
      </c>
      <c r="B2453">
        <v>33</v>
      </c>
      <c r="C2453" t="s">
        <v>71</v>
      </c>
      <c r="D2453" t="s">
        <v>75</v>
      </c>
      <c r="E2453" t="s">
        <v>74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74</v>
      </c>
    </row>
    <row r="2454" spans="1:20" x14ac:dyDescent="0.3">
      <c r="A2454" t="s">
        <v>56</v>
      </c>
      <c r="B2454">
        <v>55</v>
      </c>
      <c r="C2454" t="s">
        <v>71</v>
      </c>
      <c r="D2454" t="s">
        <v>74</v>
      </c>
      <c r="E2454" t="s">
        <v>74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74</v>
      </c>
    </row>
    <row r="2455" spans="1:20" x14ac:dyDescent="0.3">
      <c r="A2455" t="s">
        <v>54</v>
      </c>
      <c r="B2455">
        <v>134</v>
      </c>
      <c r="C2455" t="s">
        <v>73</v>
      </c>
      <c r="D2455" t="s">
        <v>74</v>
      </c>
      <c r="E2455" t="s">
        <v>75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74</v>
      </c>
    </row>
    <row r="2456" spans="1:20" x14ac:dyDescent="0.3">
      <c r="A2456" t="s">
        <v>54</v>
      </c>
      <c r="B2456">
        <v>107</v>
      </c>
      <c r="C2456" t="s">
        <v>73</v>
      </c>
      <c r="D2456" t="s">
        <v>74</v>
      </c>
      <c r="E2456" t="s">
        <v>74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74</v>
      </c>
    </row>
    <row r="2457" spans="1:20" x14ac:dyDescent="0.3">
      <c r="A2457" t="s">
        <v>36</v>
      </c>
      <c r="B2457">
        <v>80</v>
      </c>
      <c r="C2457" t="s">
        <v>73</v>
      </c>
      <c r="D2457" t="s">
        <v>74</v>
      </c>
      <c r="E2457" t="s">
        <v>75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74</v>
      </c>
    </row>
    <row r="2458" spans="1:20" x14ac:dyDescent="0.3">
      <c r="A2458" t="s">
        <v>53</v>
      </c>
      <c r="B2458">
        <v>78</v>
      </c>
      <c r="C2458" t="s">
        <v>73</v>
      </c>
      <c r="D2458" t="s">
        <v>74</v>
      </c>
      <c r="E2458" t="s">
        <v>74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75</v>
      </c>
    </row>
    <row r="2459" spans="1:20" x14ac:dyDescent="0.3">
      <c r="A2459" t="s">
        <v>35</v>
      </c>
      <c r="B2459">
        <v>61</v>
      </c>
      <c r="C2459" t="s">
        <v>71</v>
      </c>
      <c r="D2459" t="s">
        <v>74</v>
      </c>
      <c r="E2459" t="s">
        <v>75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74</v>
      </c>
    </row>
    <row r="2460" spans="1:20" x14ac:dyDescent="0.3">
      <c r="A2460" t="s">
        <v>45</v>
      </c>
      <c r="B2460">
        <v>97</v>
      </c>
      <c r="C2460" t="s">
        <v>71</v>
      </c>
      <c r="D2460" t="s">
        <v>74</v>
      </c>
      <c r="E2460" t="s">
        <v>75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74</v>
      </c>
    </row>
    <row r="2461" spans="1:20" x14ac:dyDescent="0.3">
      <c r="A2461" t="s">
        <v>61</v>
      </c>
      <c r="B2461">
        <v>136</v>
      </c>
      <c r="C2461" t="s">
        <v>73</v>
      </c>
      <c r="D2461" t="s">
        <v>75</v>
      </c>
      <c r="E2461" t="s">
        <v>74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74</v>
      </c>
    </row>
    <row r="2462" spans="1:20" x14ac:dyDescent="0.3">
      <c r="A2462" t="s">
        <v>32</v>
      </c>
      <c r="B2462">
        <v>135</v>
      </c>
      <c r="C2462" t="s">
        <v>73</v>
      </c>
      <c r="D2462" t="s">
        <v>74</v>
      </c>
      <c r="E2462" t="s">
        <v>74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74</v>
      </c>
    </row>
    <row r="2463" spans="1:20" x14ac:dyDescent="0.3">
      <c r="A2463" t="s">
        <v>60</v>
      </c>
      <c r="B2463">
        <v>87</v>
      </c>
      <c r="C2463" t="s">
        <v>71</v>
      </c>
      <c r="D2463" t="s">
        <v>74</v>
      </c>
      <c r="E2463" t="s">
        <v>75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74</v>
      </c>
    </row>
    <row r="2464" spans="1:20" x14ac:dyDescent="0.3">
      <c r="A2464" t="s">
        <v>61</v>
      </c>
      <c r="B2464">
        <v>165</v>
      </c>
      <c r="C2464" t="s">
        <v>72</v>
      </c>
      <c r="D2464" t="s">
        <v>74</v>
      </c>
      <c r="E2464" t="s">
        <v>74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74</v>
      </c>
    </row>
    <row r="2465" spans="1:20" x14ac:dyDescent="0.3">
      <c r="A2465" t="s">
        <v>68</v>
      </c>
      <c r="B2465">
        <v>148</v>
      </c>
      <c r="C2465" t="s">
        <v>71</v>
      </c>
      <c r="D2465" t="s">
        <v>74</v>
      </c>
      <c r="E2465" t="s">
        <v>74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75</v>
      </c>
    </row>
    <row r="2466" spans="1:20" x14ac:dyDescent="0.3">
      <c r="A2466" t="s">
        <v>52</v>
      </c>
      <c r="B2466">
        <v>127</v>
      </c>
      <c r="C2466" t="s">
        <v>71</v>
      </c>
      <c r="D2466" t="s">
        <v>75</v>
      </c>
      <c r="E2466" t="s">
        <v>74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74</v>
      </c>
    </row>
    <row r="2467" spans="1:20" x14ac:dyDescent="0.3">
      <c r="A2467" t="s">
        <v>30</v>
      </c>
      <c r="B2467">
        <v>151</v>
      </c>
      <c r="C2467" t="s">
        <v>71</v>
      </c>
      <c r="D2467" t="s">
        <v>74</v>
      </c>
      <c r="E2467" t="s">
        <v>74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74</v>
      </c>
    </row>
    <row r="2468" spans="1:20" x14ac:dyDescent="0.3">
      <c r="A2468" t="s">
        <v>60</v>
      </c>
      <c r="B2468">
        <v>185</v>
      </c>
      <c r="C2468" t="s">
        <v>73</v>
      </c>
      <c r="D2468" t="s">
        <v>74</v>
      </c>
      <c r="E2468" t="s">
        <v>74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74</v>
      </c>
    </row>
    <row r="2469" spans="1:20" x14ac:dyDescent="0.3">
      <c r="A2469" t="s">
        <v>20</v>
      </c>
      <c r="B2469">
        <v>65</v>
      </c>
      <c r="C2469" t="s">
        <v>71</v>
      </c>
      <c r="D2469" t="s">
        <v>74</v>
      </c>
      <c r="E2469" t="s">
        <v>75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74</v>
      </c>
    </row>
    <row r="2470" spans="1:20" x14ac:dyDescent="0.3">
      <c r="A2470" t="s">
        <v>30</v>
      </c>
      <c r="B2470">
        <v>58</v>
      </c>
      <c r="C2470" t="s">
        <v>72</v>
      </c>
      <c r="D2470" t="s">
        <v>74</v>
      </c>
      <c r="E2470" t="s">
        <v>74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74</v>
      </c>
    </row>
    <row r="2471" spans="1:20" x14ac:dyDescent="0.3">
      <c r="A2471" t="s">
        <v>42</v>
      </c>
      <c r="B2471">
        <v>44</v>
      </c>
      <c r="C2471" t="s">
        <v>71</v>
      </c>
      <c r="D2471" t="s">
        <v>74</v>
      </c>
      <c r="E2471" t="s">
        <v>74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74</v>
      </c>
    </row>
    <row r="2472" spans="1:20" x14ac:dyDescent="0.3">
      <c r="A2472" t="s">
        <v>36</v>
      </c>
      <c r="B2472">
        <v>58</v>
      </c>
      <c r="C2472" t="s">
        <v>73</v>
      </c>
      <c r="D2472" t="s">
        <v>74</v>
      </c>
      <c r="E2472" t="s">
        <v>74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74</v>
      </c>
    </row>
    <row r="2473" spans="1:20" x14ac:dyDescent="0.3">
      <c r="A2473" t="s">
        <v>42</v>
      </c>
      <c r="B2473">
        <v>108</v>
      </c>
      <c r="C2473" t="s">
        <v>71</v>
      </c>
      <c r="D2473" t="s">
        <v>74</v>
      </c>
      <c r="E2473" t="s">
        <v>74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74</v>
      </c>
    </row>
    <row r="2474" spans="1:20" x14ac:dyDescent="0.3">
      <c r="A2474" t="s">
        <v>32</v>
      </c>
      <c r="B2474">
        <v>132</v>
      </c>
      <c r="C2474" t="s">
        <v>72</v>
      </c>
      <c r="D2474" t="s">
        <v>74</v>
      </c>
      <c r="E2474" t="s">
        <v>74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74</v>
      </c>
    </row>
    <row r="2475" spans="1:20" x14ac:dyDescent="0.3">
      <c r="A2475" t="s">
        <v>24</v>
      </c>
      <c r="B2475">
        <v>80</v>
      </c>
      <c r="C2475" t="s">
        <v>71</v>
      </c>
      <c r="D2475" t="s">
        <v>74</v>
      </c>
      <c r="E2475" t="s">
        <v>74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74</v>
      </c>
    </row>
    <row r="2476" spans="1:20" x14ac:dyDescent="0.3">
      <c r="A2476" t="s">
        <v>61</v>
      </c>
      <c r="B2476">
        <v>162</v>
      </c>
      <c r="C2476" t="s">
        <v>71</v>
      </c>
      <c r="D2476" t="s">
        <v>74</v>
      </c>
      <c r="E2476" t="s">
        <v>74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74</v>
      </c>
    </row>
    <row r="2477" spans="1:20" x14ac:dyDescent="0.3">
      <c r="A2477" t="s">
        <v>70</v>
      </c>
      <c r="B2477">
        <v>110</v>
      </c>
      <c r="C2477" t="s">
        <v>72</v>
      </c>
      <c r="D2477" t="s">
        <v>74</v>
      </c>
      <c r="E2477" t="s">
        <v>74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74</v>
      </c>
    </row>
    <row r="2478" spans="1:20" x14ac:dyDescent="0.3">
      <c r="A2478" t="s">
        <v>41</v>
      </c>
      <c r="B2478">
        <v>96</v>
      </c>
      <c r="C2478" t="s">
        <v>71</v>
      </c>
      <c r="D2478" t="s">
        <v>74</v>
      </c>
      <c r="E2478" t="s">
        <v>74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75</v>
      </c>
    </row>
    <row r="2479" spans="1:20" x14ac:dyDescent="0.3">
      <c r="A2479" t="s">
        <v>51</v>
      </c>
      <c r="B2479">
        <v>72</v>
      </c>
      <c r="C2479" t="s">
        <v>72</v>
      </c>
      <c r="D2479" t="s">
        <v>74</v>
      </c>
      <c r="E2479" t="s">
        <v>74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75</v>
      </c>
    </row>
    <row r="2480" spans="1:20" x14ac:dyDescent="0.3">
      <c r="A2480" t="s">
        <v>33</v>
      </c>
      <c r="B2480">
        <v>125</v>
      </c>
      <c r="C2480" t="s">
        <v>73</v>
      </c>
      <c r="D2480" t="s">
        <v>74</v>
      </c>
      <c r="E2480" t="s">
        <v>75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74</v>
      </c>
    </row>
    <row r="2481" spans="1:20" x14ac:dyDescent="0.3">
      <c r="A2481" t="s">
        <v>63</v>
      </c>
      <c r="B2481">
        <v>170</v>
      </c>
      <c r="C2481" t="s">
        <v>72</v>
      </c>
      <c r="D2481" t="s">
        <v>74</v>
      </c>
      <c r="E2481" t="s">
        <v>74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74</v>
      </c>
    </row>
    <row r="2482" spans="1:20" x14ac:dyDescent="0.3">
      <c r="A2482" t="s">
        <v>35</v>
      </c>
      <c r="B2482">
        <v>71</v>
      </c>
      <c r="C2482" t="s">
        <v>72</v>
      </c>
      <c r="D2482" t="s">
        <v>74</v>
      </c>
      <c r="E2482" t="s">
        <v>74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74</v>
      </c>
    </row>
    <row r="2483" spans="1:20" x14ac:dyDescent="0.3">
      <c r="A2483" t="s">
        <v>43</v>
      </c>
      <c r="B2483">
        <v>124</v>
      </c>
      <c r="C2483" t="s">
        <v>71</v>
      </c>
      <c r="D2483" t="s">
        <v>74</v>
      </c>
      <c r="E2483" t="s">
        <v>74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74</v>
      </c>
    </row>
    <row r="2484" spans="1:20" x14ac:dyDescent="0.3">
      <c r="A2484" t="s">
        <v>42</v>
      </c>
      <c r="B2484">
        <v>97</v>
      </c>
      <c r="C2484" t="s">
        <v>71</v>
      </c>
      <c r="D2484" t="s">
        <v>74</v>
      </c>
      <c r="E2484" t="s">
        <v>74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74</v>
      </c>
    </row>
    <row r="2485" spans="1:20" x14ac:dyDescent="0.3">
      <c r="A2485" t="s">
        <v>25</v>
      </c>
      <c r="B2485">
        <v>98</v>
      </c>
      <c r="C2485" t="s">
        <v>72</v>
      </c>
      <c r="D2485" t="s">
        <v>75</v>
      </c>
      <c r="E2485" t="s">
        <v>74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74</v>
      </c>
    </row>
    <row r="2486" spans="1:20" x14ac:dyDescent="0.3">
      <c r="A2486" t="s">
        <v>63</v>
      </c>
      <c r="B2486">
        <v>24</v>
      </c>
      <c r="C2486" t="s">
        <v>73</v>
      </c>
      <c r="D2486" t="s">
        <v>74</v>
      </c>
      <c r="E2486" t="s">
        <v>74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75</v>
      </c>
    </row>
    <row r="2487" spans="1:20" x14ac:dyDescent="0.3">
      <c r="A2487" t="s">
        <v>63</v>
      </c>
      <c r="B2487">
        <v>136</v>
      </c>
      <c r="C2487" t="s">
        <v>72</v>
      </c>
      <c r="D2487" t="s">
        <v>74</v>
      </c>
      <c r="E2487" t="s">
        <v>74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74</v>
      </c>
    </row>
    <row r="2488" spans="1:20" x14ac:dyDescent="0.3">
      <c r="A2488" t="s">
        <v>44</v>
      </c>
      <c r="B2488">
        <v>44</v>
      </c>
      <c r="C2488" t="s">
        <v>73</v>
      </c>
      <c r="D2488" t="s">
        <v>74</v>
      </c>
      <c r="E2488" t="s">
        <v>74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75</v>
      </c>
    </row>
    <row r="2489" spans="1:20" x14ac:dyDescent="0.3">
      <c r="A2489" t="s">
        <v>70</v>
      </c>
      <c r="B2489">
        <v>96</v>
      </c>
      <c r="C2489" t="s">
        <v>71</v>
      </c>
      <c r="D2489" t="s">
        <v>74</v>
      </c>
      <c r="E2489" t="s">
        <v>75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74</v>
      </c>
    </row>
    <row r="2490" spans="1:20" x14ac:dyDescent="0.3">
      <c r="A2490" t="s">
        <v>24</v>
      </c>
      <c r="B2490">
        <v>31</v>
      </c>
      <c r="C2490" t="s">
        <v>71</v>
      </c>
      <c r="D2490" t="s">
        <v>74</v>
      </c>
      <c r="E2490" t="s">
        <v>74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74</v>
      </c>
    </row>
    <row r="2491" spans="1:20" x14ac:dyDescent="0.3">
      <c r="A2491" t="s">
        <v>21</v>
      </c>
      <c r="B2491">
        <v>72</v>
      </c>
      <c r="C2491" t="s">
        <v>71</v>
      </c>
      <c r="D2491" t="s">
        <v>74</v>
      </c>
      <c r="E2491" t="s">
        <v>74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74</v>
      </c>
    </row>
    <row r="2492" spans="1:20" x14ac:dyDescent="0.3">
      <c r="A2492" t="s">
        <v>67</v>
      </c>
      <c r="B2492">
        <v>24</v>
      </c>
      <c r="C2492" t="s">
        <v>71</v>
      </c>
      <c r="D2492" t="s">
        <v>74</v>
      </c>
      <c r="E2492" t="s">
        <v>74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74</v>
      </c>
    </row>
    <row r="2493" spans="1:20" x14ac:dyDescent="0.3">
      <c r="A2493" t="s">
        <v>27</v>
      </c>
      <c r="B2493">
        <v>117</v>
      </c>
      <c r="C2493" t="s">
        <v>71</v>
      </c>
      <c r="D2493" t="s">
        <v>75</v>
      </c>
      <c r="E2493" t="s">
        <v>74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75</v>
      </c>
    </row>
    <row r="2494" spans="1:20" x14ac:dyDescent="0.3">
      <c r="A2494" t="s">
        <v>20</v>
      </c>
      <c r="B2494">
        <v>137</v>
      </c>
      <c r="C2494" t="s">
        <v>71</v>
      </c>
      <c r="D2494" t="s">
        <v>74</v>
      </c>
      <c r="E2494" t="s">
        <v>75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74</v>
      </c>
    </row>
    <row r="2495" spans="1:20" x14ac:dyDescent="0.3">
      <c r="A2495" t="s">
        <v>47</v>
      </c>
      <c r="B2495">
        <v>136</v>
      </c>
      <c r="C2495" t="s">
        <v>73</v>
      </c>
      <c r="D2495" t="s">
        <v>74</v>
      </c>
      <c r="E2495" t="s">
        <v>74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74</v>
      </c>
    </row>
    <row r="2496" spans="1:20" x14ac:dyDescent="0.3">
      <c r="A2496" t="s">
        <v>42</v>
      </c>
      <c r="B2496">
        <v>95</v>
      </c>
      <c r="C2496" t="s">
        <v>71</v>
      </c>
      <c r="D2496" t="s">
        <v>74</v>
      </c>
      <c r="E2496" t="s">
        <v>74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74</v>
      </c>
    </row>
    <row r="2497" spans="1:20" x14ac:dyDescent="0.3">
      <c r="A2497" t="s">
        <v>58</v>
      </c>
      <c r="B2497">
        <v>82</v>
      </c>
      <c r="C2497" t="s">
        <v>71</v>
      </c>
      <c r="D2497" t="s">
        <v>74</v>
      </c>
      <c r="E2497" t="s">
        <v>75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74</v>
      </c>
    </row>
    <row r="2498" spans="1:20" x14ac:dyDescent="0.3">
      <c r="A2498" t="s">
        <v>64</v>
      </c>
      <c r="B2498">
        <v>145</v>
      </c>
      <c r="C2498" t="s">
        <v>71</v>
      </c>
      <c r="D2498" t="s">
        <v>74</v>
      </c>
      <c r="E2498" t="s">
        <v>74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75</v>
      </c>
    </row>
    <row r="2499" spans="1:20" x14ac:dyDescent="0.3">
      <c r="A2499" t="s">
        <v>32</v>
      </c>
      <c r="B2499">
        <v>155</v>
      </c>
      <c r="C2499" t="s">
        <v>73</v>
      </c>
      <c r="D2499" t="s">
        <v>75</v>
      </c>
      <c r="E2499" t="s">
        <v>74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74</v>
      </c>
    </row>
    <row r="2500" spans="1:20" x14ac:dyDescent="0.3">
      <c r="A2500" t="s">
        <v>34</v>
      </c>
      <c r="B2500">
        <v>53</v>
      </c>
      <c r="C2500" t="s">
        <v>71</v>
      </c>
      <c r="D2500" t="s">
        <v>74</v>
      </c>
      <c r="E2500" t="s">
        <v>74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74</v>
      </c>
    </row>
    <row r="2501" spans="1:20" x14ac:dyDescent="0.3">
      <c r="A2501" t="s">
        <v>30</v>
      </c>
      <c r="B2501">
        <v>123</v>
      </c>
      <c r="C2501" t="s">
        <v>71</v>
      </c>
      <c r="D2501" t="s">
        <v>74</v>
      </c>
      <c r="E2501" t="s">
        <v>74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75</v>
      </c>
    </row>
    <row r="2502" spans="1:20" x14ac:dyDescent="0.3">
      <c r="A2502" t="s">
        <v>27</v>
      </c>
      <c r="B2502">
        <v>136</v>
      </c>
      <c r="C2502" t="s">
        <v>71</v>
      </c>
      <c r="D2502" t="s">
        <v>74</v>
      </c>
      <c r="E2502" t="s">
        <v>74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74</v>
      </c>
    </row>
    <row r="2503" spans="1:20" x14ac:dyDescent="0.3">
      <c r="A2503" t="s">
        <v>34</v>
      </c>
      <c r="B2503">
        <v>57</v>
      </c>
      <c r="C2503" t="s">
        <v>71</v>
      </c>
      <c r="D2503" t="s">
        <v>74</v>
      </c>
      <c r="E2503" t="s">
        <v>74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74</v>
      </c>
    </row>
    <row r="2504" spans="1:20" x14ac:dyDescent="0.3">
      <c r="A2504" t="s">
        <v>65</v>
      </c>
      <c r="B2504">
        <v>62</v>
      </c>
      <c r="C2504" t="s">
        <v>73</v>
      </c>
      <c r="D2504" t="s">
        <v>74</v>
      </c>
      <c r="E2504" t="s">
        <v>74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74</v>
      </c>
    </row>
    <row r="2505" spans="1:20" x14ac:dyDescent="0.3">
      <c r="A2505" t="s">
        <v>52</v>
      </c>
      <c r="B2505">
        <v>112</v>
      </c>
      <c r="C2505" t="s">
        <v>71</v>
      </c>
      <c r="D2505" t="s">
        <v>74</v>
      </c>
      <c r="E2505" t="s">
        <v>74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74</v>
      </c>
    </row>
    <row r="2506" spans="1:20" x14ac:dyDescent="0.3">
      <c r="A2506" t="s">
        <v>40</v>
      </c>
      <c r="B2506">
        <v>55</v>
      </c>
      <c r="C2506" t="s">
        <v>71</v>
      </c>
      <c r="D2506" t="s">
        <v>74</v>
      </c>
      <c r="E2506" t="s">
        <v>75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74</v>
      </c>
    </row>
    <row r="2507" spans="1:20" x14ac:dyDescent="0.3">
      <c r="A2507" t="s">
        <v>38</v>
      </c>
      <c r="B2507">
        <v>125</v>
      </c>
      <c r="C2507" t="s">
        <v>71</v>
      </c>
      <c r="D2507" t="s">
        <v>74</v>
      </c>
      <c r="E2507" t="s">
        <v>74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74</v>
      </c>
    </row>
    <row r="2508" spans="1:20" x14ac:dyDescent="0.3">
      <c r="A2508" t="s">
        <v>70</v>
      </c>
      <c r="B2508">
        <v>98</v>
      </c>
      <c r="C2508" t="s">
        <v>71</v>
      </c>
      <c r="D2508" t="s">
        <v>74</v>
      </c>
      <c r="E2508" t="s">
        <v>75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75</v>
      </c>
    </row>
    <row r="2509" spans="1:20" x14ac:dyDescent="0.3">
      <c r="A2509" t="s">
        <v>56</v>
      </c>
      <c r="B2509">
        <v>105</v>
      </c>
      <c r="C2509" t="s">
        <v>71</v>
      </c>
      <c r="D2509" t="s">
        <v>74</v>
      </c>
      <c r="E2509" t="s">
        <v>74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74</v>
      </c>
    </row>
    <row r="2510" spans="1:20" x14ac:dyDescent="0.3">
      <c r="A2510" t="s">
        <v>29</v>
      </c>
      <c r="B2510">
        <v>113</v>
      </c>
      <c r="C2510" t="s">
        <v>71</v>
      </c>
      <c r="D2510" t="s">
        <v>74</v>
      </c>
      <c r="E2510" t="s">
        <v>75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74</v>
      </c>
    </row>
    <row r="2511" spans="1:20" x14ac:dyDescent="0.3">
      <c r="A2511" t="s">
        <v>58</v>
      </c>
      <c r="B2511">
        <v>99</v>
      </c>
      <c r="C2511" t="s">
        <v>73</v>
      </c>
      <c r="D2511" t="s">
        <v>74</v>
      </c>
      <c r="E2511" t="s">
        <v>74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75</v>
      </c>
    </row>
    <row r="2512" spans="1:20" x14ac:dyDescent="0.3">
      <c r="A2512" t="s">
        <v>31</v>
      </c>
      <c r="B2512">
        <v>103</v>
      </c>
      <c r="C2512" t="s">
        <v>71</v>
      </c>
      <c r="D2512" t="s">
        <v>74</v>
      </c>
      <c r="E2512" t="s">
        <v>74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74</v>
      </c>
    </row>
    <row r="2513" spans="1:20" x14ac:dyDescent="0.3">
      <c r="A2513" t="s">
        <v>65</v>
      </c>
      <c r="B2513">
        <v>177</v>
      </c>
      <c r="C2513" t="s">
        <v>73</v>
      </c>
      <c r="D2513" t="s">
        <v>74</v>
      </c>
      <c r="E2513" t="s">
        <v>74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74</v>
      </c>
    </row>
    <row r="2514" spans="1:20" x14ac:dyDescent="0.3">
      <c r="A2514" t="s">
        <v>43</v>
      </c>
      <c r="B2514">
        <v>149</v>
      </c>
      <c r="C2514" t="s">
        <v>71</v>
      </c>
      <c r="D2514" t="s">
        <v>74</v>
      </c>
      <c r="E2514" t="s">
        <v>75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74</v>
      </c>
    </row>
    <row r="2515" spans="1:20" x14ac:dyDescent="0.3">
      <c r="A2515" t="s">
        <v>54</v>
      </c>
      <c r="B2515">
        <v>160</v>
      </c>
      <c r="C2515" t="s">
        <v>71</v>
      </c>
      <c r="D2515" t="s">
        <v>74</v>
      </c>
      <c r="E2515" t="s">
        <v>74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75</v>
      </c>
    </row>
    <row r="2516" spans="1:20" x14ac:dyDescent="0.3">
      <c r="A2516" t="s">
        <v>68</v>
      </c>
      <c r="B2516">
        <v>116</v>
      </c>
      <c r="C2516" t="s">
        <v>73</v>
      </c>
      <c r="D2516" t="s">
        <v>74</v>
      </c>
      <c r="E2516" t="s">
        <v>74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74</v>
      </c>
    </row>
    <row r="2517" spans="1:20" x14ac:dyDescent="0.3">
      <c r="A2517" t="s">
        <v>40</v>
      </c>
      <c r="B2517">
        <v>148</v>
      </c>
      <c r="C2517" t="s">
        <v>71</v>
      </c>
      <c r="D2517" t="s">
        <v>75</v>
      </c>
      <c r="E2517" t="s">
        <v>74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75</v>
      </c>
    </row>
    <row r="2518" spans="1:20" x14ac:dyDescent="0.3">
      <c r="A2518" t="s">
        <v>57</v>
      </c>
      <c r="B2518">
        <v>147</v>
      </c>
      <c r="C2518" t="s">
        <v>71</v>
      </c>
      <c r="D2518" t="s">
        <v>74</v>
      </c>
      <c r="E2518" t="s">
        <v>75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75</v>
      </c>
    </row>
    <row r="2519" spans="1:20" x14ac:dyDescent="0.3">
      <c r="A2519" t="s">
        <v>24</v>
      </c>
      <c r="B2519">
        <v>95</v>
      </c>
      <c r="C2519" t="s">
        <v>72</v>
      </c>
      <c r="D2519" t="s">
        <v>74</v>
      </c>
      <c r="E2519" t="s">
        <v>74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74</v>
      </c>
    </row>
    <row r="2520" spans="1:20" x14ac:dyDescent="0.3">
      <c r="A2520" t="s">
        <v>42</v>
      </c>
      <c r="B2520">
        <v>201</v>
      </c>
      <c r="C2520" t="s">
        <v>72</v>
      </c>
      <c r="D2520" t="s">
        <v>74</v>
      </c>
      <c r="E2520" t="s">
        <v>74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74</v>
      </c>
    </row>
    <row r="2521" spans="1:20" x14ac:dyDescent="0.3">
      <c r="A2521" t="s">
        <v>65</v>
      </c>
      <c r="B2521">
        <v>80</v>
      </c>
      <c r="C2521" t="s">
        <v>71</v>
      </c>
      <c r="D2521" t="s">
        <v>74</v>
      </c>
      <c r="E2521" t="s">
        <v>74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74</v>
      </c>
    </row>
    <row r="2522" spans="1:20" x14ac:dyDescent="0.3">
      <c r="A2522" t="s">
        <v>62</v>
      </c>
      <c r="B2522">
        <v>122</v>
      </c>
      <c r="C2522" t="s">
        <v>71</v>
      </c>
      <c r="D2522" t="s">
        <v>75</v>
      </c>
      <c r="E2522" t="s">
        <v>74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74</v>
      </c>
    </row>
    <row r="2523" spans="1:20" x14ac:dyDescent="0.3">
      <c r="A2523" t="s">
        <v>57</v>
      </c>
      <c r="B2523">
        <v>132</v>
      </c>
      <c r="C2523" t="s">
        <v>73</v>
      </c>
      <c r="D2523" t="s">
        <v>74</v>
      </c>
      <c r="E2523" t="s">
        <v>74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74</v>
      </c>
    </row>
    <row r="2524" spans="1:20" x14ac:dyDescent="0.3">
      <c r="A2524" t="s">
        <v>42</v>
      </c>
      <c r="B2524">
        <v>83</v>
      </c>
      <c r="C2524" t="s">
        <v>72</v>
      </c>
      <c r="D2524" t="s">
        <v>74</v>
      </c>
      <c r="E2524" t="s">
        <v>74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74</v>
      </c>
    </row>
    <row r="2525" spans="1:20" x14ac:dyDescent="0.3">
      <c r="A2525" t="s">
        <v>67</v>
      </c>
      <c r="B2525">
        <v>99</v>
      </c>
      <c r="C2525" t="s">
        <v>73</v>
      </c>
      <c r="D2525" t="s">
        <v>74</v>
      </c>
      <c r="E2525" t="s">
        <v>74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75</v>
      </c>
    </row>
    <row r="2526" spans="1:20" x14ac:dyDescent="0.3">
      <c r="A2526" t="s">
        <v>20</v>
      </c>
      <c r="B2526">
        <v>84</v>
      </c>
      <c r="C2526" t="s">
        <v>71</v>
      </c>
      <c r="D2526" t="s">
        <v>74</v>
      </c>
      <c r="E2526" t="s">
        <v>74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75</v>
      </c>
    </row>
    <row r="2527" spans="1:20" x14ac:dyDescent="0.3">
      <c r="A2527" t="s">
        <v>61</v>
      </c>
      <c r="B2527">
        <v>87</v>
      </c>
      <c r="C2527" t="s">
        <v>72</v>
      </c>
      <c r="D2527" t="s">
        <v>74</v>
      </c>
      <c r="E2527" t="s">
        <v>74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74</v>
      </c>
    </row>
    <row r="2528" spans="1:20" x14ac:dyDescent="0.3">
      <c r="A2528" t="s">
        <v>51</v>
      </c>
      <c r="B2528">
        <v>7</v>
      </c>
      <c r="C2528" t="s">
        <v>71</v>
      </c>
      <c r="D2528" t="s">
        <v>74</v>
      </c>
      <c r="E2528" t="s">
        <v>74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74</v>
      </c>
    </row>
    <row r="2529" spans="1:20" x14ac:dyDescent="0.3">
      <c r="A2529" t="s">
        <v>58</v>
      </c>
      <c r="B2529">
        <v>89</v>
      </c>
      <c r="C2529" t="s">
        <v>71</v>
      </c>
      <c r="D2529" t="s">
        <v>74</v>
      </c>
      <c r="E2529" t="s">
        <v>75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74</v>
      </c>
    </row>
    <row r="2530" spans="1:20" x14ac:dyDescent="0.3">
      <c r="A2530" t="s">
        <v>38</v>
      </c>
      <c r="B2530">
        <v>131</v>
      </c>
      <c r="C2530" t="s">
        <v>73</v>
      </c>
      <c r="D2530" t="s">
        <v>75</v>
      </c>
      <c r="E2530" t="s">
        <v>74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75</v>
      </c>
    </row>
    <row r="2531" spans="1:20" x14ac:dyDescent="0.3">
      <c r="A2531" t="s">
        <v>50</v>
      </c>
      <c r="B2531">
        <v>105</v>
      </c>
      <c r="C2531" t="s">
        <v>71</v>
      </c>
      <c r="D2531" t="s">
        <v>74</v>
      </c>
      <c r="E2531" t="s">
        <v>74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74</v>
      </c>
    </row>
    <row r="2532" spans="1:20" x14ac:dyDescent="0.3">
      <c r="A2532" t="s">
        <v>40</v>
      </c>
      <c r="B2532">
        <v>108</v>
      </c>
      <c r="C2532" t="s">
        <v>73</v>
      </c>
      <c r="D2532" t="s">
        <v>75</v>
      </c>
      <c r="E2532" t="s">
        <v>74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75</v>
      </c>
    </row>
    <row r="2533" spans="1:20" x14ac:dyDescent="0.3">
      <c r="A2533" t="s">
        <v>29</v>
      </c>
      <c r="B2533">
        <v>47</v>
      </c>
      <c r="C2533" t="s">
        <v>71</v>
      </c>
      <c r="D2533" t="s">
        <v>74</v>
      </c>
      <c r="E2533" t="s">
        <v>75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74</v>
      </c>
    </row>
    <row r="2534" spans="1:20" x14ac:dyDescent="0.3">
      <c r="A2534" t="s">
        <v>37</v>
      </c>
      <c r="B2534">
        <v>101</v>
      </c>
      <c r="C2534" t="s">
        <v>71</v>
      </c>
      <c r="D2534" t="s">
        <v>75</v>
      </c>
      <c r="E2534" t="s">
        <v>74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74</v>
      </c>
    </row>
    <row r="2535" spans="1:20" x14ac:dyDescent="0.3">
      <c r="A2535" t="s">
        <v>21</v>
      </c>
      <c r="B2535">
        <v>182</v>
      </c>
      <c r="C2535" t="s">
        <v>71</v>
      </c>
      <c r="D2535" t="s">
        <v>74</v>
      </c>
      <c r="E2535" t="s">
        <v>75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74</v>
      </c>
    </row>
    <row r="2536" spans="1:20" x14ac:dyDescent="0.3">
      <c r="A2536" t="s">
        <v>23</v>
      </c>
      <c r="B2536">
        <v>128</v>
      </c>
      <c r="C2536" t="s">
        <v>73</v>
      </c>
      <c r="D2536" t="s">
        <v>74</v>
      </c>
      <c r="E2536" t="s">
        <v>74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75</v>
      </c>
    </row>
    <row r="2537" spans="1:20" x14ac:dyDescent="0.3">
      <c r="A2537" t="s">
        <v>48</v>
      </c>
      <c r="B2537">
        <v>69</v>
      </c>
      <c r="C2537" t="s">
        <v>71</v>
      </c>
      <c r="D2537" t="s">
        <v>74</v>
      </c>
      <c r="E2537" t="s">
        <v>75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74</v>
      </c>
    </row>
    <row r="2538" spans="1:20" x14ac:dyDescent="0.3">
      <c r="A2538" t="s">
        <v>50</v>
      </c>
      <c r="B2538">
        <v>113</v>
      </c>
      <c r="C2538" t="s">
        <v>73</v>
      </c>
      <c r="D2538" t="s">
        <v>74</v>
      </c>
      <c r="E2538" t="s">
        <v>75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74</v>
      </c>
    </row>
    <row r="2539" spans="1:20" x14ac:dyDescent="0.3">
      <c r="A2539" t="s">
        <v>47</v>
      </c>
      <c r="B2539">
        <v>87</v>
      </c>
      <c r="C2539" t="s">
        <v>73</v>
      </c>
      <c r="D2539" t="s">
        <v>74</v>
      </c>
      <c r="E2539" t="s">
        <v>75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74</v>
      </c>
    </row>
    <row r="2540" spans="1:20" x14ac:dyDescent="0.3">
      <c r="A2540" t="s">
        <v>33</v>
      </c>
      <c r="B2540">
        <v>71</v>
      </c>
      <c r="C2540" t="s">
        <v>71</v>
      </c>
      <c r="D2540" t="s">
        <v>74</v>
      </c>
      <c r="E2540" t="s">
        <v>74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74</v>
      </c>
    </row>
    <row r="2541" spans="1:20" x14ac:dyDescent="0.3">
      <c r="A2541" t="s">
        <v>28</v>
      </c>
      <c r="B2541">
        <v>87</v>
      </c>
      <c r="C2541" t="s">
        <v>72</v>
      </c>
      <c r="D2541" t="s">
        <v>74</v>
      </c>
      <c r="E2541" t="s">
        <v>74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74</v>
      </c>
    </row>
    <row r="2542" spans="1:20" x14ac:dyDescent="0.3">
      <c r="A2542" t="s">
        <v>25</v>
      </c>
      <c r="B2542">
        <v>117</v>
      </c>
      <c r="C2542" t="s">
        <v>73</v>
      </c>
      <c r="D2542" t="s">
        <v>74</v>
      </c>
      <c r="E2542" t="s">
        <v>74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74</v>
      </c>
    </row>
    <row r="2543" spans="1:20" x14ac:dyDescent="0.3">
      <c r="A2543" t="s">
        <v>41</v>
      </c>
      <c r="B2543">
        <v>177</v>
      </c>
      <c r="C2543" t="s">
        <v>71</v>
      </c>
      <c r="D2543" t="s">
        <v>74</v>
      </c>
      <c r="E2543" t="s">
        <v>74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75</v>
      </c>
    </row>
    <row r="2544" spans="1:20" x14ac:dyDescent="0.3">
      <c r="A2544" t="s">
        <v>61</v>
      </c>
      <c r="B2544">
        <v>66</v>
      </c>
      <c r="C2544" t="s">
        <v>71</v>
      </c>
      <c r="D2544" t="s">
        <v>74</v>
      </c>
      <c r="E2544" t="s">
        <v>74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74</v>
      </c>
    </row>
    <row r="2545" spans="1:20" x14ac:dyDescent="0.3">
      <c r="A2545" t="s">
        <v>37</v>
      </c>
      <c r="B2545">
        <v>110</v>
      </c>
      <c r="C2545" t="s">
        <v>71</v>
      </c>
      <c r="D2545" t="s">
        <v>74</v>
      </c>
      <c r="E2545" t="s">
        <v>74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74</v>
      </c>
    </row>
    <row r="2546" spans="1:20" x14ac:dyDescent="0.3">
      <c r="A2546" t="s">
        <v>49</v>
      </c>
      <c r="B2546">
        <v>204</v>
      </c>
      <c r="C2546" t="s">
        <v>72</v>
      </c>
      <c r="D2546" t="s">
        <v>74</v>
      </c>
      <c r="E2546" t="s">
        <v>74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74</v>
      </c>
    </row>
    <row r="2547" spans="1:20" x14ac:dyDescent="0.3">
      <c r="A2547" t="s">
        <v>61</v>
      </c>
      <c r="B2547">
        <v>32</v>
      </c>
      <c r="C2547" t="s">
        <v>71</v>
      </c>
      <c r="D2547" t="s">
        <v>74</v>
      </c>
      <c r="E2547" t="s">
        <v>75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74</v>
      </c>
    </row>
    <row r="2548" spans="1:20" x14ac:dyDescent="0.3">
      <c r="A2548" t="s">
        <v>50</v>
      </c>
      <c r="B2548">
        <v>133</v>
      </c>
      <c r="C2548" t="s">
        <v>73</v>
      </c>
      <c r="D2548" t="s">
        <v>74</v>
      </c>
      <c r="E2548" t="s">
        <v>75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74</v>
      </c>
    </row>
    <row r="2549" spans="1:20" x14ac:dyDescent="0.3">
      <c r="A2549" t="s">
        <v>39</v>
      </c>
      <c r="B2549">
        <v>185</v>
      </c>
      <c r="C2549" t="s">
        <v>73</v>
      </c>
      <c r="D2549" t="s">
        <v>74</v>
      </c>
      <c r="E2549" t="s">
        <v>74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74</v>
      </c>
    </row>
    <row r="2550" spans="1:20" x14ac:dyDescent="0.3">
      <c r="A2550" t="s">
        <v>38</v>
      </c>
      <c r="B2550">
        <v>91</v>
      </c>
      <c r="C2550" t="s">
        <v>72</v>
      </c>
      <c r="D2550" t="s">
        <v>74</v>
      </c>
      <c r="E2550" t="s">
        <v>74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74</v>
      </c>
    </row>
    <row r="2551" spans="1:20" x14ac:dyDescent="0.3">
      <c r="A2551" t="s">
        <v>65</v>
      </c>
      <c r="B2551">
        <v>131</v>
      </c>
      <c r="C2551" t="s">
        <v>71</v>
      </c>
      <c r="D2551" t="s">
        <v>74</v>
      </c>
      <c r="E2551" t="s">
        <v>74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74</v>
      </c>
    </row>
    <row r="2552" spans="1:20" x14ac:dyDescent="0.3">
      <c r="A2552" t="s">
        <v>26</v>
      </c>
      <c r="B2552">
        <v>153</v>
      </c>
      <c r="C2552" t="s">
        <v>72</v>
      </c>
      <c r="D2552" t="s">
        <v>74</v>
      </c>
      <c r="E2552" t="s">
        <v>74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74</v>
      </c>
    </row>
    <row r="2553" spans="1:20" x14ac:dyDescent="0.3">
      <c r="A2553" t="s">
        <v>21</v>
      </c>
      <c r="B2553">
        <v>141</v>
      </c>
      <c r="C2553" t="s">
        <v>73</v>
      </c>
      <c r="D2553" t="s">
        <v>74</v>
      </c>
      <c r="E2553" t="s">
        <v>74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74</v>
      </c>
    </row>
    <row r="2554" spans="1:20" x14ac:dyDescent="0.3">
      <c r="A2554" t="s">
        <v>34</v>
      </c>
      <c r="B2554">
        <v>169</v>
      </c>
      <c r="C2554" t="s">
        <v>73</v>
      </c>
      <c r="D2554" t="s">
        <v>74</v>
      </c>
      <c r="E2554" t="s">
        <v>74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75</v>
      </c>
    </row>
    <row r="2555" spans="1:20" x14ac:dyDescent="0.3">
      <c r="A2555" t="s">
        <v>64</v>
      </c>
      <c r="B2555">
        <v>127</v>
      </c>
      <c r="C2555" t="s">
        <v>71</v>
      </c>
      <c r="D2555" t="s">
        <v>74</v>
      </c>
      <c r="E2555" t="s">
        <v>75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74</v>
      </c>
    </row>
    <row r="2556" spans="1:20" x14ac:dyDescent="0.3">
      <c r="A2556" t="s">
        <v>33</v>
      </c>
      <c r="B2556">
        <v>57</v>
      </c>
      <c r="C2556" t="s">
        <v>71</v>
      </c>
      <c r="D2556" t="s">
        <v>74</v>
      </c>
      <c r="E2556" t="s">
        <v>74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74</v>
      </c>
    </row>
    <row r="2557" spans="1:20" x14ac:dyDescent="0.3">
      <c r="A2557" t="s">
        <v>26</v>
      </c>
      <c r="B2557">
        <v>123</v>
      </c>
      <c r="C2557" t="s">
        <v>71</v>
      </c>
      <c r="D2557" t="s">
        <v>74</v>
      </c>
      <c r="E2557" t="s">
        <v>75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74</v>
      </c>
    </row>
    <row r="2558" spans="1:20" x14ac:dyDescent="0.3">
      <c r="A2558" t="s">
        <v>57</v>
      </c>
      <c r="B2558">
        <v>103</v>
      </c>
      <c r="C2558" t="s">
        <v>72</v>
      </c>
      <c r="D2558" t="s">
        <v>74</v>
      </c>
      <c r="E2558" t="s">
        <v>75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75</v>
      </c>
    </row>
    <row r="2559" spans="1:20" x14ac:dyDescent="0.3">
      <c r="A2559" t="s">
        <v>58</v>
      </c>
      <c r="B2559">
        <v>101</v>
      </c>
      <c r="C2559" t="s">
        <v>71</v>
      </c>
      <c r="D2559" t="s">
        <v>74</v>
      </c>
      <c r="E2559" t="s">
        <v>74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74</v>
      </c>
    </row>
    <row r="2560" spans="1:20" x14ac:dyDescent="0.3">
      <c r="A2560" t="s">
        <v>46</v>
      </c>
      <c r="B2560">
        <v>123</v>
      </c>
      <c r="C2560" t="s">
        <v>71</v>
      </c>
      <c r="D2560" t="s">
        <v>74</v>
      </c>
      <c r="E2560" t="s">
        <v>75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74</v>
      </c>
    </row>
    <row r="2561" spans="1:20" x14ac:dyDescent="0.3">
      <c r="A2561" t="s">
        <v>24</v>
      </c>
      <c r="B2561">
        <v>78</v>
      </c>
      <c r="C2561" t="s">
        <v>72</v>
      </c>
      <c r="D2561" t="s">
        <v>74</v>
      </c>
      <c r="E2561" t="s">
        <v>75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74</v>
      </c>
    </row>
    <row r="2562" spans="1:20" x14ac:dyDescent="0.3">
      <c r="A2562" t="s">
        <v>65</v>
      </c>
      <c r="B2562">
        <v>101</v>
      </c>
      <c r="C2562" t="s">
        <v>71</v>
      </c>
      <c r="D2562" t="s">
        <v>74</v>
      </c>
      <c r="E2562" t="s">
        <v>75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74</v>
      </c>
    </row>
    <row r="2563" spans="1:20" x14ac:dyDescent="0.3">
      <c r="A2563" t="s">
        <v>36</v>
      </c>
      <c r="B2563">
        <v>67</v>
      </c>
      <c r="C2563" t="s">
        <v>71</v>
      </c>
      <c r="D2563" t="s">
        <v>74</v>
      </c>
      <c r="E2563" t="s">
        <v>75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74</v>
      </c>
    </row>
    <row r="2564" spans="1:20" x14ac:dyDescent="0.3">
      <c r="A2564" t="s">
        <v>70</v>
      </c>
      <c r="B2564">
        <v>64</v>
      </c>
      <c r="C2564" t="s">
        <v>71</v>
      </c>
      <c r="D2564" t="s">
        <v>75</v>
      </c>
      <c r="E2564" t="s">
        <v>74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74</v>
      </c>
    </row>
    <row r="2565" spans="1:20" x14ac:dyDescent="0.3">
      <c r="A2565" t="s">
        <v>65</v>
      </c>
      <c r="B2565">
        <v>173</v>
      </c>
      <c r="C2565" t="s">
        <v>72</v>
      </c>
      <c r="D2565" t="s">
        <v>74</v>
      </c>
      <c r="E2565" t="s">
        <v>74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74</v>
      </c>
    </row>
    <row r="2566" spans="1:20" x14ac:dyDescent="0.3">
      <c r="A2566" t="s">
        <v>70</v>
      </c>
      <c r="B2566">
        <v>135</v>
      </c>
      <c r="C2566" t="s">
        <v>72</v>
      </c>
      <c r="D2566" t="s">
        <v>74</v>
      </c>
      <c r="E2566" t="s">
        <v>74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74</v>
      </c>
    </row>
    <row r="2567" spans="1:20" x14ac:dyDescent="0.3">
      <c r="A2567" t="s">
        <v>28</v>
      </c>
      <c r="B2567">
        <v>75</v>
      </c>
      <c r="C2567" t="s">
        <v>71</v>
      </c>
      <c r="D2567" t="s">
        <v>74</v>
      </c>
      <c r="E2567" t="s">
        <v>75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74</v>
      </c>
    </row>
    <row r="2568" spans="1:20" x14ac:dyDescent="0.3">
      <c r="A2568" t="s">
        <v>59</v>
      </c>
      <c r="B2568">
        <v>88</v>
      </c>
      <c r="C2568" t="s">
        <v>71</v>
      </c>
      <c r="D2568" t="s">
        <v>74</v>
      </c>
      <c r="E2568" t="s">
        <v>74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75</v>
      </c>
    </row>
    <row r="2569" spans="1:20" x14ac:dyDescent="0.3">
      <c r="A2569" t="s">
        <v>34</v>
      </c>
      <c r="B2569">
        <v>112</v>
      </c>
      <c r="C2569" t="s">
        <v>71</v>
      </c>
      <c r="D2569" t="s">
        <v>74</v>
      </c>
      <c r="E2569" t="s">
        <v>74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74</v>
      </c>
    </row>
    <row r="2570" spans="1:20" x14ac:dyDescent="0.3">
      <c r="A2570" t="s">
        <v>32</v>
      </c>
      <c r="B2570">
        <v>113</v>
      </c>
      <c r="C2570" t="s">
        <v>73</v>
      </c>
      <c r="D2570" t="s">
        <v>74</v>
      </c>
      <c r="E2570" t="s">
        <v>74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74</v>
      </c>
    </row>
    <row r="2571" spans="1:20" x14ac:dyDescent="0.3">
      <c r="A2571" t="s">
        <v>50</v>
      </c>
      <c r="B2571">
        <v>121</v>
      </c>
      <c r="C2571" t="s">
        <v>72</v>
      </c>
      <c r="D2571" t="s">
        <v>74</v>
      </c>
      <c r="E2571" t="s">
        <v>75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74</v>
      </c>
    </row>
    <row r="2572" spans="1:20" x14ac:dyDescent="0.3">
      <c r="A2572" t="s">
        <v>63</v>
      </c>
      <c r="B2572">
        <v>70</v>
      </c>
      <c r="C2572" t="s">
        <v>71</v>
      </c>
      <c r="D2572" t="s">
        <v>74</v>
      </c>
      <c r="E2572" t="s">
        <v>74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74</v>
      </c>
    </row>
    <row r="2573" spans="1:20" x14ac:dyDescent="0.3">
      <c r="A2573" t="s">
        <v>49</v>
      </c>
      <c r="B2573">
        <v>90</v>
      </c>
      <c r="C2573" t="s">
        <v>71</v>
      </c>
      <c r="D2573" t="s">
        <v>74</v>
      </c>
      <c r="E2573" t="s">
        <v>74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74</v>
      </c>
    </row>
    <row r="2574" spans="1:20" x14ac:dyDescent="0.3">
      <c r="A2574" t="s">
        <v>55</v>
      </c>
      <c r="B2574">
        <v>39</v>
      </c>
      <c r="C2574" t="s">
        <v>73</v>
      </c>
      <c r="D2574" t="s">
        <v>74</v>
      </c>
      <c r="E2574" t="s">
        <v>74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74</v>
      </c>
    </row>
    <row r="2575" spans="1:20" x14ac:dyDescent="0.3">
      <c r="A2575" t="s">
        <v>36</v>
      </c>
      <c r="B2575">
        <v>142</v>
      </c>
      <c r="C2575" t="s">
        <v>73</v>
      </c>
      <c r="D2575" t="s">
        <v>74</v>
      </c>
      <c r="E2575" t="s">
        <v>74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74</v>
      </c>
    </row>
    <row r="2576" spans="1:20" x14ac:dyDescent="0.3">
      <c r="A2576" t="s">
        <v>49</v>
      </c>
      <c r="B2576">
        <v>176</v>
      </c>
      <c r="C2576" t="s">
        <v>73</v>
      </c>
      <c r="D2576" t="s">
        <v>74</v>
      </c>
      <c r="E2576" t="s">
        <v>74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74</v>
      </c>
    </row>
    <row r="2577" spans="1:20" x14ac:dyDescent="0.3">
      <c r="A2577" t="s">
        <v>52</v>
      </c>
      <c r="B2577">
        <v>105</v>
      </c>
      <c r="C2577" t="s">
        <v>73</v>
      </c>
      <c r="D2577" t="s">
        <v>74</v>
      </c>
      <c r="E2577" t="s">
        <v>74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74</v>
      </c>
    </row>
    <row r="2578" spans="1:20" x14ac:dyDescent="0.3">
      <c r="A2578" t="s">
        <v>32</v>
      </c>
      <c r="B2578">
        <v>57</v>
      </c>
      <c r="C2578" t="s">
        <v>71</v>
      </c>
      <c r="D2578" t="s">
        <v>74</v>
      </c>
      <c r="E2578" t="s">
        <v>74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75</v>
      </c>
    </row>
    <row r="2579" spans="1:20" x14ac:dyDescent="0.3">
      <c r="A2579" t="s">
        <v>48</v>
      </c>
      <c r="B2579">
        <v>88</v>
      </c>
      <c r="C2579" t="s">
        <v>71</v>
      </c>
      <c r="D2579" t="s">
        <v>74</v>
      </c>
      <c r="E2579" t="s">
        <v>74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74</v>
      </c>
    </row>
    <row r="2580" spans="1:20" x14ac:dyDescent="0.3">
      <c r="A2580" t="s">
        <v>21</v>
      </c>
      <c r="B2580">
        <v>95</v>
      </c>
      <c r="C2580" t="s">
        <v>73</v>
      </c>
      <c r="D2580" t="s">
        <v>74</v>
      </c>
      <c r="E2580" t="s">
        <v>74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74</v>
      </c>
    </row>
    <row r="2581" spans="1:20" x14ac:dyDescent="0.3">
      <c r="A2581" t="s">
        <v>40</v>
      </c>
      <c r="B2581">
        <v>147</v>
      </c>
      <c r="C2581" t="s">
        <v>71</v>
      </c>
      <c r="D2581" t="s">
        <v>74</v>
      </c>
      <c r="E2581" t="s">
        <v>74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74</v>
      </c>
    </row>
    <row r="2582" spans="1:20" x14ac:dyDescent="0.3">
      <c r="A2582" t="s">
        <v>43</v>
      </c>
      <c r="B2582">
        <v>101</v>
      </c>
      <c r="C2582" t="s">
        <v>71</v>
      </c>
      <c r="D2582" t="s">
        <v>74</v>
      </c>
      <c r="E2582" t="s">
        <v>74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75</v>
      </c>
    </row>
    <row r="2583" spans="1:20" x14ac:dyDescent="0.3">
      <c r="A2583" t="s">
        <v>53</v>
      </c>
      <c r="B2583">
        <v>115</v>
      </c>
      <c r="C2583" t="s">
        <v>71</v>
      </c>
      <c r="D2583" t="s">
        <v>74</v>
      </c>
      <c r="E2583" t="s">
        <v>74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74</v>
      </c>
    </row>
    <row r="2584" spans="1:20" x14ac:dyDescent="0.3">
      <c r="A2584" t="s">
        <v>53</v>
      </c>
      <c r="B2584">
        <v>103</v>
      </c>
      <c r="C2584" t="s">
        <v>71</v>
      </c>
      <c r="D2584" t="s">
        <v>74</v>
      </c>
      <c r="E2584" t="s">
        <v>74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74</v>
      </c>
    </row>
    <row r="2585" spans="1:20" x14ac:dyDescent="0.3">
      <c r="A2585" t="s">
        <v>60</v>
      </c>
      <c r="B2585">
        <v>82</v>
      </c>
      <c r="C2585" t="s">
        <v>71</v>
      </c>
      <c r="D2585" t="s">
        <v>74</v>
      </c>
      <c r="E2585" t="s">
        <v>74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74</v>
      </c>
    </row>
    <row r="2586" spans="1:20" x14ac:dyDescent="0.3">
      <c r="A2586" t="s">
        <v>49</v>
      </c>
      <c r="B2586">
        <v>141</v>
      </c>
      <c r="C2586" t="s">
        <v>71</v>
      </c>
      <c r="D2586" t="s">
        <v>74</v>
      </c>
      <c r="E2586" t="s">
        <v>74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74</v>
      </c>
    </row>
    <row r="2587" spans="1:20" x14ac:dyDescent="0.3">
      <c r="A2587" t="s">
        <v>64</v>
      </c>
      <c r="B2587">
        <v>149</v>
      </c>
      <c r="C2587" t="s">
        <v>73</v>
      </c>
      <c r="D2587" t="s">
        <v>74</v>
      </c>
      <c r="E2587" t="s">
        <v>74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74</v>
      </c>
    </row>
    <row r="2588" spans="1:20" x14ac:dyDescent="0.3">
      <c r="A2588" t="s">
        <v>25</v>
      </c>
      <c r="B2588">
        <v>131</v>
      </c>
      <c r="C2588" t="s">
        <v>72</v>
      </c>
      <c r="D2588" t="s">
        <v>74</v>
      </c>
      <c r="E2588" t="s">
        <v>74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74</v>
      </c>
    </row>
    <row r="2589" spans="1:20" x14ac:dyDescent="0.3">
      <c r="A2589" t="s">
        <v>56</v>
      </c>
      <c r="B2589">
        <v>119</v>
      </c>
      <c r="C2589" t="s">
        <v>72</v>
      </c>
      <c r="D2589" t="s">
        <v>74</v>
      </c>
      <c r="E2589" t="s">
        <v>74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74</v>
      </c>
    </row>
    <row r="2590" spans="1:20" x14ac:dyDescent="0.3">
      <c r="A2590" t="s">
        <v>21</v>
      </c>
      <c r="B2590">
        <v>112</v>
      </c>
      <c r="C2590" t="s">
        <v>72</v>
      </c>
      <c r="D2590" t="s">
        <v>74</v>
      </c>
      <c r="E2590" t="s">
        <v>74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74</v>
      </c>
    </row>
    <row r="2591" spans="1:20" x14ac:dyDescent="0.3">
      <c r="A2591" t="s">
        <v>68</v>
      </c>
      <c r="B2591">
        <v>116</v>
      </c>
      <c r="C2591" t="s">
        <v>72</v>
      </c>
      <c r="D2591" t="s">
        <v>74</v>
      </c>
      <c r="E2591" t="s">
        <v>75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74</v>
      </c>
    </row>
    <row r="2592" spans="1:20" x14ac:dyDescent="0.3">
      <c r="A2592" t="s">
        <v>26</v>
      </c>
      <c r="B2592">
        <v>94</v>
      </c>
      <c r="C2592" t="s">
        <v>71</v>
      </c>
      <c r="D2592" t="s">
        <v>74</v>
      </c>
      <c r="E2592" t="s">
        <v>74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74</v>
      </c>
    </row>
    <row r="2593" spans="1:20" x14ac:dyDescent="0.3">
      <c r="A2593" t="s">
        <v>45</v>
      </c>
      <c r="B2593">
        <v>114</v>
      </c>
      <c r="C2593" t="s">
        <v>71</v>
      </c>
      <c r="D2593" t="s">
        <v>74</v>
      </c>
      <c r="E2593" t="s">
        <v>75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74</v>
      </c>
    </row>
    <row r="2594" spans="1:20" x14ac:dyDescent="0.3">
      <c r="A2594" t="s">
        <v>54</v>
      </c>
      <c r="B2594">
        <v>63</v>
      </c>
      <c r="C2594" t="s">
        <v>73</v>
      </c>
      <c r="D2594" t="s">
        <v>74</v>
      </c>
      <c r="E2594" t="s">
        <v>75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74</v>
      </c>
    </row>
    <row r="2595" spans="1:20" x14ac:dyDescent="0.3">
      <c r="A2595" t="s">
        <v>33</v>
      </c>
      <c r="B2595">
        <v>130</v>
      </c>
      <c r="C2595" t="s">
        <v>73</v>
      </c>
      <c r="D2595" t="s">
        <v>74</v>
      </c>
      <c r="E2595" t="s">
        <v>74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75</v>
      </c>
    </row>
    <row r="2596" spans="1:20" x14ac:dyDescent="0.3">
      <c r="A2596" t="s">
        <v>36</v>
      </c>
      <c r="B2596">
        <v>122</v>
      </c>
      <c r="C2596" t="s">
        <v>73</v>
      </c>
      <c r="D2596" t="s">
        <v>74</v>
      </c>
      <c r="E2596" t="s">
        <v>75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74</v>
      </c>
    </row>
    <row r="2597" spans="1:20" x14ac:dyDescent="0.3">
      <c r="A2597" t="s">
        <v>58</v>
      </c>
      <c r="B2597">
        <v>166</v>
      </c>
      <c r="C2597" t="s">
        <v>72</v>
      </c>
      <c r="D2597" t="s">
        <v>74</v>
      </c>
      <c r="E2597" t="s">
        <v>74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74</v>
      </c>
    </row>
    <row r="2598" spans="1:20" x14ac:dyDescent="0.3">
      <c r="A2598" t="s">
        <v>43</v>
      </c>
      <c r="B2598">
        <v>78</v>
      </c>
      <c r="C2598" t="s">
        <v>71</v>
      </c>
      <c r="D2598" t="s">
        <v>74</v>
      </c>
      <c r="E2598" t="s">
        <v>75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74</v>
      </c>
    </row>
    <row r="2599" spans="1:20" x14ac:dyDescent="0.3">
      <c r="A2599" t="s">
        <v>51</v>
      </c>
      <c r="B2599">
        <v>148</v>
      </c>
      <c r="C2599" t="s">
        <v>71</v>
      </c>
      <c r="D2599" t="s">
        <v>74</v>
      </c>
      <c r="E2599" t="s">
        <v>75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74</v>
      </c>
    </row>
    <row r="2600" spans="1:20" x14ac:dyDescent="0.3">
      <c r="A2600" t="s">
        <v>49</v>
      </c>
      <c r="B2600">
        <v>154</v>
      </c>
      <c r="C2600" t="s">
        <v>72</v>
      </c>
      <c r="D2600" t="s">
        <v>74</v>
      </c>
      <c r="E2600" t="s">
        <v>74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75</v>
      </c>
    </row>
    <row r="2601" spans="1:20" x14ac:dyDescent="0.3">
      <c r="A2601" t="s">
        <v>68</v>
      </c>
      <c r="B2601">
        <v>110</v>
      </c>
      <c r="C2601" t="s">
        <v>73</v>
      </c>
      <c r="D2601" t="s">
        <v>74</v>
      </c>
      <c r="E2601" t="s">
        <v>75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74</v>
      </c>
    </row>
    <row r="2602" spans="1:20" x14ac:dyDescent="0.3">
      <c r="A2602" t="s">
        <v>34</v>
      </c>
      <c r="B2602">
        <v>75</v>
      </c>
      <c r="C2602" t="s">
        <v>71</v>
      </c>
      <c r="D2602" t="s">
        <v>74</v>
      </c>
      <c r="E2602" t="s">
        <v>74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75</v>
      </c>
    </row>
    <row r="2603" spans="1:20" x14ac:dyDescent="0.3">
      <c r="A2603" t="s">
        <v>65</v>
      </c>
      <c r="B2603">
        <v>113</v>
      </c>
      <c r="C2603" t="s">
        <v>72</v>
      </c>
      <c r="D2603" t="s">
        <v>74</v>
      </c>
      <c r="E2603" t="s">
        <v>74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74</v>
      </c>
    </row>
    <row r="2604" spans="1:20" x14ac:dyDescent="0.3">
      <c r="A2604" t="s">
        <v>33</v>
      </c>
      <c r="B2604">
        <v>181</v>
      </c>
      <c r="C2604" t="s">
        <v>72</v>
      </c>
      <c r="D2604" t="s">
        <v>74</v>
      </c>
      <c r="E2604" t="s">
        <v>75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74</v>
      </c>
    </row>
    <row r="2605" spans="1:20" x14ac:dyDescent="0.3">
      <c r="A2605" t="s">
        <v>34</v>
      </c>
      <c r="B2605">
        <v>51</v>
      </c>
      <c r="C2605" t="s">
        <v>71</v>
      </c>
      <c r="D2605" t="s">
        <v>74</v>
      </c>
      <c r="E2605" t="s">
        <v>74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74</v>
      </c>
    </row>
    <row r="2606" spans="1:20" x14ac:dyDescent="0.3">
      <c r="A2606" t="s">
        <v>39</v>
      </c>
      <c r="B2606">
        <v>102</v>
      </c>
      <c r="C2606" t="s">
        <v>73</v>
      </c>
      <c r="D2606" t="s">
        <v>74</v>
      </c>
      <c r="E2606" t="s">
        <v>75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74</v>
      </c>
    </row>
    <row r="2607" spans="1:20" x14ac:dyDescent="0.3">
      <c r="A2607" t="s">
        <v>21</v>
      </c>
      <c r="B2607">
        <v>107</v>
      </c>
      <c r="C2607" t="s">
        <v>73</v>
      </c>
      <c r="D2607" t="s">
        <v>74</v>
      </c>
      <c r="E2607" t="s">
        <v>74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74</v>
      </c>
    </row>
    <row r="2608" spans="1:20" x14ac:dyDescent="0.3">
      <c r="A2608" t="s">
        <v>65</v>
      </c>
      <c r="B2608">
        <v>88</v>
      </c>
      <c r="C2608" t="s">
        <v>72</v>
      </c>
      <c r="D2608" t="s">
        <v>74</v>
      </c>
      <c r="E2608" t="s">
        <v>74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75</v>
      </c>
    </row>
    <row r="2609" spans="1:20" x14ac:dyDescent="0.3">
      <c r="A2609" t="s">
        <v>40</v>
      </c>
      <c r="B2609">
        <v>82</v>
      </c>
      <c r="C2609" t="s">
        <v>71</v>
      </c>
      <c r="D2609" t="s">
        <v>74</v>
      </c>
      <c r="E2609" t="s">
        <v>74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74</v>
      </c>
    </row>
    <row r="2610" spans="1:20" x14ac:dyDescent="0.3">
      <c r="A2610" t="s">
        <v>38</v>
      </c>
      <c r="B2610">
        <v>204</v>
      </c>
      <c r="C2610" t="s">
        <v>71</v>
      </c>
      <c r="D2610" t="s">
        <v>74</v>
      </c>
      <c r="E2610" t="s">
        <v>74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74</v>
      </c>
    </row>
    <row r="2611" spans="1:20" x14ac:dyDescent="0.3">
      <c r="A2611" t="s">
        <v>53</v>
      </c>
      <c r="B2611">
        <v>130</v>
      </c>
      <c r="C2611" t="s">
        <v>72</v>
      </c>
      <c r="D2611" t="s">
        <v>74</v>
      </c>
      <c r="E2611" t="s">
        <v>74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74</v>
      </c>
    </row>
    <row r="2612" spans="1:20" x14ac:dyDescent="0.3">
      <c r="A2612" t="s">
        <v>37</v>
      </c>
      <c r="B2612">
        <v>174</v>
      </c>
      <c r="C2612" t="s">
        <v>72</v>
      </c>
      <c r="D2612" t="s">
        <v>74</v>
      </c>
      <c r="E2612" t="s">
        <v>74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74</v>
      </c>
    </row>
    <row r="2613" spans="1:20" x14ac:dyDescent="0.3">
      <c r="A2613" t="s">
        <v>62</v>
      </c>
      <c r="B2613">
        <v>129</v>
      </c>
      <c r="C2613" t="s">
        <v>71</v>
      </c>
      <c r="D2613" t="s">
        <v>74</v>
      </c>
      <c r="E2613" t="s">
        <v>74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74</v>
      </c>
    </row>
    <row r="2614" spans="1:20" x14ac:dyDescent="0.3">
      <c r="A2614" t="s">
        <v>53</v>
      </c>
      <c r="B2614">
        <v>190</v>
      </c>
      <c r="C2614" t="s">
        <v>71</v>
      </c>
      <c r="D2614" t="s">
        <v>75</v>
      </c>
      <c r="E2614" t="s">
        <v>74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74</v>
      </c>
    </row>
    <row r="2615" spans="1:20" x14ac:dyDescent="0.3">
      <c r="A2615" t="s">
        <v>38</v>
      </c>
      <c r="B2615">
        <v>54</v>
      </c>
      <c r="C2615" t="s">
        <v>72</v>
      </c>
      <c r="D2615" t="s">
        <v>75</v>
      </c>
      <c r="E2615" t="s">
        <v>74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74</v>
      </c>
    </row>
    <row r="2616" spans="1:20" x14ac:dyDescent="0.3">
      <c r="A2616" t="s">
        <v>56</v>
      </c>
      <c r="B2616">
        <v>78</v>
      </c>
      <c r="C2616" t="s">
        <v>73</v>
      </c>
      <c r="D2616" t="s">
        <v>74</v>
      </c>
      <c r="E2616" t="s">
        <v>74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74</v>
      </c>
    </row>
    <row r="2617" spans="1:20" x14ac:dyDescent="0.3">
      <c r="A2617" t="s">
        <v>35</v>
      </c>
      <c r="B2617">
        <v>100</v>
      </c>
      <c r="C2617" t="s">
        <v>71</v>
      </c>
      <c r="D2617" t="s">
        <v>74</v>
      </c>
      <c r="E2617" t="s">
        <v>75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74</v>
      </c>
    </row>
    <row r="2618" spans="1:20" x14ac:dyDescent="0.3">
      <c r="A2618" t="s">
        <v>65</v>
      </c>
      <c r="B2618">
        <v>70</v>
      </c>
      <c r="C2618" t="s">
        <v>72</v>
      </c>
      <c r="D2618" t="s">
        <v>74</v>
      </c>
      <c r="E2618" t="s">
        <v>75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74</v>
      </c>
    </row>
    <row r="2619" spans="1:20" x14ac:dyDescent="0.3">
      <c r="A2619" t="s">
        <v>50</v>
      </c>
      <c r="B2619">
        <v>117</v>
      </c>
      <c r="C2619" t="s">
        <v>73</v>
      </c>
      <c r="D2619" t="s">
        <v>74</v>
      </c>
      <c r="E2619" t="s">
        <v>74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74</v>
      </c>
    </row>
    <row r="2620" spans="1:20" x14ac:dyDescent="0.3">
      <c r="A2620" t="s">
        <v>53</v>
      </c>
      <c r="B2620">
        <v>68</v>
      </c>
      <c r="C2620" t="s">
        <v>71</v>
      </c>
      <c r="D2620" t="s">
        <v>74</v>
      </c>
      <c r="E2620" t="s">
        <v>74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74</v>
      </c>
    </row>
    <row r="2621" spans="1:20" x14ac:dyDescent="0.3">
      <c r="A2621" t="s">
        <v>56</v>
      </c>
      <c r="B2621">
        <v>27</v>
      </c>
      <c r="C2621" t="s">
        <v>72</v>
      </c>
      <c r="D2621" t="s">
        <v>74</v>
      </c>
      <c r="E2621" t="s">
        <v>74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75</v>
      </c>
    </row>
    <row r="2622" spans="1:20" x14ac:dyDescent="0.3">
      <c r="A2622" t="s">
        <v>21</v>
      </c>
      <c r="B2622">
        <v>181</v>
      </c>
      <c r="C2622" t="s">
        <v>71</v>
      </c>
      <c r="D2622" t="s">
        <v>74</v>
      </c>
      <c r="E2622" t="s">
        <v>75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74</v>
      </c>
    </row>
    <row r="2623" spans="1:20" x14ac:dyDescent="0.3">
      <c r="A2623" t="s">
        <v>59</v>
      </c>
      <c r="B2623">
        <v>112</v>
      </c>
      <c r="C2623" t="s">
        <v>71</v>
      </c>
      <c r="D2623" t="s">
        <v>74</v>
      </c>
      <c r="E2623" t="s">
        <v>74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74</v>
      </c>
    </row>
    <row r="2624" spans="1:20" x14ac:dyDescent="0.3">
      <c r="A2624" t="s">
        <v>27</v>
      </c>
      <c r="B2624">
        <v>93</v>
      </c>
      <c r="C2624" t="s">
        <v>71</v>
      </c>
      <c r="D2624" t="s">
        <v>74</v>
      </c>
      <c r="E2624" t="s">
        <v>74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74</v>
      </c>
    </row>
    <row r="2625" spans="1:20" x14ac:dyDescent="0.3">
      <c r="A2625" t="s">
        <v>48</v>
      </c>
      <c r="B2625">
        <v>102</v>
      </c>
      <c r="C2625" t="s">
        <v>73</v>
      </c>
      <c r="D2625" t="s">
        <v>74</v>
      </c>
      <c r="E2625" t="s">
        <v>74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74</v>
      </c>
    </row>
    <row r="2626" spans="1:20" x14ac:dyDescent="0.3">
      <c r="A2626" t="s">
        <v>36</v>
      </c>
      <c r="B2626">
        <v>93</v>
      </c>
      <c r="C2626" t="s">
        <v>71</v>
      </c>
      <c r="D2626" t="s">
        <v>74</v>
      </c>
      <c r="E2626" t="s">
        <v>74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74</v>
      </c>
    </row>
    <row r="2627" spans="1:20" x14ac:dyDescent="0.3">
      <c r="A2627" t="s">
        <v>48</v>
      </c>
      <c r="B2627">
        <v>107</v>
      </c>
      <c r="C2627" t="s">
        <v>71</v>
      </c>
      <c r="D2627" t="s">
        <v>74</v>
      </c>
      <c r="E2627" t="s">
        <v>75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74</v>
      </c>
    </row>
    <row r="2628" spans="1:20" x14ac:dyDescent="0.3">
      <c r="A2628" t="s">
        <v>51</v>
      </c>
      <c r="B2628">
        <v>100</v>
      </c>
      <c r="C2628" t="s">
        <v>71</v>
      </c>
      <c r="D2628" t="s">
        <v>74</v>
      </c>
      <c r="E2628" t="s">
        <v>75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74</v>
      </c>
    </row>
    <row r="2629" spans="1:20" x14ac:dyDescent="0.3">
      <c r="A2629" t="s">
        <v>45</v>
      </c>
      <c r="B2629">
        <v>115</v>
      </c>
      <c r="C2629" t="s">
        <v>71</v>
      </c>
      <c r="D2629" t="s">
        <v>74</v>
      </c>
      <c r="E2629" t="s">
        <v>74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74</v>
      </c>
    </row>
    <row r="2630" spans="1:20" x14ac:dyDescent="0.3">
      <c r="A2630" t="s">
        <v>31</v>
      </c>
      <c r="B2630">
        <v>63</v>
      </c>
      <c r="C2630" t="s">
        <v>72</v>
      </c>
      <c r="D2630" t="s">
        <v>74</v>
      </c>
      <c r="E2630" t="s">
        <v>75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74</v>
      </c>
    </row>
    <row r="2631" spans="1:20" x14ac:dyDescent="0.3">
      <c r="A2631" t="s">
        <v>59</v>
      </c>
      <c r="B2631">
        <v>57</v>
      </c>
      <c r="C2631" t="s">
        <v>71</v>
      </c>
      <c r="D2631" t="s">
        <v>74</v>
      </c>
      <c r="E2631" t="s">
        <v>74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74</v>
      </c>
    </row>
    <row r="2632" spans="1:20" x14ac:dyDescent="0.3">
      <c r="A2632" t="s">
        <v>63</v>
      </c>
      <c r="B2632">
        <v>119</v>
      </c>
      <c r="C2632" t="s">
        <v>73</v>
      </c>
      <c r="D2632" t="s">
        <v>74</v>
      </c>
      <c r="E2632" t="s">
        <v>75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74</v>
      </c>
    </row>
    <row r="2633" spans="1:20" x14ac:dyDescent="0.3">
      <c r="A2633" t="s">
        <v>27</v>
      </c>
      <c r="B2633">
        <v>73</v>
      </c>
      <c r="C2633" t="s">
        <v>73</v>
      </c>
      <c r="D2633" t="s">
        <v>74</v>
      </c>
      <c r="E2633" t="s">
        <v>74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74</v>
      </c>
    </row>
    <row r="2634" spans="1:20" x14ac:dyDescent="0.3">
      <c r="A2634" t="s">
        <v>67</v>
      </c>
      <c r="B2634">
        <v>98</v>
      </c>
      <c r="C2634" t="s">
        <v>73</v>
      </c>
      <c r="D2634" t="s">
        <v>74</v>
      </c>
      <c r="E2634" t="s">
        <v>75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74</v>
      </c>
    </row>
    <row r="2635" spans="1:20" x14ac:dyDescent="0.3">
      <c r="A2635" t="s">
        <v>50</v>
      </c>
      <c r="B2635">
        <v>139</v>
      </c>
      <c r="C2635" t="s">
        <v>71</v>
      </c>
      <c r="D2635" t="s">
        <v>75</v>
      </c>
      <c r="E2635" t="s">
        <v>74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74</v>
      </c>
    </row>
    <row r="2636" spans="1:20" x14ac:dyDescent="0.3">
      <c r="A2636" t="s">
        <v>38</v>
      </c>
      <c r="B2636">
        <v>31</v>
      </c>
      <c r="C2636" t="s">
        <v>73</v>
      </c>
      <c r="D2636" t="s">
        <v>74</v>
      </c>
      <c r="E2636" t="s">
        <v>75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74</v>
      </c>
    </row>
    <row r="2637" spans="1:20" x14ac:dyDescent="0.3">
      <c r="A2637" t="s">
        <v>47</v>
      </c>
      <c r="B2637">
        <v>129</v>
      </c>
      <c r="C2637" t="s">
        <v>72</v>
      </c>
      <c r="D2637" t="s">
        <v>74</v>
      </c>
      <c r="E2637" t="s">
        <v>75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74</v>
      </c>
    </row>
    <row r="2638" spans="1:20" x14ac:dyDescent="0.3">
      <c r="A2638" t="s">
        <v>62</v>
      </c>
      <c r="B2638">
        <v>115</v>
      </c>
      <c r="C2638" t="s">
        <v>71</v>
      </c>
      <c r="D2638" t="s">
        <v>74</v>
      </c>
      <c r="E2638" t="s">
        <v>74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75</v>
      </c>
    </row>
    <row r="2639" spans="1:20" x14ac:dyDescent="0.3">
      <c r="A2639" t="s">
        <v>67</v>
      </c>
      <c r="B2639">
        <v>108</v>
      </c>
      <c r="C2639" t="s">
        <v>71</v>
      </c>
      <c r="D2639" t="s">
        <v>74</v>
      </c>
      <c r="E2639" t="s">
        <v>74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75</v>
      </c>
    </row>
    <row r="2640" spans="1:20" x14ac:dyDescent="0.3">
      <c r="A2640" t="s">
        <v>45</v>
      </c>
      <c r="B2640">
        <v>139</v>
      </c>
      <c r="C2640" t="s">
        <v>73</v>
      </c>
      <c r="D2640" t="s">
        <v>74</v>
      </c>
      <c r="E2640" t="s">
        <v>74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74</v>
      </c>
    </row>
    <row r="2641" spans="1:20" x14ac:dyDescent="0.3">
      <c r="A2641" t="s">
        <v>65</v>
      </c>
      <c r="B2641">
        <v>102</v>
      </c>
      <c r="C2641" t="s">
        <v>73</v>
      </c>
      <c r="D2641" t="s">
        <v>74</v>
      </c>
      <c r="E2641" t="s">
        <v>74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74</v>
      </c>
    </row>
    <row r="2642" spans="1:20" x14ac:dyDescent="0.3">
      <c r="A2642" t="s">
        <v>44</v>
      </c>
      <c r="B2642">
        <v>149</v>
      </c>
      <c r="C2642" t="s">
        <v>73</v>
      </c>
      <c r="D2642" t="s">
        <v>74</v>
      </c>
      <c r="E2642" t="s">
        <v>74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74</v>
      </c>
    </row>
    <row r="2643" spans="1:20" x14ac:dyDescent="0.3">
      <c r="A2643" t="s">
        <v>58</v>
      </c>
      <c r="B2643">
        <v>113</v>
      </c>
      <c r="C2643" t="s">
        <v>71</v>
      </c>
      <c r="D2643" t="s">
        <v>74</v>
      </c>
      <c r="E2643" t="s">
        <v>74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74</v>
      </c>
    </row>
    <row r="2644" spans="1:20" x14ac:dyDescent="0.3">
      <c r="A2644" t="s">
        <v>64</v>
      </c>
      <c r="B2644">
        <v>131</v>
      </c>
      <c r="C2644" t="s">
        <v>73</v>
      </c>
      <c r="D2644" t="s">
        <v>74</v>
      </c>
      <c r="E2644" t="s">
        <v>75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74</v>
      </c>
    </row>
    <row r="2645" spans="1:20" x14ac:dyDescent="0.3">
      <c r="A2645" t="s">
        <v>37</v>
      </c>
      <c r="B2645">
        <v>83</v>
      </c>
      <c r="C2645" t="s">
        <v>73</v>
      </c>
      <c r="D2645" t="s">
        <v>74</v>
      </c>
      <c r="E2645" t="s">
        <v>74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74</v>
      </c>
    </row>
    <row r="2646" spans="1:20" x14ac:dyDescent="0.3">
      <c r="A2646" t="s">
        <v>62</v>
      </c>
      <c r="B2646">
        <v>96</v>
      </c>
      <c r="C2646" t="s">
        <v>71</v>
      </c>
      <c r="D2646" t="s">
        <v>74</v>
      </c>
      <c r="E2646" t="s">
        <v>75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74</v>
      </c>
    </row>
    <row r="2647" spans="1:20" x14ac:dyDescent="0.3">
      <c r="A2647" t="s">
        <v>27</v>
      </c>
      <c r="B2647">
        <v>98</v>
      </c>
      <c r="C2647" t="s">
        <v>73</v>
      </c>
      <c r="D2647" t="s">
        <v>74</v>
      </c>
      <c r="E2647" t="s">
        <v>74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74</v>
      </c>
    </row>
    <row r="2648" spans="1:20" x14ac:dyDescent="0.3">
      <c r="A2648" t="s">
        <v>69</v>
      </c>
      <c r="B2648">
        <v>3</v>
      </c>
      <c r="C2648" t="s">
        <v>71</v>
      </c>
      <c r="D2648" t="s">
        <v>74</v>
      </c>
      <c r="E2648" t="s">
        <v>74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74</v>
      </c>
    </row>
    <row r="2649" spans="1:20" x14ac:dyDescent="0.3">
      <c r="A2649" t="s">
        <v>36</v>
      </c>
      <c r="B2649">
        <v>77</v>
      </c>
      <c r="C2649" t="s">
        <v>73</v>
      </c>
      <c r="D2649" t="s">
        <v>74</v>
      </c>
      <c r="E2649" t="s">
        <v>75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74</v>
      </c>
    </row>
    <row r="2650" spans="1:20" x14ac:dyDescent="0.3">
      <c r="A2650" t="s">
        <v>64</v>
      </c>
      <c r="B2650">
        <v>75</v>
      </c>
      <c r="C2650" t="s">
        <v>73</v>
      </c>
      <c r="D2650" t="s">
        <v>74</v>
      </c>
      <c r="E2650" t="s">
        <v>75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74</v>
      </c>
    </row>
    <row r="2651" spans="1:20" x14ac:dyDescent="0.3">
      <c r="A2651" t="s">
        <v>22</v>
      </c>
      <c r="B2651">
        <v>40</v>
      </c>
      <c r="C2651" t="s">
        <v>72</v>
      </c>
      <c r="D2651" t="s">
        <v>74</v>
      </c>
      <c r="E2651" t="s">
        <v>74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75</v>
      </c>
    </row>
    <row r="2652" spans="1:20" x14ac:dyDescent="0.3">
      <c r="A2652" t="s">
        <v>28</v>
      </c>
      <c r="B2652">
        <v>108</v>
      </c>
      <c r="C2652" t="s">
        <v>71</v>
      </c>
      <c r="D2652" t="s">
        <v>74</v>
      </c>
      <c r="E2652" t="s">
        <v>74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74</v>
      </c>
    </row>
    <row r="2653" spans="1:20" x14ac:dyDescent="0.3">
      <c r="A2653" t="s">
        <v>57</v>
      </c>
      <c r="B2653">
        <v>100</v>
      </c>
      <c r="C2653" t="s">
        <v>71</v>
      </c>
      <c r="D2653" t="s">
        <v>74</v>
      </c>
      <c r="E2653" t="s">
        <v>74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75</v>
      </c>
    </row>
    <row r="2654" spans="1:20" x14ac:dyDescent="0.3">
      <c r="A2654" t="s">
        <v>21</v>
      </c>
      <c r="B2654">
        <v>16</v>
      </c>
      <c r="C2654" t="s">
        <v>71</v>
      </c>
      <c r="D2654" t="s">
        <v>74</v>
      </c>
      <c r="E2654" t="s">
        <v>74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74</v>
      </c>
    </row>
    <row r="2655" spans="1:20" x14ac:dyDescent="0.3">
      <c r="A2655" t="s">
        <v>38</v>
      </c>
      <c r="B2655">
        <v>115</v>
      </c>
      <c r="C2655" t="s">
        <v>72</v>
      </c>
      <c r="D2655" t="s">
        <v>74</v>
      </c>
      <c r="E2655" t="s">
        <v>75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74</v>
      </c>
    </row>
    <row r="2656" spans="1:20" x14ac:dyDescent="0.3">
      <c r="A2656" t="s">
        <v>47</v>
      </c>
      <c r="B2656">
        <v>108</v>
      </c>
      <c r="C2656" t="s">
        <v>72</v>
      </c>
      <c r="D2656" t="s">
        <v>74</v>
      </c>
      <c r="E2656" t="s">
        <v>75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74</v>
      </c>
    </row>
    <row r="2657" spans="1:20" x14ac:dyDescent="0.3">
      <c r="A2657" t="s">
        <v>66</v>
      </c>
      <c r="B2657">
        <v>161</v>
      </c>
      <c r="C2657" t="s">
        <v>71</v>
      </c>
      <c r="D2657" t="s">
        <v>74</v>
      </c>
      <c r="E2657" t="s">
        <v>74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75</v>
      </c>
    </row>
    <row r="2658" spans="1:20" x14ac:dyDescent="0.3">
      <c r="A2658" t="s">
        <v>54</v>
      </c>
      <c r="B2658">
        <v>147</v>
      </c>
      <c r="C2658" t="s">
        <v>71</v>
      </c>
      <c r="D2658" t="s">
        <v>74</v>
      </c>
      <c r="E2658" t="s">
        <v>74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74</v>
      </c>
    </row>
    <row r="2659" spans="1:20" x14ac:dyDescent="0.3">
      <c r="A2659" t="s">
        <v>37</v>
      </c>
      <c r="B2659">
        <v>107</v>
      </c>
      <c r="C2659" t="s">
        <v>71</v>
      </c>
      <c r="D2659" t="s">
        <v>74</v>
      </c>
      <c r="E2659" t="s">
        <v>74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74</v>
      </c>
    </row>
    <row r="2660" spans="1:20" x14ac:dyDescent="0.3">
      <c r="A2660" t="s">
        <v>65</v>
      </c>
      <c r="B2660">
        <v>120</v>
      </c>
      <c r="C2660" t="s">
        <v>72</v>
      </c>
      <c r="D2660" t="s">
        <v>74</v>
      </c>
      <c r="E2660" t="s">
        <v>74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74</v>
      </c>
    </row>
    <row r="2661" spans="1:20" x14ac:dyDescent="0.3">
      <c r="A2661" t="s">
        <v>28</v>
      </c>
      <c r="B2661">
        <v>107</v>
      </c>
      <c r="C2661" t="s">
        <v>73</v>
      </c>
      <c r="D2661" t="s">
        <v>74</v>
      </c>
      <c r="E2661" t="s">
        <v>75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74</v>
      </c>
    </row>
    <row r="2662" spans="1:20" x14ac:dyDescent="0.3">
      <c r="A2662" t="s">
        <v>35</v>
      </c>
      <c r="B2662">
        <v>58</v>
      </c>
      <c r="C2662" t="s">
        <v>72</v>
      </c>
      <c r="D2662" t="s">
        <v>74</v>
      </c>
      <c r="E2662" t="s">
        <v>74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74</v>
      </c>
    </row>
    <row r="2663" spans="1:20" x14ac:dyDescent="0.3">
      <c r="A2663" t="s">
        <v>26</v>
      </c>
      <c r="B2663">
        <v>91</v>
      </c>
      <c r="C2663" t="s">
        <v>73</v>
      </c>
      <c r="D2663" t="s">
        <v>74</v>
      </c>
      <c r="E2663" t="s">
        <v>74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74</v>
      </c>
    </row>
    <row r="2664" spans="1:20" x14ac:dyDescent="0.3">
      <c r="A2664" t="s">
        <v>21</v>
      </c>
      <c r="B2664">
        <v>13</v>
      </c>
      <c r="C2664" t="s">
        <v>71</v>
      </c>
      <c r="D2664" t="s">
        <v>74</v>
      </c>
      <c r="E2664" t="s">
        <v>74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74</v>
      </c>
    </row>
    <row r="2665" spans="1:20" x14ac:dyDescent="0.3">
      <c r="A2665" t="s">
        <v>51</v>
      </c>
      <c r="B2665">
        <v>104</v>
      </c>
      <c r="C2665" t="s">
        <v>73</v>
      </c>
      <c r="D2665" t="s">
        <v>74</v>
      </c>
      <c r="E2665" t="s">
        <v>74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74</v>
      </c>
    </row>
    <row r="2666" spans="1:20" x14ac:dyDescent="0.3">
      <c r="A2666" t="s">
        <v>36</v>
      </c>
      <c r="B2666">
        <v>93</v>
      </c>
      <c r="C2666" t="s">
        <v>71</v>
      </c>
      <c r="D2666" t="s">
        <v>74</v>
      </c>
      <c r="E2666" t="s">
        <v>75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74</v>
      </c>
    </row>
    <row r="2667" spans="1:20" x14ac:dyDescent="0.3">
      <c r="A2667" t="s">
        <v>45</v>
      </c>
      <c r="B2667">
        <v>95</v>
      </c>
      <c r="C2667" t="s">
        <v>72</v>
      </c>
      <c r="D2667" t="s">
        <v>74</v>
      </c>
      <c r="E2667" t="s">
        <v>74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74</v>
      </c>
    </row>
    <row r="2668" spans="1:20" x14ac:dyDescent="0.3">
      <c r="A2668" t="s">
        <v>43</v>
      </c>
      <c r="B2668">
        <v>104</v>
      </c>
      <c r="C2668" t="s">
        <v>71</v>
      </c>
      <c r="D2668" t="s">
        <v>74</v>
      </c>
      <c r="E2668" t="s">
        <v>74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74</v>
      </c>
    </row>
    <row r="2669" spans="1:20" x14ac:dyDescent="0.3">
      <c r="A2669" t="s">
        <v>46</v>
      </c>
      <c r="B2669">
        <v>35</v>
      </c>
      <c r="C2669" t="s">
        <v>73</v>
      </c>
      <c r="D2669" t="s">
        <v>74</v>
      </c>
      <c r="E2669" t="s">
        <v>74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75</v>
      </c>
    </row>
    <row r="2670" spans="1:20" x14ac:dyDescent="0.3">
      <c r="A2670" t="s">
        <v>53</v>
      </c>
      <c r="B2670">
        <v>143</v>
      </c>
      <c r="C2670" t="s">
        <v>72</v>
      </c>
      <c r="D2670" t="s">
        <v>74</v>
      </c>
      <c r="E2670" t="s">
        <v>74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74</v>
      </c>
    </row>
    <row r="2671" spans="1:20" x14ac:dyDescent="0.3">
      <c r="A2671" t="s">
        <v>52</v>
      </c>
      <c r="B2671">
        <v>62</v>
      </c>
      <c r="C2671" t="s">
        <v>71</v>
      </c>
      <c r="D2671" t="s">
        <v>74</v>
      </c>
      <c r="E2671" t="s">
        <v>74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74</v>
      </c>
    </row>
    <row r="2672" spans="1:20" x14ac:dyDescent="0.3">
      <c r="A2672" t="s">
        <v>41</v>
      </c>
      <c r="B2672">
        <v>60</v>
      </c>
      <c r="C2672" t="s">
        <v>71</v>
      </c>
      <c r="D2672" t="s">
        <v>75</v>
      </c>
      <c r="E2672" t="s">
        <v>74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75</v>
      </c>
    </row>
    <row r="2673" spans="1:20" x14ac:dyDescent="0.3">
      <c r="A2673" t="s">
        <v>59</v>
      </c>
      <c r="B2673">
        <v>56</v>
      </c>
      <c r="C2673" t="s">
        <v>73</v>
      </c>
      <c r="D2673" t="s">
        <v>74</v>
      </c>
      <c r="E2673" t="s">
        <v>74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75</v>
      </c>
    </row>
    <row r="2674" spans="1:20" x14ac:dyDescent="0.3">
      <c r="A2674" t="s">
        <v>52</v>
      </c>
      <c r="B2674">
        <v>183</v>
      </c>
      <c r="C2674" t="s">
        <v>71</v>
      </c>
      <c r="D2674" t="s">
        <v>74</v>
      </c>
      <c r="E2674" t="s">
        <v>74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74</v>
      </c>
    </row>
    <row r="2675" spans="1:20" x14ac:dyDescent="0.3">
      <c r="A2675" t="s">
        <v>48</v>
      </c>
      <c r="B2675">
        <v>94</v>
      </c>
      <c r="C2675" t="s">
        <v>71</v>
      </c>
      <c r="D2675" t="s">
        <v>74</v>
      </c>
      <c r="E2675" t="s">
        <v>74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74</v>
      </c>
    </row>
    <row r="2676" spans="1:20" x14ac:dyDescent="0.3">
      <c r="A2676" t="s">
        <v>54</v>
      </c>
      <c r="B2676">
        <v>73</v>
      </c>
      <c r="C2676" t="s">
        <v>71</v>
      </c>
      <c r="D2676" t="s">
        <v>74</v>
      </c>
      <c r="E2676" t="s">
        <v>75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74</v>
      </c>
    </row>
    <row r="2677" spans="1:20" x14ac:dyDescent="0.3">
      <c r="A2677" t="s">
        <v>25</v>
      </c>
      <c r="B2677">
        <v>123</v>
      </c>
      <c r="C2677" t="s">
        <v>73</v>
      </c>
      <c r="D2677" t="s">
        <v>74</v>
      </c>
      <c r="E2677" t="s">
        <v>74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74</v>
      </c>
    </row>
    <row r="2678" spans="1:20" x14ac:dyDescent="0.3">
      <c r="A2678" t="s">
        <v>51</v>
      </c>
      <c r="B2678">
        <v>64</v>
      </c>
      <c r="C2678" t="s">
        <v>73</v>
      </c>
      <c r="D2678" t="s">
        <v>74</v>
      </c>
      <c r="E2678" t="s">
        <v>74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74</v>
      </c>
    </row>
    <row r="2679" spans="1:20" x14ac:dyDescent="0.3">
      <c r="A2679" t="s">
        <v>62</v>
      </c>
      <c r="B2679">
        <v>127</v>
      </c>
      <c r="C2679" t="s">
        <v>71</v>
      </c>
      <c r="D2679" t="s">
        <v>75</v>
      </c>
      <c r="E2679" t="s">
        <v>74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75</v>
      </c>
    </row>
    <row r="2680" spans="1:20" x14ac:dyDescent="0.3">
      <c r="A2680" t="s">
        <v>55</v>
      </c>
      <c r="B2680">
        <v>33</v>
      </c>
      <c r="C2680" t="s">
        <v>71</v>
      </c>
      <c r="D2680" t="s">
        <v>74</v>
      </c>
      <c r="E2680" t="s">
        <v>74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74</v>
      </c>
    </row>
    <row r="2681" spans="1:20" x14ac:dyDescent="0.3">
      <c r="A2681" t="s">
        <v>46</v>
      </c>
      <c r="B2681">
        <v>123</v>
      </c>
      <c r="C2681" t="s">
        <v>73</v>
      </c>
      <c r="D2681" t="s">
        <v>74</v>
      </c>
      <c r="E2681" t="s">
        <v>74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74</v>
      </c>
    </row>
    <row r="2682" spans="1:20" x14ac:dyDescent="0.3">
      <c r="A2682" t="s">
        <v>68</v>
      </c>
      <c r="B2682">
        <v>148</v>
      </c>
      <c r="C2682" t="s">
        <v>72</v>
      </c>
      <c r="D2682" t="s">
        <v>74</v>
      </c>
      <c r="E2682" t="s">
        <v>74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74</v>
      </c>
    </row>
    <row r="2683" spans="1:20" x14ac:dyDescent="0.3">
      <c r="A2683" t="s">
        <v>42</v>
      </c>
      <c r="B2683">
        <v>81</v>
      </c>
      <c r="C2683" t="s">
        <v>71</v>
      </c>
      <c r="D2683" t="s">
        <v>74</v>
      </c>
      <c r="E2683" t="s">
        <v>74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74</v>
      </c>
    </row>
    <row r="2684" spans="1:20" x14ac:dyDescent="0.3">
      <c r="A2684" t="s">
        <v>40</v>
      </c>
      <c r="B2684">
        <v>52</v>
      </c>
      <c r="C2684" t="s">
        <v>71</v>
      </c>
      <c r="D2684" t="s">
        <v>74</v>
      </c>
      <c r="E2684" t="s">
        <v>74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74</v>
      </c>
    </row>
    <row r="2685" spans="1:20" x14ac:dyDescent="0.3">
      <c r="A2685" t="s">
        <v>31</v>
      </c>
      <c r="B2685">
        <v>91</v>
      </c>
      <c r="C2685" t="s">
        <v>73</v>
      </c>
      <c r="D2685" t="s">
        <v>74</v>
      </c>
      <c r="E2685" t="s">
        <v>75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74</v>
      </c>
    </row>
    <row r="2686" spans="1:20" x14ac:dyDescent="0.3">
      <c r="A2686" t="s">
        <v>46</v>
      </c>
      <c r="B2686">
        <v>152</v>
      </c>
      <c r="C2686" t="s">
        <v>72</v>
      </c>
      <c r="D2686" t="s">
        <v>74</v>
      </c>
      <c r="E2686" t="s">
        <v>74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74</v>
      </c>
    </row>
    <row r="2687" spans="1:20" x14ac:dyDescent="0.3">
      <c r="A2687" t="s">
        <v>34</v>
      </c>
      <c r="B2687">
        <v>201</v>
      </c>
      <c r="C2687" t="s">
        <v>71</v>
      </c>
      <c r="D2687" t="s">
        <v>74</v>
      </c>
      <c r="E2687" t="s">
        <v>74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75</v>
      </c>
    </row>
    <row r="2688" spans="1:20" x14ac:dyDescent="0.3">
      <c r="A2688" t="s">
        <v>29</v>
      </c>
      <c r="B2688">
        <v>78</v>
      </c>
      <c r="C2688" t="s">
        <v>71</v>
      </c>
      <c r="D2688" t="s">
        <v>74</v>
      </c>
      <c r="E2688" t="s">
        <v>74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75</v>
      </c>
    </row>
    <row r="2689" spans="1:20" x14ac:dyDescent="0.3">
      <c r="A2689" t="s">
        <v>54</v>
      </c>
      <c r="B2689">
        <v>67</v>
      </c>
      <c r="C2689" t="s">
        <v>71</v>
      </c>
      <c r="D2689" t="s">
        <v>74</v>
      </c>
      <c r="E2689" t="s">
        <v>74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74</v>
      </c>
    </row>
    <row r="2690" spans="1:20" x14ac:dyDescent="0.3">
      <c r="A2690" t="s">
        <v>46</v>
      </c>
      <c r="B2690">
        <v>100</v>
      </c>
      <c r="C2690" t="s">
        <v>73</v>
      </c>
      <c r="D2690" t="s">
        <v>74</v>
      </c>
      <c r="E2690" t="s">
        <v>74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74</v>
      </c>
    </row>
    <row r="2691" spans="1:20" x14ac:dyDescent="0.3">
      <c r="A2691" t="s">
        <v>30</v>
      </c>
      <c r="B2691">
        <v>41</v>
      </c>
      <c r="C2691" t="s">
        <v>72</v>
      </c>
      <c r="D2691" t="s">
        <v>74</v>
      </c>
      <c r="E2691" t="s">
        <v>74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74</v>
      </c>
    </row>
    <row r="2692" spans="1:20" x14ac:dyDescent="0.3">
      <c r="A2692" t="s">
        <v>58</v>
      </c>
      <c r="B2692">
        <v>133</v>
      </c>
      <c r="C2692" t="s">
        <v>71</v>
      </c>
      <c r="D2692" t="s">
        <v>74</v>
      </c>
      <c r="E2692" t="s">
        <v>74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74</v>
      </c>
    </row>
    <row r="2693" spans="1:20" x14ac:dyDescent="0.3">
      <c r="A2693" t="s">
        <v>43</v>
      </c>
      <c r="B2693">
        <v>36</v>
      </c>
      <c r="C2693" t="s">
        <v>73</v>
      </c>
      <c r="D2693" t="s">
        <v>74</v>
      </c>
      <c r="E2693" t="s">
        <v>75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74</v>
      </c>
    </row>
    <row r="2694" spans="1:20" x14ac:dyDescent="0.3">
      <c r="A2694" t="s">
        <v>49</v>
      </c>
      <c r="B2694">
        <v>51</v>
      </c>
      <c r="C2694" t="s">
        <v>72</v>
      </c>
      <c r="D2694" t="s">
        <v>74</v>
      </c>
      <c r="E2694" t="s">
        <v>75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74</v>
      </c>
    </row>
    <row r="2695" spans="1:20" x14ac:dyDescent="0.3">
      <c r="A2695" t="s">
        <v>52</v>
      </c>
      <c r="B2695">
        <v>84</v>
      </c>
      <c r="C2695" t="s">
        <v>73</v>
      </c>
      <c r="D2695" t="s">
        <v>74</v>
      </c>
      <c r="E2695" t="s">
        <v>75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74</v>
      </c>
    </row>
    <row r="2696" spans="1:20" x14ac:dyDescent="0.3">
      <c r="A2696" t="s">
        <v>26</v>
      </c>
      <c r="B2696">
        <v>91</v>
      </c>
      <c r="C2696" t="s">
        <v>71</v>
      </c>
      <c r="D2696" t="s">
        <v>74</v>
      </c>
      <c r="E2696" t="s">
        <v>74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74</v>
      </c>
    </row>
    <row r="2697" spans="1:20" x14ac:dyDescent="0.3">
      <c r="A2697" t="s">
        <v>42</v>
      </c>
      <c r="B2697">
        <v>110</v>
      </c>
      <c r="C2697" t="s">
        <v>73</v>
      </c>
      <c r="D2697" t="s">
        <v>74</v>
      </c>
      <c r="E2697" t="s">
        <v>74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74</v>
      </c>
    </row>
    <row r="2698" spans="1:20" x14ac:dyDescent="0.3">
      <c r="A2698" t="s">
        <v>45</v>
      </c>
      <c r="B2698">
        <v>121</v>
      </c>
      <c r="C2698" t="s">
        <v>73</v>
      </c>
      <c r="D2698" t="s">
        <v>74</v>
      </c>
      <c r="E2698" t="s">
        <v>74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74</v>
      </c>
    </row>
    <row r="2699" spans="1:20" x14ac:dyDescent="0.3">
      <c r="A2699" t="s">
        <v>65</v>
      </c>
      <c r="B2699">
        <v>109</v>
      </c>
      <c r="C2699" t="s">
        <v>71</v>
      </c>
      <c r="D2699" t="s">
        <v>74</v>
      </c>
      <c r="E2699" t="s">
        <v>74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74</v>
      </c>
    </row>
    <row r="2700" spans="1:20" x14ac:dyDescent="0.3">
      <c r="A2700" t="s">
        <v>70</v>
      </c>
      <c r="B2700">
        <v>95</v>
      </c>
      <c r="C2700" t="s">
        <v>72</v>
      </c>
      <c r="D2700" t="s">
        <v>74</v>
      </c>
      <c r="E2700" t="s">
        <v>74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74</v>
      </c>
    </row>
    <row r="2701" spans="1:20" x14ac:dyDescent="0.3">
      <c r="A2701" t="s">
        <v>66</v>
      </c>
      <c r="B2701">
        <v>72</v>
      </c>
      <c r="C2701" t="s">
        <v>71</v>
      </c>
      <c r="D2701" t="s">
        <v>74</v>
      </c>
      <c r="E2701" t="s">
        <v>74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74</v>
      </c>
    </row>
    <row r="2702" spans="1:20" x14ac:dyDescent="0.3">
      <c r="A2702" t="s">
        <v>65</v>
      </c>
      <c r="B2702">
        <v>73</v>
      </c>
      <c r="C2702" t="s">
        <v>71</v>
      </c>
      <c r="D2702" t="s">
        <v>74</v>
      </c>
      <c r="E2702" t="s">
        <v>74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74</v>
      </c>
    </row>
    <row r="2703" spans="1:20" x14ac:dyDescent="0.3">
      <c r="A2703" t="s">
        <v>48</v>
      </c>
      <c r="B2703">
        <v>108</v>
      </c>
      <c r="C2703" t="s">
        <v>71</v>
      </c>
      <c r="D2703" t="s">
        <v>74</v>
      </c>
      <c r="E2703" t="s">
        <v>74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74</v>
      </c>
    </row>
    <row r="2704" spans="1:20" x14ac:dyDescent="0.3">
      <c r="A2704" t="s">
        <v>65</v>
      </c>
      <c r="B2704">
        <v>58</v>
      </c>
      <c r="C2704" t="s">
        <v>73</v>
      </c>
      <c r="D2704" t="s">
        <v>74</v>
      </c>
      <c r="E2704" t="s">
        <v>75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74</v>
      </c>
    </row>
    <row r="2705" spans="1:20" x14ac:dyDescent="0.3">
      <c r="A2705" t="s">
        <v>41</v>
      </c>
      <c r="B2705">
        <v>76</v>
      </c>
      <c r="C2705" t="s">
        <v>72</v>
      </c>
      <c r="D2705" t="s">
        <v>75</v>
      </c>
      <c r="E2705" t="s">
        <v>74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75</v>
      </c>
    </row>
    <row r="2706" spans="1:20" x14ac:dyDescent="0.3">
      <c r="A2706" t="s">
        <v>29</v>
      </c>
      <c r="B2706">
        <v>103</v>
      </c>
      <c r="C2706" t="s">
        <v>71</v>
      </c>
      <c r="D2706" t="s">
        <v>74</v>
      </c>
      <c r="E2706" t="s">
        <v>74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75</v>
      </c>
    </row>
    <row r="2707" spans="1:20" x14ac:dyDescent="0.3">
      <c r="A2707" t="s">
        <v>54</v>
      </c>
      <c r="B2707">
        <v>87</v>
      </c>
      <c r="C2707" t="s">
        <v>71</v>
      </c>
      <c r="D2707" t="s">
        <v>74</v>
      </c>
      <c r="E2707" t="s">
        <v>74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75</v>
      </c>
    </row>
    <row r="2708" spans="1:20" x14ac:dyDescent="0.3">
      <c r="A2708" t="s">
        <v>44</v>
      </c>
      <c r="B2708">
        <v>35</v>
      </c>
      <c r="C2708" t="s">
        <v>72</v>
      </c>
      <c r="D2708" t="s">
        <v>74</v>
      </c>
      <c r="E2708" t="s">
        <v>75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74</v>
      </c>
    </row>
    <row r="2709" spans="1:20" x14ac:dyDescent="0.3">
      <c r="A2709" t="s">
        <v>22</v>
      </c>
      <c r="B2709">
        <v>88</v>
      </c>
      <c r="C2709" t="s">
        <v>71</v>
      </c>
      <c r="D2709" t="s">
        <v>74</v>
      </c>
      <c r="E2709" t="s">
        <v>74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74</v>
      </c>
    </row>
    <row r="2710" spans="1:20" x14ac:dyDescent="0.3">
      <c r="A2710" t="s">
        <v>29</v>
      </c>
      <c r="B2710">
        <v>77</v>
      </c>
      <c r="C2710" t="s">
        <v>72</v>
      </c>
      <c r="D2710" t="s">
        <v>74</v>
      </c>
      <c r="E2710" t="s">
        <v>75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74</v>
      </c>
    </row>
    <row r="2711" spans="1:20" x14ac:dyDescent="0.3">
      <c r="A2711" t="s">
        <v>56</v>
      </c>
      <c r="B2711">
        <v>30</v>
      </c>
      <c r="C2711" t="s">
        <v>71</v>
      </c>
      <c r="D2711" t="s">
        <v>74</v>
      </c>
      <c r="E2711" t="s">
        <v>74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74</v>
      </c>
    </row>
    <row r="2712" spans="1:20" x14ac:dyDescent="0.3">
      <c r="A2712" t="s">
        <v>45</v>
      </c>
      <c r="B2712">
        <v>53</v>
      </c>
      <c r="C2712" t="s">
        <v>71</v>
      </c>
      <c r="D2712" t="s">
        <v>74</v>
      </c>
      <c r="E2712" t="s">
        <v>75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74</v>
      </c>
    </row>
    <row r="2713" spans="1:20" x14ac:dyDescent="0.3">
      <c r="A2713" t="s">
        <v>41</v>
      </c>
      <c r="B2713">
        <v>152</v>
      </c>
      <c r="C2713" t="s">
        <v>72</v>
      </c>
      <c r="D2713" t="s">
        <v>74</v>
      </c>
      <c r="E2713" t="s">
        <v>74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74</v>
      </c>
    </row>
    <row r="2714" spans="1:20" x14ac:dyDescent="0.3">
      <c r="A2714" t="s">
        <v>32</v>
      </c>
      <c r="B2714">
        <v>59</v>
      </c>
      <c r="C2714" t="s">
        <v>73</v>
      </c>
      <c r="D2714" t="s">
        <v>74</v>
      </c>
      <c r="E2714" t="s">
        <v>75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74</v>
      </c>
    </row>
    <row r="2715" spans="1:20" x14ac:dyDescent="0.3">
      <c r="A2715" t="s">
        <v>41</v>
      </c>
      <c r="B2715">
        <v>143</v>
      </c>
      <c r="C2715" t="s">
        <v>72</v>
      </c>
      <c r="D2715" t="s">
        <v>74</v>
      </c>
      <c r="E2715" t="s">
        <v>74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74</v>
      </c>
    </row>
    <row r="2716" spans="1:20" x14ac:dyDescent="0.3">
      <c r="A2716" t="s">
        <v>47</v>
      </c>
      <c r="B2716">
        <v>142</v>
      </c>
      <c r="C2716" t="s">
        <v>72</v>
      </c>
      <c r="D2716" t="s">
        <v>74</v>
      </c>
      <c r="E2716" t="s">
        <v>75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74</v>
      </c>
    </row>
    <row r="2717" spans="1:20" x14ac:dyDescent="0.3">
      <c r="A2717" t="s">
        <v>29</v>
      </c>
      <c r="B2717">
        <v>105</v>
      </c>
      <c r="C2717" t="s">
        <v>73</v>
      </c>
      <c r="D2717" t="s">
        <v>74</v>
      </c>
      <c r="E2717" t="s">
        <v>74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74</v>
      </c>
    </row>
    <row r="2718" spans="1:20" x14ac:dyDescent="0.3">
      <c r="A2718" t="s">
        <v>53</v>
      </c>
      <c r="B2718">
        <v>111</v>
      </c>
      <c r="C2718" t="s">
        <v>73</v>
      </c>
      <c r="D2718" t="s">
        <v>74</v>
      </c>
      <c r="E2718" t="s">
        <v>74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75</v>
      </c>
    </row>
    <row r="2719" spans="1:20" x14ac:dyDescent="0.3">
      <c r="A2719" t="s">
        <v>41</v>
      </c>
      <c r="B2719">
        <v>143</v>
      </c>
      <c r="C2719" t="s">
        <v>72</v>
      </c>
      <c r="D2719" t="s">
        <v>74</v>
      </c>
      <c r="E2719" t="s">
        <v>74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74</v>
      </c>
    </row>
    <row r="2720" spans="1:20" x14ac:dyDescent="0.3">
      <c r="A2720" t="s">
        <v>63</v>
      </c>
      <c r="B2720">
        <v>93</v>
      </c>
      <c r="C2720" t="s">
        <v>73</v>
      </c>
      <c r="D2720" t="s">
        <v>74</v>
      </c>
      <c r="E2720" t="s">
        <v>75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74</v>
      </c>
    </row>
    <row r="2721" spans="1:20" x14ac:dyDescent="0.3">
      <c r="A2721" t="s">
        <v>70</v>
      </c>
      <c r="B2721">
        <v>79</v>
      </c>
      <c r="C2721" t="s">
        <v>71</v>
      </c>
      <c r="D2721" t="s">
        <v>74</v>
      </c>
      <c r="E2721" t="s">
        <v>74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74</v>
      </c>
    </row>
    <row r="2722" spans="1:20" x14ac:dyDescent="0.3">
      <c r="A2722" t="s">
        <v>69</v>
      </c>
      <c r="B2722">
        <v>93</v>
      </c>
      <c r="C2722" t="s">
        <v>72</v>
      </c>
      <c r="D2722" t="s">
        <v>75</v>
      </c>
      <c r="E2722" t="s">
        <v>74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74</v>
      </c>
    </row>
    <row r="2723" spans="1:20" x14ac:dyDescent="0.3">
      <c r="A2723" t="s">
        <v>29</v>
      </c>
      <c r="B2723">
        <v>103</v>
      </c>
      <c r="C2723" t="s">
        <v>71</v>
      </c>
      <c r="D2723" t="s">
        <v>74</v>
      </c>
      <c r="E2723" t="s">
        <v>74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74</v>
      </c>
    </row>
    <row r="2724" spans="1:20" x14ac:dyDescent="0.3">
      <c r="A2724" t="s">
        <v>31</v>
      </c>
      <c r="B2724">
        <v>93</v>
      </c>
      <c r="C2724" t="s">
        <v>71</v>
      </c>
      <c r="D2724" t="s">
        <v>74</v>
      </c>
      <c r="E2724" t="s">
        <v>74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74</v>
      </c>
    </row>
    <row r="2725" spans="1:20" x14ac:dyDescent="0.3">
      <c r="A2725" t="s">
        <v>44</v>
      </c>
      <c r="B2725">
        <v>149</v>
      </c>
      <c r="C2725" t="s">
        <v>72</v>
      </c>
      <c r="D2725" t="s">
        <v>75</v>
      </c>
      <c r="E2725" t="s">
        <v>74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74</v>
      </c>
    </row>
    <row r="2726" spans="1:20" x14ac:dyDescent="0.3">
      <c r="A2726" t="s">
        <v>65</v>
      </c>
      <c r="B2726">
        <v>23</v>
      </c>
      <c r="C2726" t="s">
        <v>72</v>
      </c>
      <c r="D2726" t="s">
        <v>74</v>
      </c>
      <c r="E2726" t="s">
        <v>75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74</v>
      </c>
    </row>
    <row r="2727" spans="1:20" x14ac:dyDescent="0.3">
      <c r="A2727" t="s">
        <v>56</v>
      </c>
      <c r="B2727">
        <v>221</v>
      </c>
      <c r="C2727" t="s">
        <v>72</v>
      </c>
      <c r="D2727" t="s">
        <v>74</v>
      </c>
      <c r="E2727" t="s">
        <v>75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74</v>
      </c>
    </row>
    <row r="2728" spans="1:20" x14ac:dyDescent="0.3">
      <c r="A2728" t="s">
        <v>20</v>
      </c>
      <c r="B2728">
        <v>164</v>
      </c>
      <c r="C2728" t="s">
        <v>72</v>
      </c>
      <c r="D2728" t="s">
        <v>74</v>
      </c>
      <c r="E2728" t="s">
        <v>75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74</v>
      </c>
    </row>
    <row r="2729" spans="1:20" x14ac:dyDescent="0.3">
      <c r="A2729" t="s">
        <v>66</v>
      </c>
      <c r="B2729">
        <v>104</v>
      </c>
      <c r="C2729" t="s">
        <v>71</v>
      </c>
      <c r="D2729" t="s">
        <v>74</v>
      </c>
      <c r="E2729" t="s">
        <v>75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74</v>
      </c>
    </row>
    <row r="2730" spans="1:20" x14ac:dyDescent="0.3">
      <c r="A2730" t="s">
        <v>38</v>
      </c>
      <c r="B2730">
        <v>150</v>
      </c>
      <c r="C2730" t="s">
        <v>71</v>
      </c>
      <c r="D2730" t="s">
        <v>74</v>
      </c>
      <c r="E2730" t="s">
        <v>75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74</v>
      </c>
    </row>
    <row r="2731" spans="1:20" x14ac:dyDescent="0.3">
      <c r="A2731" t="s">
        <v>31</v>
      </c>
      <c r="B2731">
        <v>184</v>
      </c>
      <c r="C2731" t="s">
        <v>73</v>
      </c>
      <c r="D2731" t="s">
        <v>74</v>
      </c>
      <c r="E2731" t="s">
        <v>75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74</v>
      </c>
    </row>
    <row r="2732" spans="1:20" x14ac:dyDescent="0.3">
      <c r="A2732" t="s">
        <v>43</v>
      </c>
      <c r="B2732">
        <v>88</v>
      </c>
      <c r="C2732" t="s">
        <v>73</v>
      </c>
      <c r="D2732" t="s">
        <v>74</v>
      </c>
      <c r="E2732" t="s">
        <v>74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74</v>
      </c>
    </row>
    <row r="2733" spans="1:20" x14ac:dyDescent="0.3">
      <c r="A2733" t="s">
        <v>42</v>
      </c>
      <c r="B2733">
        <v>61</v>
      </c>
      <c r="C2733" t="s">
        <v>71</v>
      </c>
      <c r="D2733" t="s">
        <v>75</v>
      </c>
      <c r="E2733" t="s">
        <v>75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74</v>
      </c>
    </row>
    <row r="2734" spans="1:20" x14ac:dyDescent="0.3">
      <c r="A2734" t="s">
        <v>66</v>
      </c>
      <c r="B2734">
        <v>110</v>
      </c>
      <c r="C2734" t="s">
        <v>73</v>
      </c>
      <c r="D2734" t="s">
        <v>74</v>
      </c>
      <c r="E2734" t="s">
        <v>74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74</v>
      </c>
    </row>
    <row r="2735" spans="1:20" x14ac:dyDescent="0.3">
      <c r="A2735" t="s">
        <v>51</v>
      </c>
      <c r="B2735">
        <v>115</v>
      </c>
      <c r="C2735" t="s">
        <v>71</v>
      </c>
      <c r="D2735" t="s">
        <v>74</v>
      </c>
      <c r="E2735" t="s">
        <v>74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75</v>
      </c>
    </row>
    <row r="2736" spans="1:20" x14ac:dyDescent="0.3">
      <c r="A2736" t="s">
        <v>62</v>
      </c>
      <c r="B2736">
        <v>33</v>
      </c>
      <c r="C2736" t="s">
        <v>73</v>
      </c>
      <c r="D2736" t="s">
        <v>74</v>
      </c>
      <c r="E2736" t="s">
        <v>74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74</v>
      </c>
    </row>
    <row r="2737" spans="1:20" x14ac:dyDescent="0.3">
      <c r="A2737" t="s">
        <v>59</v>
      </c>
      <c r="B2737">
        <v>100</v>
      </c>
      <c r="C2737" t="s">
        <v>72</v>
      </c>
      <c r="D2737" t="s">
        <v>74</v>
      </c>
      <c r="E2737" t="s">
        <v>74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75</v>
      </c>
    </row>
    <row r="2738" spans="1:20" x14ac:dyDescent="0.3">
      <c r="A2738" t="s">
        <v>38</v>
      </c>
      <c r="B2738">
        <v>209</v>
      </c>
      <c r="C2738" t="s">
        <v>71</v>
      </c>
      <c r="D2738" t="s">
        <v>74</v>
      </c>
      <c r="E2738" t="s">
        <v>74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74</v>
      </c>
    </row>
    <row r="2739" spans="1:20" x14ac:dyDescent="0.3">
      <c r="A2739" t="s">
        <v>58</v>
      </c>
      <c r="B2739">
        <v>27</v>
      </c>
      <c r="C2739" t="s">
        <v>72</v>
      </c>
      <c r="D2739" t="s">
        <v>74</v>
      </c>
      <c r="E2739" t="s">
        <v>74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74</v>
      </c>
    </row>
    <row r="2740" spans="1:20" x14ac:dyDescent="0.3">
      <c r="A2740" t="s">
        <v>25</v>
      </c>
      <c r="B2740">
        <v>117</v>
      </c>
      <c r="C2740" t="s">
        <v>71</v>
      </c>
      <c r="D2740" t="s">
        <v>74</v>
      </c>
      <c r="E2740" t="s">
        <v>74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74</v>
      </c>
    </row>
    <row r="2741" spans="1:20" x14ac:dyDescent="0.3">
      <c r="A2741" t="s">
        <v>36</v>
      </c>
      <c r="B2741">
        <v>87</v>
      </c>
      <c r="C2741" t="s">
        <v>73</v>
      </c>
      <c r="D2741" t="s">
        <v>74</v>
      </c>
      <c r="E2741" t="s">
        <v>74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74</v>
      </c>
    </row>
    <row r="2742" spans="1:20" x14ac:dyDescent="0.3">
      <c r="A2742" t="s">
        <v>54</v>
      </c>
      <c r="B2742">
        <v>129</v>
      </c>
      <c r="C2742" t="s">
        <v>72</v>
      </c>
      <c r="D2742" t="s">
        <v>74</v>
      </c>
      <c r="E2742" t="s">
        <v>75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74</v>
      </c>
    </row>
    <row r="2743" spans="1:20" x14ac:dyDescent="0.3">
      <c r="A2743" t="s">
        <v>31</v>
      </c>
      <c r="B2743">
        <v>142</v>
      </c>
      <c r="C2743" t="s">
        <v>72</v>
      </c>
      <c r="D2743" t="s">
        <v>74</v>
      </c>
      <c r="E2743" t="s">
        <v>74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74</v>
      </c>
    </row>
    <row r="2744" spans="1:20" x14ac:dyDescent="0.3">
      <c r="A2744" t="s">
        <v>44</v>
      </c>
      <c r="B2744">
        <v>112</v>
      </c>
      <c r="C2744" t="s">
        <v>71</v>
      </c>
      <c r="D2744" t="s">
        <v>74</v>
      </c>
      <c r="E2744" t="s">
        <v>74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74</v>
      </c>
    </row>
    <row r="2745" spans="1:20" x14ac:dyDescent="0.3">
      <c r="A2745" t="s">
        <v>45</v>
      </c>
      <c r="B2745">
        <v>75</v>
      </c>
      <c r="C2745" t="s">
        <v>72</v>
      </c>
      <c r="D2745" t="s">
        <v>74</v>
      </c>
      <c r="E2745" t="s">
        <v>75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74</v>
      </c>
    </row>
    <row r="2746" spans="1:20" x14ac:dyDescent="0.3">
      <c r="A2746" t="s">
        <v>48</v>
      </c>
      <c r="B2746">
        <v>97</v>
      </c>
      <c r="C2746" t="s">
        <v>73</v>
      </c>
      <c r="D2746" t="s">
        <v>74</v>
      </c>
      <c r="E2746" t="s">
        <v>75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74</v>
      </c>
    </row>
    <row r="2747" spans="1:20" x14ac:dyDescent="0.3">
      <c r="A2747" t="s">
        <v>35</v>
      </c>
      <c r="B2747">
        <v>121</v>
      </c>
      <c r="C2747" t="s">
        <v>73</v>
      </c>
      <c r="D2747" t="s">
        <v>74</v>
      </c>
      <c r="E2747" t="s">
        <v>75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74</v>
      </c>
    </row>
    <row r="2748" spans="1:20" x14ac:dyDescent="0.3">
      <c r="A2748" t="s">
        <v>40</v>
      </c>
      <c r="B2748">
        <v>142</v>
      </c>
      <c r="C2748" t="s">
        <v>71</v>
      </c>
      <c r="D2748" t="s">
        <v>75</v>
      </c>
      <c r="E2748" t="s">
        <v>74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74</v>
      </c>
    </row>
    <row r="2749" spans="1:20" x14ac:dyDescent="0.3">
      <c r="A2749" t="s">
        <v>41</v>
      </c>
      <c r="B2749">
        <v>121</v>
      </c>
      <c r="C2749" t="s">
        <v>72</v>
      </c>
      <c r="D2749" t="s">
        <v>74</v>
      </c>
      <c r="E2749" t="s">
        <v>74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75</v>
      </c>
    </row>
    <row r="2750" spans="1:20" x14ac:dyDescent="0.3">
      <c r="A2750" t="s">
        <v>56</v>
      </c>
      <c r="B2750">
        <v>87</v>
      </c>
      <c r="C2750" t="s">
        <v>71</v>
      </c>
      <c r="D2750" t="s">
        <v>74</v>
      </c>
      <c r="E2750" t="s">
        <v>75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74</v>
      </c>
    </row>
    <row r="2751" spans="1:20" x14ac:dyDescent="0.3">
      <c r="A2751" t="s">
        <v>56</v>
      </c>
      <c r="B2751">
        <v>34</v>
      </c>
      <c r="C2751" t="s">
        <v>73</v>
      </c>
      <c r="D2751" t="s">
        <v>74</v>
      </c>
      <c r="E2751" t="s">
        <v>74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74</v>
      </c>
    </row>
    <row r="2752" spans="1:20" x14ac:dyDescent="0.3">
      <c r="A2752" t="s">
        <v>35</v>
      </c>
      <c r="B2752">
        <v>177</v>
      </c>
      <c r="C2752" t="s">
        <v>71</v>
      </c>
      <c r="D2752" t="s">
        <v>75</v>
      </c>
      <c r="E2752" t="s">
        <v>74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75</v>
      </c>
    </row>
    <row r="2753" spans="1:20" x14ac:dyDescent="0.3">
      <c r="A2753" t="s">
        <v>36</v>
      </c>
      <c r="B2753">
        <v>58</v>
      </c>
      <c r="C2753" t="s">
        <v>71</v>
      </c>
      <c r="D2753" t="s">
        <v>74</v>
      </c>
      <c r="E2753" t="s">
        <v>75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74</v>
      </c>
    </row>
    <row r="2754" spans="1:20" x14ac:dyDescent="0.3">
      <c r="A2754" t="s">
        <v>62</v>
      </c>
      <c r="B2754">
        <v>113</v>
      </c>
      <c r="C2754" t="s">
        <v>71</v>
      </c>
      <c r="D2754" t="s">
        <v>75</v>
      </c>
      <c r="E2754" t="s">
        <v>74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75</v>
      </c>
    </row>
    <row r="2755" spans="1:20" x14ac:dyDescent="0.3">
      <c r="A2755" t="s">
        <v>20</v>
      </c>
      <c r="B2755">
        <v>101</v>
      </c>
      <c r="C2755" t="s">
        <v>71</v>
      </c>
      <c r="D2755" t="s">
        <v>74</v>
      </c>
      <c r="E2755" t="s">
        <v>74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74</v>
      </c>
    </row>
    <row r="2756" spans="1:20" x14ac:dyDescent="0.3">
      <c r="A2756" t="s">
        <v>58</v>
      </c>
      <c r="B2756">
        <v>89</v>
      </c>
      <c r="C2756" t="s">
        <v>71</v>
      </c>
      <c r="D2756" t="s">
        <v>74</v>
      </c>
      <c r="E2756" t="s">
        <v>74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74</v>
      </c>
    </row>
    <row r="2757" spans="1:20" x14ac:dyDescent="0.3">
      <c r="A2757" t="s">
        <v>66</v>
      </c>
      <c r="B2757">
        <v>77</v>
      </c>
      <c r="C2757" t="s">
        <v>73</v>
      </c>
      <c r="D2757" t="s">
        <v>75</v>
      </c>
      <c r="E2757" t="s">
        <v>75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75</v>
      </c>
    </row>
    <row r="2758" spans="1:20" x14ac:dyDescent="0.3">
      <c r="A2758" t="s">
        <v>44</v>
      </c>
      <c r="B2758">
        <v>146</v>
      </c>
      <c r="C2758" t="s">
        <v>72</v>
      </c>
      <c r="D2758" t="s">
        <v>74</v>
      </c>
      <c r="E2758" t="s">
        <v>74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75</v>
      </c>
    </row>
    <row r="2759" spans="1:20" x14ac:dyDescent="0.3">
      <c r="A2759" t="s">
        <v>28</v>
      </c>
      <c r="B2759">
        <v>93</v>
      </c>
      <c r="C2759" t="s">
        <v>71</v>
      </c>
      <c r="D2759" t="s">
        <v>74</v>
      </c>
      <c r="E2759" t="s">
        <v>74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74</v>
      </c>
    </row>
    <row r="2760" spans="1:20" x14ac:dyDescent="0.3">
      <c r="A2760" t="s">
        <v>52</v>
      </c>
      <c r="B2760">
        <v>55</v>
      </c>
      <c r="C2760" t="s">
        <v>71</v>
      </c>
      <c r="D2760" t="s">
        <v>74</v>
      </c>
      <c r="E2760" t="s">
        <v>74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74</v>
      </c>
    </row>
    <row r="2761" spans="1:20" x14ac:dyDescent="0.3">
      <c r="A2761" t="s">
        <v>61</v>
      </c>
      <c r="B2761">
        <v>88</v>
      </c>
      <c r="C2761" t="s">
        <v>73</v>
      </c>
      <c r="D2761" t="s">
        <v>74</v>
      </c>
      <c r="E2761" t="s">
        <v>74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74</v>
      </c>
    </row>
    <row r="2762" spans="1:20" x14ac:dyDescent="0.3">
      <c r="A2762" t="s">
        <v>40</v>
      </c>
      <c r="B2762">
        <v>63</v>
      </c>
      <c r="C2762" t="s">
        <v>72</v>
      </c>
      <c r="D2762" t="s">
        <v>74</v>
      </c>
      <c r="E2762" t="s">
        <v>74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74</v>
      </c>
    </row>
    <row r="2763" spans="1:20" x14ac:dyDescent="0.3">
      <c r="A2763" t="s">
        <v>20</v>
      </c>
      <c r="B2763">
        <v>127</v>
      </c>
      <c r="C2763" t="s">
        <v>71</v>
      </c>
      <c r="D2763" t="s">
        <v>74</v>
      </c>
      <c r="E2763" t="s">
        <v>75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74</v>
      </c>
    </row>
    <row r="2764" spans="1:20" x14ac:dyDescent="0.3">
      <c r="A2764" t="s">
        <v>25</v>
      </c>
      <c r="B2764">
        <v>57</v>
      </c>
      <c r="C2764" t="s">
        <v>71</v>
      </c>
      <c r="D2764" t="s">
        <v>74</v>
      </c>
      <c r="E2764" t="s">
        <v>75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74</v>
      </c>
    </row>
    <row r="2765" spans="1:20" x14ac:dyDescent="0.3">
      <c r="A2765" t="s">
        <v>55</v>
      </c>
      <c r="B2765">
        <v>138</v>
      </c>
      <c r="C2765" t="s">
        <v>72</v>
      </c>
      <c r="D2765" t="s">
        <v>75</v>
      </c>
      <c r="E2765" t="s">
        <v>74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75</v>
      </c>
    </row>
    <row r="2766" spans="1:20" x14ac:dyDescent="0.3">
      <c r="A2766" t="s">
        <v>38</v>
      </c>
      <c r="B2766">
        <v>171</v>
      </c>
      <c r="C2766" t="s">
        <v>71</v>
      </c>
      <c r="D2766" t="s">
        <v>74</v>
      </c>
      <c r="E2766" t="s">
        <v>74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74</v>
      </c>
    </row>
    <row r="2767" spans="1:20" x14ac:dyDescent="0.3">
      <c r="A2767" t="s">
        <v>30</v>
      </c>
      <c r="B2767">
        <v>148</v>
      </c>
      <c r="C2767" t="s">
        <v>73</v>
      </c>
      <c r="D2767" t="s">
        <v>74</v>
      </c>
      <c r="E2767" t="s">
        <v>74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74</v>
      </c>
    </row>
    <row r="2768" spans="1:20" x14ac:dyDescent="0.3">
      <c r="A2768" t="s">
        <v>66</v>
      </c>
      <c r="B2768">
        <v>127</v>
      </c>
      <c r="C2768" t="s">
        <v>72</v>
      </c>
      <c r="D2768" t="s">
        <v>74</v>
      </c>
      <c r="E2768" t="s">
        <v>74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74</v>
      </c>
    </row>
    <row r="2769" spans="1:20" x14ac:dyDescent="0.3">
      <c r="A2769" t="s">
        <v>58</v>
      </c>
      <c r="B2769">
        <v>61</v>
      </c>
      <c r="C2769" t="s">
        <v>71</v>
      </c>
      <c r="D2769" t="s">
        <v>74</v>
      </c>
      <c r="E2769" t="s">
        <v>74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74</v>
      </c>
    </row>
    <row r="2770" spans="1:20" x14ac:dyDescent="0.3">
      <c r="A2770" t="s">
        <v>23</v>
      </c>
      <c r="B2770">
        <v>131</v>
      </c>
      <c r="C2770" t="s">
        <v>71</v>
      </c>
      <c r="D2770" t="s">
        <v>74</v>
      </c>
      <c r="E2770" t="s">
        <v>74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74</v>
      </c>
    </row>
    <row r="2771" spans="1:20" x14ac:dyDescent="0.3">
      <c r="A2771" t="s">
        <v>56</v>
      </c>
      <c r="B2771">
        <v>88</v>
      </c>
      <c r="C2771" t="s">
        <v>73</v>
      </c>
      <c r="D2771" t="s">
        <v>74</v>
      </c>
      <c r="E2771" t="s">
        <v>74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74</v>
      </c>
    </row>
    <row r="2772" spans="1:20" x14ac:dyDescent="0.3">
      <c r="A2772" t="s">
        <v>55</v>
      </c>
      <c r="B2772">
        <v>89</v>
      </c>
      <c r="C2772" t="s">
        <v>71</v>
      </c>
      <c r="D2772" t="s">
        <v>74</v>
      </c>
      <c r="E2772" t="s">
        <v>75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74</v>
      </c>
    </row>
    <row r="2773" spans="1:20" x14ac:dyDescent="0.3">
      <c r="A2773" t="s">
        <v>29</v>
      </c>
      <c r="B2773">
        <v>82</v>
      </c>
      <c r="C2773" t="s">
        <v>71</v>
      </c>
      <c r="D2773" t="s">
        <v>74</v>
      </c>
      <c r="E2773" t="s">
        <v>74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75</v>
      </c>
    </row>
    <row r="2774" spans="1:20" x14ac:dyDescent="0.3">
      <c r="A2774" t="s">
        <v>44</v>
      </c>
      <c r="B2774">
        <v>138</v>
      </c>
      <c r="C2774" t="s">
        <v>72</v>
      </c>
      <c r="D2774" t="s">
        <v>74</v>
      </c>
      <c r="E2774" t="s">
        <v>75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74</v>
      </c>
    </row>
    <row r="2775" spans="1:20" x14ac:dyDescent="0.3">
      <c r="A2775" t="s">
        <v>32</v>
      </c>
      <c r="B2775">
        <v>115</v>
      </c>
      <c r="C2775" t="s">
        <v>71</v>
      </c>
      <c r="D2775" t="s">
        <v>74</v>
      </c>
      <c r="E2775" t="s">
        <v>74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74</v>
      </c>
    </row>
    <row r="2776" spans="1:20" x14ac:dyDescent="0.3">
      <c r="A2776" t="s">
        <v>65</v>
      </c>
      <c r="B2776">
        <v>117</v>
      </c>
      <c r="C2776" t="s">
        <v>72</v>
      </c>
      <c r="D2776" t="s">
        <v>75</v>
      </c>
      <c r="E2776" t="s">
        <v>74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74</v>
      </c>
    </row>
    <row r="2777" spans="1:20" x14ac:dyDescent="0.3">
      <c r="A2777" t="s">
        <v>46</v>
      </c>
      <c r="B2777">
        <v>60</v>
      </c>
      <c r="C2777" t="s">
        <v>71</v>
      </c>
      <c r="D2777" t="s">
        <v>74</v>
      </c>
      <c r="E2777" t="s">
        <v>74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74</v>
      </c>
    </row>
    <row r="2778" spans="1:20" x14ac:dyDescent="0.3">
      <c r="A2778" t="s">
        <v>31</v>
      </c>
      <c r="B2778">
        <v>62</v>
      </c>
      <c r="C2778" t="s">
        <v>71</v>
      </c>
      <c r="D2778" t="s">
        <v>74</v>
      </c>
      <c r="E2778" t="s">
        <v>74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74</v>
      </c>
    </row>
    <row r="2779" spans="1:20" x14ac:dyDescent="0.3">
      <c r="A2779" t="s">
        <v>49</v>
      </c>
      <c r="B2779">
        <v>133</v>
      </c>
      <c r="C2779" t="s">
        <v>72</v>
      </c>
      <c r="D2779" t="s">
        <v>74</v>
      </c>
      <c r="E2779" t="s">
        <v>74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75</v>
      </c>
    </row>
    <row r="2780" spans="1:20" x14ac:dyDescent="0.3">
      <c r="A2780" t="s">
        <v>51</v>
      </c>
      <c r="B2780">
        <v>131</v>
      </c>
      <c r="C2780" t="s">
        <v>73</v>
      </c>
      <c r="D2780" t="s">
        <v>74</v>
      </c>
      <c r="E2780" t="s">
        <v>74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74</v>
      </c>
    </row>
    <row r="2781" spans="1:20" x14ac:dyDescent="0.3">
      <c r="A2781" t="s">
        <v>51</v>
      </c>
      <c r="B2781">
        <v>65</v>
      </c>
      <c r="C2781" t="s">
        <v>73</v>
      </c>
      <c r="D2781" t="s">
        <v>74</v>
      </c>
      <c r="E2781" t="s">
        <v>74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74</v>
      </c>
    </row>
    <row r="2782" spans="1:20" x14ac:dyDescent="0.3">
      <c r="A2782" t="s">
        <v>38</v>
      </c>
      <c r="B2782">
        <v>120</v>
      </c>
      <c r="C2782" t="s">
        <v>72</v>
      </c>
      <c r="D2782" t="s">
        <v>74</v>
      </c>
      <c r="E2782" t="s">
        <v>75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74</v>
      </c>
    </row>
    <row r="2783" spans="1:20" x14ac:dyDescent="0.3">
      <c r="A2783" t="s">
        <v>58</v>
      </c>
      <c r="B2783">
        <v>142</v>
      </c>
      <c r="C2783" t="s">
        <v>72</v>
      </c>
      <c r="D2783" t="s">
        <v>74</v>
      </c>
      <c r="E2783" t="s">
        <v>75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74</v>
      </c>
    </row>
    <row r="2784" spans="1:20" x14ac:dyDescent="0.3">
      <c r="A2784" t="s">
        <v>44</v>
      </c>
      <c r="B2784">
        <v>134</v>
      </c>
      <c r="C2784" t="s">
        <v>71</v>
      </c>
      <c r="D2784" t="s">
        <v>74</v>
      </c>
      <c r="E2784" t="s">
        <v>74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74</v>
      </c>
    </row>
    <row r="2785" spans="1:20" x14ac:dyDescent="0.3">
      <c r="A2785" t="s">
        <v>31</v>
      </c>
      <c r="B2785">
        <v>87</v>
      </c>
      <c r="C2785" t="s">
        <v>71</v>
      </c>
      <c r="D2785" t="s">
        <v>74</v>
      </c>
      <c r="E2785" t="s">
        <v>74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74</v>
      </c>
    </row>
    <row r="2786" spans="1:20" x14ac:dyDescent="0.3">
      <c r="A2786" t="s">
        <v>28</v>
      </c>
      <c r="B2786">
        <v>139</v>
      </c>
      <c r="C2786" t="s">
        <v>71</v>
      </c>
      <c r="D2786" t="s">
        <v>74</v>
      </c>
      <c r="E2786" t="s">
        <v>75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74</v>
      </c>
    </row>
    <row r="2787" spans="1:20" x14ac:dyDescent="0.3">
      <c r="A2787" t="s">
        <v>62</v>
      </c>
      <c r="B2787">
        <v>76</v>
      </c>
      <c r="C2787" t="s">
        <v>73</v>
      </c>
      <c r="D2787" t="s">
        <v>74</v>
      </c>
      <c r="E2787" t="s">
        <v>74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75</v>
      </c>
    </row>
    <row r="2788" spans="1:20" x14ac:dyDescent="0.3">
      <c r="A2788" t="s">
        <v>42</v>
      </c>
      <c r="B2788">
        <v>100</v>
      </c>
      <c r="C2788" t="s">
        <v>73</v>
      </c>
      <c r="D2788" t="s">
        <v>74</v>
      </c>
      <c r="E2788" t="s">
        <v>74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74</v>
      </c>
    </row>
    <row r="2789" spans="1:20" x14ac:dyDescent="0.3">
      <c r="A2789" t="s">
        <v>63</v>
      </c>
      <c r="B2789">
        <v>99</v>
      </c>
      <c r="C2789" t="s">
        <v>71</v>
      </c>
      <c r="D2789" t="s">
        <v>74</v>
      </c>
      <c r="E2789" t="s">
        <v>75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74</v>
      </c>
    </row>
    <row r="2790" spans="1:20" x14ac:dyDescent="0.3">
      <c r="A2790" t="s">
        <v>48</v>
      </c>
      <c r="B2790">
        <v>48</v>
      </c>
      <c r="C2790" t="s">
        <v>71</v>
      </c>
      <c r="D2790" t="s">
        <v>74</v>
      </c>
      <c r="E2790" t="s">
        <v>75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74</v>
      </c>
    </row>
    <row r="2791" spans="1:20" x14ac:dyDescent="0.3">
      <c r="A2791" t="s">
        <v>20</v>
      </c>
      <c r="B2791">
        <v>57</v>
      </c>
      <c r="C2791" t="s">
        <v>71</v>
      </c>
      <c r="D2791" t="s">
        <v>74</v>
      </c>
      <c r="E2791" t="s">
        <v>74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74</v>
      </c>
    </row>
    <row r="2792" spans="1:20" x14ac:dyDescent="0.3">
      <c r="A2792" t="s">
        <v>20</v>
      </c>
      <c r="B2792">
        <v>170</v>
      </c>
      <c r="C2792" t="s">
        <v>71</v>
      </c>
      <c r="D2792" t="s">
        <v>74</v>
      </c>
      <c r="E2792" t="s">
        <v>75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75</v>
      </c>
    </row>
    <row r="2793" spans="1:20" x14ac:dyDescent="0.3">
      <c r="A2793" t="s">
        <v>43</v>
      </c>
      <c r="B2793">
        <v>78</v>
      </c>
      <c r="C2793" t="s">
        <v>71</v>
      </c>
      <c r="D2793" t="s">
        <v>74</v>
      </c>
      <c r="E2793" t="s">
        <v>74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74</v>
      </c>
    </row>
    <row r="2794" spans="1:20" x14ac:dyDescent="0.3">
      <c r="A2794" t="s">
        <v>60</v>
      </c>
      <c r="B2794">
        <v>127</v>
      </c>
      <c r="C2794" t="s">
        <v>72</v>
      </c>
      <c r="D2794" t="s">
        <v>74</v>
      </c>
      <c r="E2794" t="s">
        <v>74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74</v>
      </c>
    </row>
    <row r="2795" spans="1:20" x14ac:dyDescent="0.3">
      <c r="A2795" t="s">
        <v>40</v>
      </c>
      <c r="B2795">
        <v>119</v>
      </c>
      <c r="C2795" t="s">
        <v>72</v>
      </c>
      <c r="D2795" t="s">
        <v>75</v>
      </c>
      <c r="E2795" t="s">
        <v>75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75</v>
      </c>
    </row>
    <row r="2796" spans="1:20" x14ac:dyDescent="0.3">
      <c r="A2796" t="s">
        <v>55</v>
      </c>
      <c r="B2796">
        <v>95</v>
      </c>
      <c r="C2796" t="s">
        <v>73</v>
      </c>
      <c r="D2796" t="s">
        <v>74</v>
      </c>
      <c r="E2796" t="s">
        <v>74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74</v>
      </c>
    </row>
    <row r="2797" spans="1:20" x14ac:dyDescent="0.3">
      <c r="A2797" t="s">
        <v>69</v>
      </c>
      <c r="B2797">
        <v>110</v>
      </c>
      <c r="C2797" t="s">
        <v>71</v>
      </c>
      <c r="D2797" t="s">
        <v>74</v>
      </c>
      <c r="E2797" t="s">
        <v>74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74</v>
      </c>
    </row>
    <row r="2798" spans="1:20" x14ac:dyDescent="0.3">
      <c r="A2798" t="s">
        <v>54</v>
      </c>
      <c r="B2798">
        <v>74</v>
      </c>
      <c r="C2798" t="s">
        <v>72</v>
      </c>
      <c r="D2798" t="s">
        <v>74</v>
      </c>
      <c r="E2798" t="s">
        <v>74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74</v>
      </c>
    </row>
    <row r="2799" spans="1:20" x14ac:dyDescent="0.3">
      <c r="A2799" t="s">
        <v>59</v>
      </c>
      <c r="B2799">
        <v>148</v>
      </c>
      <c r="C2799" t="s">
        <v>73</v>
      </c>
      <c r="D2799" t="s">
        <v>74</v>
      </c>
      <c r="E2799" t="s">
        <v>75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74</v>
      </c>
    </row>
    <row r="2800" spans="1:20" x14ac:dyDescent="0.3">
      <c r="A2800" t="s">
        <v>49</v>
      </c>
      <c r="B2800">
        <v>83</v>
      </c>
      <c r="C2800" t="s">
        <v>72</v>
      </c>
      <c r="D2800" t="s">
        <v>74</v>
      </c>
      <c r="E2800" t="s">
        <v>74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74</v>
      </c>
    </row>
    <row r="2801" spans="1:20" x14ac:dyDescent="0.3">
      <c r="A2801" t="s">
        <v>66</v>
      </c>
      <c r="B2801">
        <v>73</v>
      </c>
      <c r="C2801" t="s">
        <v>73</v>
      </c>
      <c r="D2801" t="s">
        <v>74</v>
      </c>
      <c r="E2801" t="s">
        <v>74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74</v>
      </c>
    </row>
    <row r="2802" spans="1:20" x14ac:dyDescent="0.3">
      <c r="A2802" t="s">
        <v>43</v>
      </c>
      <c r="B2802">
        <v>111</v>
      </c>
      <c r="C2802" t="s">
        <v>71</v>
      </c>
      <c r="D2802" t="s">
        <v>74</v>
      </c>
      <c r="E2802" t="s">
        <v>75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74</v>
      </c>
    </row>
    <row r="2803" spans="1:20" x14ac:dyDescent="0.3">
      <c r="A2803" t="s">
        <v>60</v>
      </c>
      <c r="B2803">
        <v>84</v>
      </c>
      <c r="C2803" t="s">
        <v>71</v>
      </c>
      <c r="D2803" t="s">
        <v>74</v>
      </c>
      <c r="E2803" t="s">
        <v>74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75</v>
      </c>
    </row>
    <row r="2804" spans="1:20" x14ac:dyDescent="0.3">
      <c r="A2804" t="s">
        <v>26</v>
      </c>
      <c r="B2804">
        <v>75</v>
      </c>
      <c r="C2804" t="s">
        <v>72</v>
      </c>
      <c r="D2804" t="s">
        <v>75</v>
      </c>
      <c r="E2804" t="s">
        <v>74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74</v>
      </c>
    </row>
    <row r="2805" spans="1:20" x14ac:dyDescent="0.3">
      <c r="A2805" t="s">
        <v>31</v>
      </c>
      <c r="B2805">
        <v>114</v>
      </c>
      <c r="C2805" t="s">
        <v>71</v>
      </c>
      <c r="D2805" t="s">
        <v>74</v>
      </c>
      <c r="E2805" t="s">
        <v>75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74</v>
      </c>
    </row>
    <row r="2806" spans="1:20" x14ac:dyDescent="0.3">
      <c r="A2806" t="s">
        <v>25</v>
      </c>
      <c r="B2806">
        <v>71</v>
      </c>
      <c r="C2806" t="s">
        <v>72</v>
      </c>
      <c r="D2806" t="s">
        <v>75</v>
      </c>
      <c r="E2806" t="s">
        <v>74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75</v>
      </c>
    </row>
    <row r="2807" spans="1:20" x14ac:dyDescent="0.3">
      <c r="A2807" t="s">
        <v>51</v>
      </c>
      <c r="B2807">
        <v>58</v>
      </c>
      <c r="C2807" t="s">
        <v>71</v>
      </c>
      <c r="D2807" t="s">
        <v>74</v>
      </c>
      <c r="E2807" t="s">
        <v>75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74</v>
      </c>
    </row>
    <row r="2808" spans="1:20" x14ac:dyDescent="0.3">
      <c r="A2808" t="s">
        <v>21</v>
      </c>
      <c r="B2808">
        <v>106</v>
      </c>
      <c r="C2808" t="s">
        <v>73</v>
      </c>
      <c r="D2808" t="s">
        <v>74</v>
      </c>
      <c r="E2808" t="s">
        <v>75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74</v>
      </c>
    </row>
    <row r="2809" spans="1:20" x14ac:dyDescent="0.3">
      <c r="A2809" t="s">
        <v>44</v>
      </c>
      <c r="B2809">
        <v>172</v>
      </c>
      <c r="C2809" t="s">
        <v>73</v>
      </c>
      <c r="D2809" t="s">
        <v>74</v>
      </c>
      <c r="E2809" t="s">
        <v>74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74</v>
      </c>
    </row>
    <row r="2810" spans="1:20" x14ac:dyDescent="0.3">
      <c r="A2810" t="s">
        <v>22</v>
      </c>
      <c r="B2810">
        <v>45</v>
      </c>
      <c r="C2810" t="s">
        <v>71</v>
      </c>
      <c r="D2810" t="s">
        <v>74</v>
      </c>
      <c r="E2810" t="s">
        <v>74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74</v>
      </c>
    </row>
    <row r="2811" spans="1:20" x14ac:dyDescent="0.3">
      <c r="A2811" t="s">
        <v>23</v>
      </c>
      <c r="B2811">
        <v>100</v>
      </c>
      <c r="C2811" t="s">
        <v>73</v>
      </c>
      <c r="D2811" t="s">
        <v>75</v>
      </c>
      <c r="E2811" t="s">
        <v>74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74</v>
      </c>
    </row>
    <row r="2812" spans="1:20" x14ac:dyDescent="0.3">
      <c r="A2812" t="s">
        <v>38</v>
      </c>
      <c r="B2812">
        <v>94</v>
      </c>
      <c r="C2812" t="s">
        <v>71</v>
      </c>
      <c r="D2812" t="s">
        <v>74</v>
      </c>
      <c r="E2812" t="s">
        <v>74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74</v>
      </c>
    </row>
    <row r="2813" spans="1:20" x14ac:dyDescent="0.3">
      <c r="A2813" t="s">
        <v>26</v>
      </c>
      <c r="B2813">
        <v>128</v>
      </c>
      <c r="C2813" t="s">
        <v>71</v>
      </c>
      <c r="D2813" t="s">
        <v>74</v>
      </c>
      <c r="E2813" t="s">
        <v>74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74</v>
      </c>
    </row>
    <row r="2814" spans="1:20" x14ac:dyDescent="0.3">
      <c r="A2814" t="s">
        <v>43</v>
      </c>
      <c r="B2814">
        <v>181</v>
      </c>
      <c r="C2814" t="s">
        <v>73</v>
      </c>
      <c r="D2814" t="s">
        <v>74</v>
      </c>
      <c r="E2814" t="s">
        <v>74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74</v>
      </c>
    </row>
    <row r="2815" spans="1:20" x14ac:dyDescent="0.3">
      <c r="A2815" t="s">
        <v>29</v>
      </c>
      <c r="B2815">
        <v>127</v>
      </c>
      <c r="C2815" t="s">
        <v>73</v>
      </c>
      <c r="D2815" t="s">
        <v>74</v>
      </c>
      <c r="E2815" t="s">
        <v>74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74</v>
      </c>
    </row>
    <row r="2816" spans="1:20" x14ac:dyDescent="0.3">
      <c r="A2816" t="s">
        <v>37</v>
      </c>
      <c r="B2816">
        <v>89</v>
      </c>
      <c r="C2816" t="s">
        <v>71</v>
      </c>
      <c r="D2816" t="s">
        <v>74</v>
      </c>
      <c r="E2816" t="s">
        <v>74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74</v>
      </c>
    </row>
    <row r="2817" spans="1:20" x14ac:dyDescent="0.3">
      <c r="A2817" t="s">
        <v>59</v>
      </c>
      <c r="B2817">
        <v>149</v>
      </c>
      <c r="C2817" t="s">
        <v>71</v>
      </c>
      <c r="D2817" t="s">
        <v>74</v>
      </c>
      <c r="E2817" t="s">
        <v>75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74</v>
      </c>
    </row>
    <row r="2818" spans="1:20" x14ac:dyDescent="0.3">
      <c r="A2818" t="s">
        <v>53</v>
      </c>
      <c r="B2818">
        <v>103</v>
      </c>
      <c r="C2818" t="s">
        <v>72</v>
      </c>
      <c r="D2818" t="s">
        <v>74</v>
      </c>
      <c r="E2818" t="s">
        <v>75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74</v>
      </c>
    </row>
    <row r="2819" spans="1:20" x14ac:dyDescent="0.3">
      <c r="A2819" t="s">
        <v>56</v>
      </c>
      <c r="B2819">
        <v>163</v>
      </c>
      <c r="C2819" t="s">
        <v>71</v>
      </c>
      <c r="D2819" t="s">
        <v>75</v>
      </c>
      <c r="E2819" t="s">
        <v>74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74</v>
      </c>
    </row>
    <row r="2820" spans="1:20" x14ac:dyDescent="0.3">
      <c r="A2820" t="s">
        <v>27</v>
      </c>
      <c r="B2820">
        <v>122</v>
      </c>
      <c r="C2820" t="s">
        <v>72</v>
      </c>
      <c r="D2820" t="s">
        <v>75</v>
      </c>
      <c r="E2820" t="s">
        <v>74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75</v>
      </c>
    </row>
    <row r="2821" spans="1:20" x14ac:dyDescent="0.3">
      <c r="A2821" t="s">
        <v>23</v>
      </c>
      <c r="B2821">
        <v>60</v>
      </c>
      <c r="C2821" t="s">
        <v>71</v>
      </c>
      <c r="D2821" t="s">
        <v>74</v>
      </c>
      <c r="E2821" t="s">
        <v>74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74</v>
      </c>
    </row>
    <row r="2822" spans="1:20" x14ac:dyDescent="0.3">
      <c r="A2822" t="s">
        <v>49</v>
      </c>
      <c r="B2822">
        <v>62</v>
      </c>
      <c r="C2822" t="s">
        <v>73</v>
      </c>
      <c r="D2822" t="s">
        <v>74</v>
      </c>
      <c r="E2822" t="s">
        <v>74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75</v>
      </c>
    </row>
    <row r="2823" spans="1:20" x14ac:dyDescent="0.3">
      <c r="A2823" t="s">
        <v>51</v>
      </c>
      <c r="B2823">
        <v>117</v>
      </c>
      <c r="C2823" t="s">
        <v>71</v>
      </c>
      <c r="D2823" t="s">
        <v>74</v>
      </c>
      <c r="E2823" t="s">
        <v>74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75</v>
      </c>
    </row>
    <row r="2824" spans="1:20" x14ac:dyDescent="0.3">
      <c r="A2824" t="s">
        <v>65</v>
      </c>
      <c r="B2824">
        <v>159</v>
      </c>
      <c r="C2824" t="s">
        <v>71</v>
      </c>
      <c r="D2824" t="s">
        <v>74</v>
      </c>
      <c r="E2824" t="s">
        <v>74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74</v>
      </c>
    </row>
    <row r="2825" spans="1:20" x14ac:dyDescent="0.3">
      <c r="A2825" t="s">
        <v>61</v>
      </c>
      <c r="B2825">
        <v>78</v>
      </c>
      <c r="C2825" t="s">
        <v>73</v>
      </c>
      <c r="D2825" t="s">
        <v>74</v>
      </c>
      <c r="E2825" t="s">
        <v>74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74</v>
      </c>
    </row>
    <row r="2826" spans="1:20" x14ac:dyDescent="0.3">
      <c r="A2826" t="s">
        <v>61</v>
      </c>
      <c r="B2826">
        <v>96</v>
      </c>
      <c r="C2826" t="s">
        <v>71</v>
      </c>
      <c r="D2826" t="s">
        <v>74</v>
      </c>
      <c r="E2826" t="s">
        <v>74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74</v>
      </c>
    </row>
    <row r="2827" spans="1:20" x14ac:dyDescent="0.3">
      <c r="A2827" t="s">
        <v>43</v>
      </c>
      <c r="B2827">
        <v>79</v>
      </c>
      <c r="C2827" t="s">
        <v>71</v>
      </c>
      <c r="D2827" t="s">
        <v>74</v>
      </c>
      <c r="E2827" t="s">
        <v>74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74</v>
      </c>
    </row>
    <row r="2828" spans="1:20" x14ac:dyDescent="0.3">
      <c r="A2828" t="s">
        <v>48</v>
      </c>
      <c r="B2828">
        <v>192</v>
      </c>
      <c r="C2828" t="s">
        <v>71</v>
      </c>
      <c r="D2828" t="s">
        <v>74</v>
      </c>
      <c r="E2828" t="s">
        <v>75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74</v>
      </c>
    </row>
    <row r="2829" spans="1:20" x14ac:dyDescent="0.3">
      <c r="A2829" t="s">
        <v>65</v>
      </c>
      <c r="B2829">
        <v>68</v>
      </c>
      <c r="C2829" t="s">
        <v>71</v>
      </c>
      <c r="D2829" t="s">
        <v>74</v>
      </c>
      <c r="E2829" t="s">
        <v>74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74</v>
      </c>
    </row>
    <row r="2830" spans="1:20" x14ac:dyDescent="0.3">
      <c r="A2830" t="s">
        <v>55</v>
      </c>
      <c r="B2830">
        <v>28</v>
      </c>
      <c r="C2830" t="s">
        <v>72</v>
      </c>
      <c r="D2830" t="s">
        <v>74</v>
      </c>
      <c r="E2830" t="s">
        <v>74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74</v>
      </c>
    </row>
    <row r="2831" spans="1:20" x14ac:dyDescent="0.3">
      <c r="A2831" t="s">
        <v>54</v>
      </c>
      <c r="B2831">
        <v>184</v>
      </c>
      <c r="C2831" t="s">
        <v>72</v>
      </c>
      <c r="D2831" t="s">
        <v>75</v>
      </c>
      <c r="E2831" t="s">
        <v>74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74</v>
      </c>
    </row>
    <row r="2832" spans="1:20" x14ac:dyDescent="0.3">
      <c r="A2832" t="s">
        <v>69</v>
      </c>
      <c r="B2832">
        <v>74</v>
      </c>
      <c r="C2832" t="s">
        <v>71</v>
      </c>
      <c r="D2832" t="s">
        <v>74</v>
      </c>
      <c r="E2832" t="s">
        <v>75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74</v>
      </c>
    </row>
    <row r="2833" spans="1:20" x14ac:dyDescent="0.3">
      <c r="A2833" t="s">
        <v>57</v>
      </c>
      <c r="B2833">
        <v>137</v>
      </c>
      <c r="C2833" t="s">
        <v>72</v>
      </c>
      <c r="D2833" t="s">
        <v>74</v>
      </c>
      <c r="E2833" t="s">
        <v>74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74</v>
      </c>
    </row>
    <row r="2834" spans="1:20" x14ac:dyDescent="0.3">
      <c r="A2834" t="s">
        <v>61</v>
      </c>
      <c r="B2834">
        <v>103</v>
      </c>
      <c r="C2834" t="s">
        <v>73</v>
      </c>
      <c r="D2834" t="s">
        <v>74</v>
      </c>
      <c r="E2834" t="s">
        <v>75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74</v>
      </c>
    </row>
    <row r="2835" spans="1:20" x14ac:dyDescent="0.3">
      <c r="A2835" t="s">
        <v>52</v>
      </c>
      <c r="B2835">
        <v>99</v>
      </c>
      <c r="C2835" t="s">
        <v>71</v>
      </c>
      <c r="D2835" t="s">
        <v>74</v>
      </c>
      <c r="E2835" t="s">
        <v>74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74</v>
      </c>
    </row>
    <row r="2836" spans="1:20" x14ac:dyDescent="0.3">
      <c r="A2836" t="s">
        <v>43</v>
      </c>
      <c r="B2836">
        <v>108</v>
      </c>
      <c r="C2836" t="s">
        <v>71</v>
      </c>
      <c r="D2836" t="s">
        <v>74</v>
      </c>
      <c r="E2836" t="s">
        <v>74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74</v>
      </c>
    </row>
    <row r="2837" spans="1:20" x14ac:dyDescent="0.3">
      <c r="A2837" t="s">
        <v>22</v>
      </c>
      <c r="B2837">
        <v>117</v>
      </c>
      <c r="C2837" t="s">
        <v>71</v>
      </c>
      <c r="D2837" t="s">
        <v>74</v>
      </c>
      <c r="E2837" t="s">
        <v>74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74</v>
      </c>
    </row>
    <row r="2838" spans="1:20" x14ac:dyDescent="0.3">
      <c r="A2838" t="s">
        <v>64</v>
      </c>
      <c r="B2838">
        <v>63</v>
      </c>
      <c r="C2838" t="s">
        <v>71</v>
      </c>
      <c r="D2838" t="s">
        <v>74</v>
      </c>
      <c r="E2838" t="s">
        <v>75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74</v>
      </c>
    </row>
    <row r="2839" spans="1:20" x14ac:dyDescent="0.3">
      <c r="A2839" t="s">
        <v>37</v>
      </c>
      <c r="B2839">
        <v>138</v>
      </c>
      <c r="C2839" t="s">
        <v>72</v>
      </c>
      <c r="D2839" t="s">
        <v>74</v>
      </c>
      <c r="E2839" t="s">
        <v>74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74</v>
      </c>
    </row>
    <row r="2840" spans="1:20" x14ac:dyDescent="0.3">
      <c r="A2840" t="s">
        <v>34</v>
      </c>
      <c r="B2840">
        <v>128</v>
      </c>
      <c r="C2840" t="s">
        <v>71</v>
      </c>
      <c r="D2840" t="s">
        <v>74</v>
      </c>
      <c r="E2840" t="s">
        <v>75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74</v>
      </c>
    </row>
    <row r="2841" spans="1:20" x14ac:dyDescent="0.3">
      <c r="A2841" t="s">
        <v>34</v>
      </c>
      <c r="B2841">
        <v>140</v>
      </c>
      <c r="C2841" t="s">
        <v>71</v>
      </c>
      <c r="D2841" t="s">
        <v>74</v>
      </c>
      <c r="E2841" t="s">
        <v>74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74</v>
      </c>
    </row>
    <row r="2842" spans="1:20" x14ac:dyDescent="0.3">
      <c r="A2842" t="s">
        <v>59</v>
      </c>
      <c r="B2842">
        <v>102</v>
      </c>
      <c r="C2842" t="s">
        <v>71</v>
      </c>
      <c r="D2842" t="s">
        <v>74</v>
      </c>
      <c r="E2842" t="s">
        <v>74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74</v>
      </c>
    </row>
    <row r="2843" spans="1:20" x14ac:dyDescent="0.3">
      <c r="A2843" t="s">
        <v>32</v>
      </c>
      <c r="B2843">
        <v>96</v>
      </c>
      <c r="C2843" t="s">
        <v>73</v>
      </c>
      <c r="D2843" t="s">
        <v>74</v>
      </c>
      <c r="E2843" t="s">
        <v>74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74</v>
      </c>
    </row>
    <row r="2844" spans="1:20" x14ac:dyDescent="0.3">
      <c r="A2844" t="s">
        <v>20</v>
      </c>
      <c r="B2844">
        <v>178</v>
      </c>
      <c r="C2844" t="s">
        <v>71</v>
      </c>
      <c r="D2844" t="s">
        <v>74</v>
      </c>
      <c r="E2844" t="s">
        <v>75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74</v>
      </c>
    </row>
    <row r="2845" spans="1:20" x14ac:dyDescent="0.3">
      <c r="A2845" t="s">
        <v>32</v>
      </c>
      <c r="B2845">
        <v>75</v>
      </c>
      <c r="C2845" t="s">
        <v>71</v>
      </c>
      <c r="D2845" t="s">
        <v>74</v>
      </c>
      <c r="E2845" t="s">
        <v>74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74</v>
      </c>
    </row>
    <row r="2846" spans="1:20" x14ac:dyDescent="0.3">
      <c r="A2846" t="s">
        <v>66</v>
      </c>
      <c r="B2846">
        <v>106</v>
      </c>
      <c r="C2846" t="s">
        <v>71</v>
      </c>
      <c r="D2846" t="s">
        <v>74</v>
      </c>
      <c r="E2846" t="s">
        <v>75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74</v>
      </c>
    </row>
    <row r="2847" spans="1:20" x14ac:dyDescent="0.3">
      <c r="A2847" t="s">
        <v>67</v>
      </c>
      <c r="B2847">
        <v>158</v>
      </c>
      <c r="C2847" t="s">
        <v>72</v>
      </c>
      <c r="D2847" t="s">
        <v>74</v>
      </c>
      <c r="E2847" t="s">
        <v>74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74</v>
      </c>
    </row>
    <row r="2848" spans="1:20" x14ac:dyDescent="0.3">
      <c r="A2848" t="s">
        <v>33</v>
      </c>
      <c r="B2848">
        <v>102</v>
      </c>
      <c r="C2848" t="s">
        <v>72</v>
      </c>
      <c r="D2848" t="s">
        <v>74</v>
      </c>
      <c r="E2848" t="s">
        <v>74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74</v>
      </c>
    </row>
    <row r="2849" spans="1:20" x14ac:dyDescent="0.3">
      <c r="A2849" t="s">
        <v>69</v>
      </c>
      <c r="B2849">
        <v>92</v>
      </c>
      <c r="C2849" t="s">
        <v>72</v>
      </c>
      <c r="D2849" t="s">
        <v>74</v>
      </c>
      <c r="E2849" t="s">
        <v>75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74</v>
      </c>
    </row>
    <row r="2850" spans="1:20" x14ac:dyDescent="0.3">
      <c r="A2850" t="s">
        <v>61</v>
      </c>
      <c r="B2850">
        <v>69</v>
      </c>
      <c r="C2850" t="s">
        <v>71</v>
      </c>
      <c r="D2850" t="s">
        <v>74</v>
      </c>
      <c r="E2850" t="s">
        <v>74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74</v>
      </c>
    </row>
    <row r="2851" spans="1:20" x14ac:dyDescent="0.3">
      <c r="A2851" t="s">
        <v>58</v>
      </c>
      <c r="B2851">
        <v>117</v>
      </c>
      <c r="C2851" t="s">
        <v>71</v>
      </c>
      <c r="D2851" t="s">
        <v>74</v>
      </c>
      <c r="E2851" t="s">
        <v>75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74</v>
      </c>
    </row>
    <row r="2852" spans="1:20" x14ac:dyDescent="0.3">
      <c r="A2852" t="s">
        <v>24</v>
      </c>
      <c r="B2852">
        <v>76</v>
      </c>
      <c r="C2852" t="s">
        <v>71</v>
      </c>
      <c r="D2852" t="s">
        <v>74</v>
      </c>
      <c r="E2852" t="s">
        <v>75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74</v>
      </c>
    </row>
    <row r="2853" spans="1:20" x14ac:dyDescent="0.3">
      <c r="A2853" t="s">
        <v>29</v>
      </c>
      <c r="B2853">
        <v>72</v>
      </c>
      <c r="C2853" t="s">
        <v>71</v>
      </c>
      <c r="D2853" t="s">
        <v>75</v>
      </c>
      <c r="E2853" t="s">
        <v>74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74</v>
      </c>
    </row>
    <row r="2854" spans="1:20" x14ac:dyDescent="0.3">
      <c r="A2854" t="s">
        <v>30</v>
      </c>
      <c r="B2854">
        <v>115</v>
      </c>
      <c r="C2854" t="s">
        <v>71</v>
      </c>
      <c r="D2854" t="s">
        <v>75</v>
      </c>
      <c r="E2854" t="s">
        <v>75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74</v>
      </c>
    </row>
    <row r="2855" spans="1:20" x14ac:dyDescent="0.3">
      <c r="A2855" t="s">
        <v>49</v>
      </c>
      <c r="B2855">
        <v>68</v>
      </c>
      <c r="C2855" t="s">
        <v>73</v>
      </c>
      <c r="D2855" t="s">
        <v>74</v>
      </c>
      <c r="E2855" t="s">
        <v>74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74</v>
      </c>
    </row>
    <row r="2856" spans="1:20" x14ac:dyDescent="0.3">
      <c r="A2856" t="s">
        <v>48</v>
      </c>
      <c r="B2856">
        <v>97</v>
      </c>
      <c r="C2856" t="s">
        <v>71</v>
      </c>
      <c r="D2856" t="s">
        <v>74</v>
      </c>
      <c r="E2856" t="s">
        <v>74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74</v>
      </c>
    </row>
    <row r="2857" spans="1:20" x14ac:dyDescent="0.3">
      <c r="A2857" t="s">
        <v>22</v>
      </c>
      <c r="B2857">
        <v>92</v>
      </c>
      <c r="C2857" t="s">
        <v>71</v>
      </c>
      <c r="D2857" t="s">
        <v>74</v>
      </c>
      <c r="E2857" t="s">
        <v>74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74</v>
      </c>
    </row>
    <row r="2858" spans="1:20" x14ac:dyDescent="0.3">
      <c r="A2858" t="s">
        <v>20</v>
      </c>
      <c r="B2858">
        <v>90</v>
      </c>
      <c r="C2858" t="s">
        <v>71</v>
      </c>
      <c r="D2858" t="s">
        <v>74</v>
      </c>
      <c r="E2858" t="s">
        <v>75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74</v>
      </c>
    </row>
    <row r="2859" spans="1:20" x14ac:dyDescent="0.3">
      <c r="A2859" t="s">
        <v>53</v>
      </c>
      <c r="B2859">
        <v>72</v>
      </c>
      <c r="C2859" t="s">
        <v>72</v>
      </c>
      <c r="D2859" t="s">
        <v>74</v>
      </c>
      <c r="E2859" t="s">
        <v>74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74</v>
      </c>
    </row>
    <row r="2860" spans="1:20" x14ac:dyDescent="0.3">
      <c r="A2860" t="s">
        <v>60</v>
      </c>
      <c r="B2860">
        <v>73</v>
      </c>
      <c r="C2860" t="s">
        <v>71</v>
      </c>
      <c r="D2860" t="s">
        <v>74</v>
      </c>
      <c r="E2860" t="s">
        <v>74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75</v>
      </c>
    </row>
    <row r="2861" spans="1:20" x14ac:dyDescent="0.3">
      <c r="A2861" t="s">
        <v>61</v>
      </c>
      <c r="B2861">
        <v>54</v>
      </c>
      <c r="C2861" t="s">
        <v>71</v>
      </c>
      <c r="D2861" t="s">
        <v>74</v>
      </c>
      <c r="E2861" t="s">
        <v>74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74</v>
      </c>
    </row>
    <row r="2862" spans="1:20" x14ac:dyDescent="0.3">
      <c r="A2862" t="s">
        <v>24</v>
      </c>
      <c r="B2862">
        <v>161</v>
      </c>
      <c r="C2862" t="s">
        <v>71</v>
      </c>
      <c r="D2862" t="s">
        <v>74</v>
      </c>
      <c r="E2862" t="s">
        <v>74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74</v>
      </c>
    </row>
    <row r="2863" spans="1:20" x14ac:dyDescent="0.3">
      <c r="A2863" t="s">
        <v>60</v>
      </c>
      <c r="B2863">
        <v>125</v>
      </c>
      <c r="C2863" t="s">
        <v>72</v>
      </c>
      <c r="D2863" t="s">
        <v>75</v>
      </c>
      <c r="E2863" t="s">
        <v>74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75</v>
      </c>
    </row>
    <row r="2864" spans="1:20" x14ac:dyDescent="0.3">
      <c r="A2864" t="s">
        <v>58</v>
      </c>
      <c r="B2864">
        <v>194</v>
      </c>
      <c r="C2864" t="s">
        <v>71</v>
      </c>
      <c r="D2864" t="s">
        <v>74</v>
      </c>
      <c r="E2864" t="s">
        <v>74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75</v>
      </c>
    </row>
    <row r="2865" spans="1:20" x14ac:dyDescent="0.3">
      <c r="A2865" t="s">
        <v>57</v>
      </c>
      <c r="B2865">
        <v>69</v>
      </c>
      <c r="C2865" t="s">
        <v>72</v>
      </c>
      <c r="D2865" t="s">
        <v>74</v>
      </c>
      <c r="E2865" t="s">
        <v>75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74</v>
      </c>
    </row>
    <row r="2866" spans="1:20" x14ac:dyDescent="0.3">
      <c r="A2866" t="s">
        <v>31</v>
      </c>
      <c r="B2866">
        <v>141</v>
      </c>
      <c r="C2866" t="s">
        <v>71</v>
      </c>
      <c r="D2866" t="s">
        <v>74</v>
      </c>
      <c r="E2866" t="s">
        <v>75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74</v>
      </c>
    </row>
    <row r="2867" spans="1:20" x14ac:dyDescent="0.3">
      <c r="A2867" t="s">
        <v>56</v>
      </c>
      <c r="B2867">
        <v>98</v>
      </c>
      <c r="C2867" t="s">
        <v>71</v>
      </c>
      <c r="D2867" t="s">
        <v>74</v>
      </c>
      <c r="E2867" t="s">
        <v>74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75</v>
      </c>
    </row>
    <row r="2868" spans="1:20" x14ac:dyDescent="0.3">
      <c r="A2868" t="s">
        <v>61</v>
      </c>
      <c r="B2868">
        <v>110</v>
      </c>
      <c r="C2868" t="s">
        <v>72</v>
      </c>
      <c r="D2868" t="s">
        <v>74</v>
      </c>
      <c r="E2868" t="s">
        <v>74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74</v>
      </c>
    </row>
    <row r="2869" spans="1:20" x14ac:dyDescent="0.3">
      <c r="A2869" t="s">
        <v>59</v>
      </c>
      <c r="B2869">
        <v>70</v>
      </c>
      <c r="C2869" t="s">
        <v>71</v>
      </c>
      <c r="D2869" t="s">
        <v>74</v>
      </c>
      <c r="E2869" t="s">
        <v>74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74</v>
      </c>
    </row>
    <row r="2870" spans="1:20" x14ac:dyDescent="0.3">
      <c r="A2870" t="s">
        <v>52</v>
      </c>
      <c r="B2870">
        <v>72</v>
      </c>
      <c r="C2870" t="s">
        <v>71</v>
      </c>
      <c r="D2870" t="s">
        <v>74</v>
      </c>
      <c r="E2870" t="s">
        <v>74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74</v>
      </c>
    </row>
    <row r="2871" spans="1:20" x14ac:dyDescent="0.3">
      <c r="A2871" t="s">
        <v>65</v>
      </c>
      <c r="B2871">
        <v>66</v>
      </c>
      <c r="C2871" t="s">
        <v>71</v>
      </c>
      <c r="D2871" t="s">
        <v>74</v>
      </c>
      <c r="E2871" t="s">
        <v>74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74</v>
      </c>
    </row>
    <row r="2872" spans="1:20" x14ac:dyDescent="0.3">
      <c r="A2872" t="s">
        <v>32</v>
      </c>
      <c r="B2872">
        <v>79</v>
      </c>
      <c r="C2872" t="s">
        <v>72</v>
      </c>
      <c r="D2872" t="s">
        <v>74</v>
      </c>
      <c r="E2872" t="s">
        <v>74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74</v>
      </c>
    </row>
    <row r="2873" spans="1:20" x14ac:dyDescent="0.3">
      <c r="A2873" t="s">
        <v>40</v>
      </c>
      <c r="B2873">
        <v>61</v>
      </c>
      <c r="C2873" t="s">
        <v>73</v>
      </c>
      <c r="D2873" t="s">
        <v>74</v>
      </c>
      <c r="E2873" t="s">
        <v>74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75</v>
      </c>
    </row>
    <row r="2874" spans="1:20" x14ac:dyDescent="0.3">
      <c r="A2874" t="s">
        <v>33</v>
      </c>
      <c r="B2874">
        <v>97</v>
      </c>
      <c r="C2874" t="s">
        <v>72</v>
      </c>
      <c r="D2874" t="s">
        <v>75</v>
      </c>
      <c r="E2874" t="s">
        <v>74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74</v>
      </c>
    </row>
    <row r="2875" spans="1:20" x14ac:dyDescent="0.3">
      <c r="A2875" t="s">
        <v>67</v>
      </c>
      <c r="B2875">
        <v>63</v>
      </c>
      <c r="C2875" t="s">
        <v>71</v>
      </c>
      <c r="D2875" t="s">
        <v>74</v>
      </c>
      <c r="E2875" t="s">
        <v>74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74</v>
      </c>
    </row>
    <row r="2876" spans="1:20" x14ac:dyDescent="0.3">
      <c r="A2876" t="s">
        <v>23</v>
      </c>
      <c r="B2876">
        <v>105</v>
      </c>
      <c r="C2876" t="s">
        <v>72</v>
      </c>
      <c r="D2876" t="s">
        <v>74</v>
      </c>
      <c r="E2876" t="s">
        <v>74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74</v>
      </c>
    </row>
    <row r="2877" spans="1:20" x14ac:dyDescent="0.3">
      <c r="A2877" t="s">
        <v>58</v>
      </c>
      <c r="B2877">
        <v>159</v>
      </c>
      <c r="C2877" t="s">
        <v>73</v>
      </c>
      <c r="D2877" t="s">
        <v>74</v>
      </c>
      <c r="E2877" t="s">
        <v>74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74</v>
      </c>
    </row>
    <row r="2878" spans="1:20" x14ac:dyDescent="0.3">
      <c r="A2878" t="s">
        <v>52</v>
      </c>
      <c r="B2878">
        <v>83</v>
      </c>
      <c r="C2878" t="s">
        <v>72</v>
      </c>
      <c r="D2878" t="s">
        <v>74</v>
      </c>
      <c r="E2878" t="s">
        <v>74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74</v>
      </c>
    </row>
    <row r="2879" spans="1:20" x14ac:dyDescent="0.3">
      <c r="A2879" t="s">
        <v>56</v>
      </c>
      <c r="B2879">
        <v>93</v>
      </c>
      <c r="C2879" t="s">
        <v>72</v>
      </c>
      <c r="D2879" t="s">
        <v>74</v>
      </c>
      <c r="E2879" t="s">
        <v>74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74</v>
      </c>
    </row>
    <row r="2880" spans="1:20" x14ac:dyDescent="0.3">
      <c r="A2880" t="s">
        <v>42</v>
      </c>
      <c r="B2880">
        <v>98</v>
      </c>
      <c r="C2880" t="s">
        <v>71</v>
      </c>
      <c r="D2880" t="s">
        <v>74</v>
      </c>
      <c r="E2880" t="s">
        <v>74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74</v>
      </c>
    </row>
    <row r="2881" spans="1:20" x14ac:dyDescent="0.3">
      <c r="A2881" t="s">
        <v>28</v>
      </c>
      <c r="B2881">
        <v>163</v>
      </c>
      <c r="C2881" t="s">
        <v>71</v>
      </c>
      <c r="D2881" t="s">
        <v>74</v>
      </c>
      <c r="E2881" t="s">
        <v>74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74</v>
      </c>
    </row>
    <row r="2882" spans="1:20" x14ac:dyDescent="0.3">
      <c r="A2882" t="s">
        <v>36</v>
      </c>
      <c r="B2882">
        <v>169</v>
      </c>
      <c r="C2882" t="s">
        <v>73</v>
      </c>
      <c r="D2882" t="s">
        <v>74</v>
      </c>
      <c r="E2882" t="s">
        <v>75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74</v>
      </c>
    </row>
    <row r="2883" spans="1:20" x14ac:dyDescent="0.3">
      <c r="A2883" t="s">
        <v>68</v>
      </c>
      <c r="B2883">
        <v>111</v>
      </c>
      <c r="C2883" t="s">
        <v>71</v>
      </c>
      <c r="D2883" t="s">
        <v>74</v>
      </c>
      <c r="E2883" t="s">
        <v>74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75</v>
      </c>
    </row>
    <row r="2884" spans="1:20" x14ac:dyDescent="0.3">
      <c r="A2884" t="s">
        <v>69</v>
      </c>
      <c r="B2884">
        <v>163</v>
      </c>
      <c r="C2884" t="s">
        <v>72</v>
      </c>
      <c r="D2884" t="s">
        <v>74</v>
      </c>
      <c r="E2884" t="s">
        <v>74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74</v>
      </c>
    </row>
    <row r="2885" spans="1:20" x14ac:dyDescent="0.3">
      <c r="A2885" t="s">
        <v>26</v>
      </c>
      <c r="B2885">
        <v>85</v>
      </c>
      <c r="C2885" t="s">
        <v>73</v>
      </c>
      <c r="D2885" t="s">
        <v>74</v>
      </c>
      <c r="E2885" t="s">
        <v>74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74</v>
      </c>
    </row>
    <row r="2886" spans="1:20" x14ac:dyDescent="0.3">
      <c r="A2886" t="s">
        <v>39</v>
      </c>
      <c r="B2886">
        <v>190</v>
      </c>
      <c r="C2886" t="s">
        <v>71</v>
      </c>
      <c r="D2886" t="s">
        <v>74</v>
      </c>
      <c r="E2886" t="s">
        <v>74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74</v>
      </c>
    </row>
    <row r="2887" spans="1:20" x14ac:dyDescent="0.3">
      <c r="A2887" t="s">
        <v>39</v>
      </c>
      <c r="B2887">
        <v>39</v>
      </c>
      <c r="C2887" t="s">
        <v>72</v>
      </c>
      <c r="D2887" t="s">
        <v>74</v>
      </c>
      <c r="E2887" t="s">
        <v>74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74</v>
      </c>
    </row>
    <row r="2888" spans="1:20" x14ac:dyDescent="0.3">
      <c r="A2888" t="s">
        <v>43</v>
      </c>
      <c r="B2888">
        <v>84</v>
      </c>
      <c r="C2888" t="s">
        <v>71</v>
      </c>
      <c r="D2888" t="s">
        <v>74</v>
      </c>
      <c r="E2888" t="s">
        <v>74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74</v>
      </c>
    </row>
    <row r="2889" spans="1:20" x14ac:dyDescent="0.3">
      <c r="A2889" t="s">
        <v>29</v>
      </c>
      <c r="B2889">
        <v>71</v>
      </c>
      <c r="C2889" t="s">
        <v>71</v>
      </c>
      <c r="D2889" t="s">
        <v>74</v>
      </c>
      <c r="E2889" t="s">
        <v>74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74</v>
      </c>
    </row>
    <row r="2890" spans="1:20" x14ac:dyDescent="0.3">
      <c r="A2890" t="s">
        <v>30</v>
      </c>
      <c r="B2890">
        <v>114</v>
      </c>
      <c r="C2890" t="s">
        <v>71</v>
      </c>
      <c r="D2890" t="s">
        <v>74</v>
      </c>
      <c r="E2890" t="s">
        <v>74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74</v>
      </c>
    </row>
    <row r="2891" spans="1:20" x14ac:dyDescent="0.3">
      <c r="A2891" t="s">
        <v>24</v>
      </c>
      <c r="B2891">
        <v>135</v>
      </c>
      <c r="C2891" t="s">
        <v>71</v>
      </c>
      <c r="D2891" t="s">
        <v>74</v>
      </c>
      <c r="E2891" t="s">
        <v>74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74</v>
      </c>
    </row>
    <row r="2892" spans="1:20" x14ac:dyDescent="0.3">
      <c r="A2892" t="s">
        <v>33</v>
      </c>
      <c r="B2892">
        <v>93</v>
      </c>
      <c r="C2892" t="s">
        <v>71</v>
      </c>
      <c r="D2892" t="s">
        <v>74</v>
      </c>
      <c r="E2892" t="s">
        <v>74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74</v>
      </c>
    </row>
    <row r="2893" spans="1:20" x14ac:dyDescent="0.3">
      <c r="A2893" t="s">
        <v>50</v>
      </c>
      <c r="B2893">
        <v>82</v>
      </c>
      <c r="C2893" t="s">
        <v>71</v>
      </c>
      <c r="D2893" t="s">
        <v>74</v>
      </c>
      <c r="E2893" t="s">
        <v>74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74</v>
      </c>
    </row>
    <row r="2894" spans="1:20" x14ac:dyDescent="0.3">
      <c r="A2894" t="s">
        <v>65</v>
      </c>
      <c r="B2894">
        <v>64</v>
      </c>
      <c r="C2894" t="s">
        <v>71</v>
      </c>
      <c r="D2894" t="s">
        <v>74</v>
      </c>
      <c r="E2894" t="s">
        <v>74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75</v>
      </c>
    </row>
    <row r="2895" spans="1:20" x14ac:dyDescent="0.3">
      <c r="A2895" t="s">
        <v>48</v>
      </c>
      <c r="B2895">
        <v>76</v>
      </c>
      <c r="C2895" t="s">
        <v>73</v>
      </c>
      <c r="D2895" t="s">
        <v>74</v>
      </c>
      <c r="E2895" t="s">
        <v>75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74</v>
      </c>
    </row>
    <row r="2896" spans="1:20" x14ac:dyDescent="0.3">
      <c r="A2896" t="s">
        <v>20</v>
      </c>
      <c r="B2896">
        <v>112</v>
      </c>
      <c r="C2896" t="s">
        <v>71</v>
      </c>
      <c r="D2896" t="s">
        <v>74</v>
      </c>
      <c r="E2896" t="s">
        <v>74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74</v>
      </c>
    </row>
    <row r="2897" spans="1:20" x14ac:dyDescent="0.3">
      <c r="A2897" t="s">
        <v>56</v>
      </c>
      <c r="B2897">
        <v>137</v>
      </c>
      <c r="C2897" t="s">
        <v>71</v>
      </c>
      <c r="D2897" t="s">
        <v>74</v>
      </c>
      <c r="E2897" t="s">
        <v>74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75</v>
      </c>
    </row>
    <row r="2898" spans="1:20" x14ac:dyDescent="0.3">
      <c r="A2898" t="s">
        <v>29</v>
      </c>
      <c r="B2898">
        <v>140</v>
      </c>
      <c r="C2898" t="s">
        <v>72</v>
      </c>
      <c r="D2898" t="s">
        <v>74</v>
      </c>
      <c r="E2898" t="s">
        <v>74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74</v>
      </c>
    </row>
    <row r="2899" spans="1:20" x14ac:dyDescent="0.3">
      <c r="A2899" t="s">
        <v>34</v>
      </c>
      <c r="B2899">
        <v>106</v>
      </c>
      <c r="C2899" t="s">
        <v>71</v>
      </c>
      <c r="D2899" t="s">
        <v>74</v>
      </c>
      <c r="E2899" t="s">
        <v>74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74</v>
      </c>
    </row>
    <row r="2900" spans="1:20" x14ac:dyDescent="0.3">
      <c r="A2900" t="s">
        <v>56</v>
      </c>
      <c r="B2900">
        <v>166</v>
      </c>
      <c r="C2900" t="s">
        <v>72</v>
      </c>
      <c r="D2900" t="s">
        <v>74</v>
      </c>
      <c r="E2900" t="s">
        <v>75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74</v>
      </c>
    </row>
    <row r="2901" spans="1:20" x14ac:dyDescent="0.3">
      <c r="A2901" t="s">
        <v>69</v>
      </c>
      <c r="B2901">
        <v>137</v>
      </c>
      <c r="C2901" t="s">
        <v>73</v>
      </c>
      <c r="D2901" t="s">
        <v>74</v>
      </c>
      <c r="E2901" t="s">
        <v>74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74</v>
      </c>
    </row>
    <row r="2902" spans="1:20" x14ac:dyDescent="0.3">
      <c r="A2902" t="s">
        <v>69</v>
      </c>
      <c r="B2902">
        <v>161</v>
      </c>
      <c r="C2902" t="s">
        <v>71</v>
      </c>
      <c r="D2902" t="s">
        <v>74</v>
      </c>
      <c r="E2902" t="s">
        <v>74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74</v>
      </c>
    </row>
    <row r="2903" spans="1:20" x14ac:dyDescent="0.3">
      <c r="A2903" t="s">
        <v>45</v>
      </c>
      <c r="B2903">
        <v>120</v>
      </c>
      <c r="C2903" t="s">
        <v>71</v>
      </c>
      <c r="D2903" t="s">
        <v>74</v>
      </c>
      <c r="E2903" t="s">
        <v>74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75</v>
      </c>
    </row>
    <row r="2904" spans="1:20" x14ac:dyDescent="0.3">
      <c r="A2904" t="s">
        <v>69</v>
      </c>
      <c r="B2904">
        <v>187</v>
      </c>
      <c r="C2904" t="s">
        <v>72</v>
      </c>
      <c r="D2904" t="s">
        <v>74</v>
      </c>
      <c r="E2904" t="s">
        <v>75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74</v>
      </c>
    </row>
    <row r="2905" spans="1:20" x14ac:dyDescent="0.3">
      <c r="A2905" t="s">
        <v>58</v>
      </c>
      <c r="B2905">
        <v>102</v>
      </c>
      <c r="C2905" t="s">
        <v>71</v>
      </c>
      <c r="D2905" t="s">
        <v>74</v>
      </c>
      <c r="E2905" t="s">
        <v>75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74</v>
      </c>
    </row>
    <row r="2906" spans="1:20" x14ac:dyDescent="0.3">
      <c r="A2906" t="s">
        <v>22</v>
      </c>
      <c r="B2906">
        <v>82</v>
      </c>
      <c r="C2906" t="s">
        <v>73</v>
      </c>
      <c r="D2906" t="s">
        <v>74</v>
      </c>
      <c r="E2906" t="s">
        <v>74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74</v>
      </c>
    </row>
    <row r="2907" spans="1:20" x14ac:dyDescent="0.3">
      <c r="A2907" t="s">
        <v>40</v>
      </c>
      <c r="B2907">
        <v>100</v>
      </c>
      <c r="C2907" t="s">
        <v>72</v>
      </c>
      <c r="D2907" t="s">
        <v>74</v>
      </c>
      <c r="E2907" t="s">
        <v>75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74</v>
      </c>
    </row>
    <row r="2908" spans="1:20" x14ac:dyDescent="0.3">
      <c r="A2908" t="s">
        <v>62</v>
      </c>
      <c r="B2908">
        <v>45</v>
      </c>
      <c r="C2908" t="s">
        <v>73</v>
      </c>
      <c r="D2908" t="s">
        <v>74</v>
      </c>
      <c r="E2908" t="s">
        <v>74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74</v>
      </c>
    </row>
    <row r="2909" spans="1:20" x14ac:dyDescent="0.3">
      <c r="A2909" t="s">
        <v>69</v>
      </c>
      <c r="B2909">
        <v>114</v>
      </c>
      <c r="C2909" t="s">
        <v>71</v>
      </c>
      <c r="D2909" t="s">
        <v>74</v>
      </c>
      <c r="E2909" t="s">
        <v>74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74</v>
      </c>
    </row>
    <row r="2910" spans="1:20" x14ac:dyDescent="0.3">
      <c r="A2910" t="s">
        <v>65</v>
      </c>
      <c r="B2910">
        <v>43</v>
      </c>
      <c r="C2910" t="s">
        <v>73</v>
      </c>
      <c r="D2910" t="s">
        <v>75</v>
      </c>
      <c r="E2910" t="s">
        <v>74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75</v>
      </c>
    </row>
    <row r="2911" spans="1:20" x14ac:dyDescent="0.3">
      <c r="A2911" t="s">
        <v>25</v>
      </c>
      <c r="B2911">
        <v>103</v>
      </c>
      <c r="C2911" t="s">
        <v>73</v>
      </c>
      <c r="D2911" t="s">
        <v>74</v>
      </c>
      <c r="E2911" t="s">
        <v>74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74</v>
      </c>
    </row>
    <row r="2912" spans="1:20" x14ac:dyDescent="0.3">
      <c r="A2912" t="s">
        <v>45</v>
      </c>
      <c r="B2912">
        <v>57</v>
      </c>
      <c r="C2912" t="s">
        <v>72</v>
      </c>
      <c r="D2912" t="s">
        <v>74</v>
      </c>
      <c r="E2912" t="s">
        <v>74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74</v>
      </c>
    </row>
    <row r="2913" spans="1:20" x14ac:dyDescent="0.3">
      <c r="A2913" t="s">
        <v>66</v>
      </c>
      <c r="B2913">
        <v>52</v>
      </c>
      <c r="C2913" t="s">
        <v>73</v>
      </c>
      <c r="D2913" t="s">
        <v>74</v>
      </c>
      <c r="E2913" t="s">
        <v>75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74</v>
      </c>
    </row>
    <row r="2914" spans="1:20" x14ac:dyDescent="0.3">
      <c r="A2914" t="s">
        <v>22</v>
      </c>
      <c r="B2914">
        <v>74</v>
      </c>
      <c r="C2914" t="s">
        <v>73</v>
      </c>
      <c r="D2914" t="s">
        <v>74</v>
      </c>
      <c r="E2914" t="s">
        <v>74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74</v>
      </c>
    </row>
    <row r="2915" spans="1:20" x14ac:dyDescent="0.3">
      <c r="A2915" t="s">
        <v>21</v>
      </c>
      <c r="B2915">
        <v>74</v>
      </c>
      <c r="C2915" t="s">
        <v>73</v>
      </c>
      <c r="D2915" t="s">
        <v>74</v>
      </c>
      <c r="E2915" t="s">
        <v>75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74</v>
      </c>
    </row>
    <row r="2916" spans="1:20" x14ac:dyDescent="0.3">
      <c r="A2916" t="s">
        <v>67</v>
      </c>
      <c r="B2916">
        <v>40</v>
      </c>
      <c r="C2916" t="s">
        <v>71</v>
      </c>
      <c r="D2916" t="s">
        <v>75</v>
      </c>
      <c r="E2916" t="s">
        <v>75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74</v>
      </c>
    </row>
    <row r="2917" spans="1:20" x14ac:dyDescent="0.3">
      <c r="A2917" t="s">
        <v>47</v>
      </c>
      <c r="B2917">
        <v>83</v>
      </c>
      <c r="C2917" t="s">
        <v>71</v>
      </c>
      <c r="D2917" t="s">
        <v>74</v>
      </c>
      <c r="E2917" t="s">
        <v>74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74</v>
      </c>
    </row>
    <row r="2918" spans="1:20" x14ac:dyDescent="0.3">
      <c r="A2918" t="s">
        <v>55</v>
      </c>
      <c r="B2918">
        <v>102</v>
      </c>
      <c r="C2918" t="s">
        <v>72</v>
      </c>
      <c r="D2918" t="s">
        <v>74</v>
      </c>
      <c r="E2918" t="s">
        <v>74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74</v>
      </c>
    </row>
    <row r="2919" spans="1:20" x14ac:dyDescent="0.3">
      <c r="A2919" t="s">
        <v>63</v>
      </c>
      <c r="B2919">
        <v>79</v>
      </c>
      <c r="C2919" t="s">
        <v>73</v>
      </c>
      <c r="D2919" t="s">
        <v>74</v>
      </c>
      <c r="E2919" t="s">
        <v>75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74</v>
      </c>
    </row>
    <row r="2920" spans="1:20" x14ac:dyDescent="0.3">
      <c r="A2920" t="s">
        <v>69</v>
      </c>
      <c r="B2920">
        <v>110</v>
      </c>
      <c r="C2920" t="s">
        <v>72</v>
      </c>
      <c r="D2920" t="s">
        <v>74</v>
      </c>
      <c r="E2920" t="s">
        <v>74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75</v>
      </c>
    </row>
    <row r="2921" spans="1:20" x14ac:dyDescent="0.3">
      <c r="A2921" t="s">
        <v>21</v>
      </c>
      <c r="B2921">
        <v>69</v>
      </c>
      <c r="C2921" t="s">
        <v>73</v>
      </c>
      <c r="D2921" t="s">
        <v>74</v>
      </c>
      <c r="E2921" t="s">
        <v>75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74</v>
      </c>
    </row>
    <row r="2922" spans="1:20" x14ac:dyDescent="0.3">
      <c r="A2922" t="s">
        <v>51</v>
      </c>
      <c r="B2922">
        <v>56</v>
      </c>
      <c r="C2922" t="s">
        <v>72</v>
      </c>
      <c r="D2922" t="s">
        <v>74</v>
      </c>
      <c r="E2922" t="s">
        <v>74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74</v>
      </c>
    </row>
    <row r="2923" spans="1:20" x14ac:dyDescent="0.3">
      <c r="A2923" t="s">
        <v>42</v>
      </c>
      <c r="B2923">
        <v>133</v>
      </c>
      <c r="C2923" t="s">
        <v>72</v>
      </c>
      <c r="D2923" t="s">
        <v>74</v>
      </c>
      <c r="E2923" t="s">
        <v>74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75</v>
      </c>
    </row>
    <row r="2924" spans="1:20" x14ac:dyDescent="0.3">
      <c r="A2924" t="s">
        <v>50</v>
      </c>
      <c r="B2924">
        <v>131</v>
      </c>
      <c r="C2924" t="s">
        <v>71</v>
      </c>
      <c r="D2924" t="s">
        <v>74</v>
      </c>
      <c r="E2924" t="s">
        <v>74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74</v>
      </c>
    </row>
    <row r="2925" spans="1:20" x14ac:dyDescent="0.3">
      <c r="A2925" t="s">
        <v>54</v>
      </c>
      <c r="B2925">
        <v>60</v>
      </c>
      <c r="C2925" t="s">
        <v>71</v>
      </c>
      <c r="D2925" t="s">
        <v>74</v>
      </c>
      <c r="E2925" t="s">
        <v>75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74</v>
      </c>
    </row>
    <row r="2926" spans="1:20" x14ac:dyDescent="0.3">
      <c r="A2926" t="s">
        <v>47</v>
      </c>
      <c r="B2926">
        <v>92</v>
      </c>
      <c r="C2926" t="s">
        <v>72</v>
      </c>
      <c r="D2926" t="s">
        <v>74</v>
      </c>
      <c r="E2926" t="s">
        <v>74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74</v>
      </c>
    </row>
    <row r="2927" spans="1:20" x14ac:dyDescent="0.3">
      <c r="A2927" t="s">
        <v>40</v>
      </c>
      <c r="B2927">
        <v>52</v>
      </c>
      <c r="C2927" t="s">
        <v>72</v>
      </c>
      <c r="D2927" t="s">
        <v>74</v>
      </c>
      <c r="E2927" t="s">
        <v>74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74</v>
      </c>
    </row>
    <row r="2928" spans="1:20" x14ac:dyDescent="0.3">
      <c r="A2928" t="s">
        <v>66</v>
      </c>
      <c r="B2928">
        <v>135</v>
      </c>
      <c r="C2928" t="s">
        <v>72</v>
      </c>
      <c r="D2928" t="s">
        <v>74</v>
      </c>
      <c r="E2928" t="s">
        <v>75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74</v>
      </c>
    </row>
    <row r="2929" spans="1:20" x14ac:dyDescent="0.3">
      <c r="A2929" t="s">
        <v>27</v>
      </c>
      <c r="B2929">
        <v>107</v>
      </c>
      <c r="C2929" t="s">
        <v>73</v>
      </c>
      <c r="D2929" t="s">
        <v>74</v>
      </c>
      <c r="E2929" t="s">
        <v>74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74</v>
      </c>
    </row>
    <row r="2930" spans="1:20" x14ac:dyDescent="0.3">
      <c r="A2930" t="s">
        <v>47</v>
      </c>
      <c r="B2930">
        <v>110</v>
      </c>
      <c r="C2930" t="s">
        <v>72</v>
      </c>
      <c r="D2930" t="s">
        <v>74</v>
      </c>
      <c r="E2930" t="s">
        <v>74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74</v>
      </c>
    </row>
    <row r="2931" spans="1:20" x14ac:dyDescent="0.3">
      <c r="A2931" t="s">
        <v>45</v>
      </c>
      <c r="B2931">
        <v>109</v>
      </c>
      <c r="C2931" t="s">
        <v>71</v>
      </c>
      <c r="D2931" t="s">
        <v>75</v>
      </c>
      <c r="E2931" t="s">
        <v>75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75</v>
      </c>
    </row>
    <row r="2932" spans="1:20" x14ac:dyDescent="0.3">
      <c r="A2932" t="s">
        <v>38</v>
      </c>
      <c r="B2932">
        <v>90</v>
      </c>
      <c r="C2932" t="s">
        <v>71</v>
      </c>
      <c r="D2932" t="s">
        <v>74</v>
      </c>
      <c r="E2932" t="s">
        <v>74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74</v>
      </c>
    </row>
    <row r="2933" spans="1:20" x14ac:dyDescent="0.3">
      <c r="A2933" t="s">
        <v>24</v>
      </c>
      <c r="B2933">
        <v>115</v>
      </c>
      <c r="C2933" t="s">
        <v>71</v>
      </c>
      <c r="D2933" t="s">
        <v>74</v>
      </c>
      <c r="E2933" t="s">
        <v>74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74</v>
      </c>
    </row>
    <row r="2934" spans="1:20" x14ac:dyDescent="0.3">
      <c r="A2934" t="s">
        <v>59</v>
      </c>
      <c r="B2934">
        <v>73</v>
      </c>
      <c r="C2934" t="s">
        <v>73</v>
      </c>
      <c r="D2934" t="s">
        <v>74</v>
      </c>
      <c r="E2934" t="s">
        <v>74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75</v>
      </c>
    </row>
    <row r="2935" spans="1:20" x14ac:dyDescent="0.3">
      <c r="A2935" t="s">
        <v>28</v>
      </c>
      <c r="B2935">
        <v>127</v>
      </c>
      <c r="C2935" t="s">
        <v>72</v>
      </c>
      <c r="D2935" t="s">
        <v>74</v>
      </c>
      <c r="E2935" t="s">
        <v>74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74</v>
      </c>
    </row>
    <row r="2936" spans="1:20" x14ac:dyDescent="0.3">
      <c r="A2936" t="s">
        <v>45</v>
      </c>
      <c r="B2936">
        <v>79</v>
      </c>
      <c r="C2936" t="s">
        <v>71</v>
      </c>
      <c r="D2936" t="s">
        <v>74</v>
      </c>
      <c r="E2936" t="s">
        <v>74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74</v>
      </c>
    </row>
    <row r="2937" spans="1:20" x14ac:dyDescent="0.3">
      <c r="A2937" t="s">
        <v>54</v>
      </c>
      <c r="B2937">
        <v>133</v>
      </c>
      <c r="C2937" t="s">
        <v>73</v>
      </c>
      <c r="D2937" t="s">
        <v>74</v>
      </c>
      <c r="E2937" t="s">
        <v>74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74</v>
      </c>
    </row>
    <row r="2938" spans="1:20" x14ac:dyDescent="0.3">
      <c r="A2938" t="s">
        <v>70</v>
      </c>
      <c r="B2938">
        <v>47</v>
      </c>
      <c r="C2938" t="s">
        <v>71</v>
      </c>
      <c r="D2938" t="s">
        <v>74</v>
      </c>
      <c r="E2938" t="s">
        <v>75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74</v>
      </c>
    </row>
    <row r="2939" spans="1:20" x14ac:dyDescent="0.3">
      <c r="A2939" t="s">
        <v>33</v>
      </c>
      <c r="B2939">
        <v>53</v>
      </c>
      <c r="C2939" t="s">
        <v>72</v>
      </c>
      <c r="D2939" t="s">
        <v>74</v>
      </c>
      <c r="E2939" t="s">
        <v>75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74</v>
      </c>
    </row>
    <row r="2940" spans="1:20" x14ac:dyDescent="0.3">
      <c r="A2940" t="s">
        <v>46</v>
      </c>
      <c r="B2940">
        <v>148</v>
      </c>
      <c r="C2940" t="s">
        <v>72</v>
      </c>
      <c r="D2940" t="s">
        <v>74</v>
      </c>
      <c r="E2940" t="s">
        <v>74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74</v>
      </c>
    </row>
    <row r="2941" spans="1:20" x14ac:dyDescent="0.3">
      <c r="A2941" t="s">
        <v>36</v>
      </c>
      <c r="B2941">
        <v>72</v>
      </c>
      <c r="C2941" t="s">
        <v>71</v>
      </c>
      <c r="D2941" t="s">
        <v>74</v>
      </c>
      <c r="E2941" t="s">
        <v>74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74</v>
      </c>
    </row>
    <row r="2942" spans="1:20" x14ac:dyDescent="0.3">
      <c r="A2942" t="s">
        <v>26</v>
      </c>
      <c r="B2942">
        <v>96</v>
      </c>
      <c r="C2942" t="s">
        <v>72</v>
      </c>
      <c r="D2942" t="s">
        <v>74</v>
      </c>
      <c r="E2942" t="s">
        <v>74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75</v>
      </c>
    </row>
    <row r="2943" spans="1:20" x14ac:dyDescent="0.3">
      <c r="A2943" t="s">
        <v>25</v>
      </c>
      <c r="B2943">
        <v>55</v>
      </c>
      <c r="C2943" t="s">
        <v>71</v>
      </c>
      <c r="D2943" t="s">
        <v>74</v>
      </c>
      <c r="E2943" t="s">
        <v>74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74</v>
      </c>
    </row>
    <row r="2944" spans="1:20" x14ac:dyDescent="0.3">
      <c r="A2944" t="s">
        <v>40</v>
      </c>
      <c r="B2944">
        <v>143</v>
      </c>
      <c r="C2944" t="s">
        <v>71</v>
      </c>
      <c r="D2944" t="s">
        <v>74</v>
      </c>
      <c r="E2944" t="s">
        <v>74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74</v>
      </c>
    </row>
    <row r="2945" spans="1:20" x14ac:dyDescent="0.3">
      <c r="A2945" t="s">
        <v>51</v>
      </c>
      <c r="B2945">
        <v>60</v>
      </c>
      <c r="C2945" t="s">
        <v>71</v>
      </c>
      <c r="D2945" t="s">
        <v>74</v>
      </c>
      <c r="E2945" t="s">
        <v>74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74</v>
      </c>
    </row>
    <row r="2946" spans="1:20" x14ac:dyDescent="0.3">
      <c r="A2946" t="s">
        <v>33</v>
      </c>
      <c r="B2946">
        <v>90</v>
      </c>
      <c r="C2946" t="s">
        <v>71</v>
      </c>
      <c r="D2946" t="s">
        <v>74</v>
      </c>
      <c r="E2946" t="s">
        <v>75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74</v>
      </c>
    </row>
    <row r="2947" spans="1:20" x14ac:dyDescent="0.3">
      <c r="A2947" t="s">
        <v>34</v>
      </c>
      <c r="B2947">
        <v>65</v>
      </c>
      <c r="C2947" t="s">
        <v>71</v>
      </c>
      <c r="D2947" t="s">
        <v>74</v>
      </c>
      <c r="E2947" t="s">
        <v>74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74</v>
      </c>
    </row>
    <row r="2948" spans="1:20" x14ac:dyDescent="0.3">
      <c r="A2948" t="s">
        <v>22</v>
      </c>
      <c r="B2948">
        <v>93</v>
      </c>
      <c r="C2948" t="s">
        <v>73</v>
      </c>
      <c r="D2948" t="s">
        <v>74</v>
      </c>
      <c r="E2948" t="s">
        <v>74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74</v>
      </c>
    </row>
    <row r="2949" spans="1:20" x14ac:dyDescent="0.3">
      <c r="A2949" t="s">
        <v>42</v>
      </c>
      <c r="B2949">
        <v>117</v>
      </c>
      <c r="C2949" t="s">
        <v>73</v>
      </c>
      <c r="D2949" t="s">
        <v>75</v>
      </c>
      <c r="E2949" t="s">
        <v>75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74</v>
      </c>
    </row>
    <row r="2950" spans="1:20" x14ac:dyDescent="0.3">
      <c r="A2950" t="s">
        <v>21</v>
      </c>
      <c r="B2950">
        <v>96</v>
      </c>
      <c r="C2950" t="s">
        <v>71</v>
      </c>
      <c r="D2950" t="s">
        <v>74</v>
      </c>
      <c r="E2950" t="s">
        <v>75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74</v>
      </c>
    </row>
    <row r="2951" spans="1:20" x14ac:dyDescent="0.3">
      <c r="A2951" t="s">
        <v>68</v>
      </c>
      <c r="B2951">
        <v>60</v>
      </c>
      <c r="C2951" t="s">
        <v>71</v>
      </c>
      <c r="D2951" t="s">
        <v>74</v>
      </c>
      <c r="E2951" t="s">
        <v>74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74</v>
      </c>
    </row>
    <row r="2952" spans="1:20" x14ac:dyDescent="0.3">
      <c r="A2952" t="s">
        <v>22</v>
      </c>
      <c r="B2952">
        <v>157</v>
      </c>
      <c r="C2952" t="s">
        <v>72</v>
      </c>
      <c r="D2952" t="s">
        <v>74</v>
      </c>
      <c r="E2952" t="s">
        <v>74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74</v>
      </c>
    </row>
    <row r="2953" spans="1:20" x14ac:dyDescent="0.3">
      <c r="A2953" t="s">
        <v>42</v>
      </c>
      <c r="B2953">
        <v>89</v>
      </c>
      <c r="C2953" t="s">
        <v>73</v>
      </c>
      <c r="D2953" t="s">
        <v>74</v>
      </c>
      <c r="E2953" t="s">
        <v>74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75</v>
      </c>
    </row>
    <row r="2954" spans="1:20" x14ac:dyDescent="0.3">
      <c r="A2954" t="s">
        <v>47</v>
      </c>
      <c r="B2954">
        <v>91</v>
      </c>
      <c r="C2954" t="s">
        <v>71</v>
      </c>
      <c r="D2954" t="s">
        <v>74</v>
      </c>
      <c r="E2954" t="s">
        <v>74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74</v>
      </c>
    </row>
    <row r="2955" spans="1:20" x14ac:dyDescent="0.3">
      <c r="A2955" t="s">
        <v>50</v>
      </c>
      <c r="B2955">
        <v>104</v>
      </c>
      <c r="C2955" t="s">
        <v>71</v>
      </c>
      <c r="D2955" t="s">
        <v>74</v>
      </c>
      <c r="E2955" t="s">
        <v>74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74</v>
      </c>
    </row>
    <row r="2956" spans="1:20" x14ac:dyDescent="0.3">
      <c r="A2956" t="s">
        <v>43</v>
      </c>
      <c r="B2956">
        <v>40</v>
      </c>
      <c r="C2956" t="s">
        <v>71</v>
      </c>
      <c r="D2956" t="s">
        <v>74</v>
      </c>
      <c r="E2956" t="s">
        <v>74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75</v>
      </c>
    </row>
    <row r="2957" spans="1:20" x14ac:dyDescent="0.3">
      <c r="A2957" t="s">
        <v>65</v>
      </c>
      <c r="B2957">
        <v>161</v>
      </c>
      <c r="C2957" t="s">
        <v>71</v>
      </c>
      <c r="D2957" t="s">
        <v>74</v>
      </c>
      <c r="E2957" t="s">
        <v>74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75</v>
      </c>
    </row>
    <row r="2958" spans="1:20" x14ac:dyDescent="0.3">
      <c r="A2958" t="s">
        <v>70</v>
      </c>
      <c r="B2958">
        <v>131</v>
      </c>
      <c r="C2958" t="s">
        <v>73</v>
      </c>
      <c r="D2958" t="s">
        <v>74</v>
      </c>
      <c r="E2958" t="s">
        <v>75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74</v>
      </c>
    </row>
    <row r="2959" spans="1:20" x14ac:dyDescent="0.3">
      <c r="A2959" t="s">
        <v>63</v>
      </c>
      <c r="B2959">
        <v>79</v>
      </c>
      <c r="C2959" t="s">
        <v>72</v>
      </c>
      <c r="D2959" t="s">
        <v>74</v>
      </c>
      <c r="E2959" t="s">
        <v>74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74</v>
      </c>
    </row>
    <row r="2960" spans="1:20" x14ac:dyDescent="0.3">
      <c r="A2960" t="s">
        <v>67</v>
      </c>
      <c r="B2960">
        <v>161</v>
      </c>
      <c r="C2960" t="s">
        <v>73</v>
      </c>
      <c r="D2960" t="s">
        <v>74</v>
      </c>
      <c r="E2960" t="s">
        <v>74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74</v>
      </c>
    </row>
    <row r="2961" spans="1:20" x14ac:dyDescent="0.3">
      <c r="A2961" t="s">
        <v>53</v>
      </c>
      <c r="B2961">
        <v>108</v>
      </c>
      <c r="C2961" t="s">
        <v>71</v>
      </c>
      <c r="D2961" t="s">
        <v>74</v>
      </c>
      <c r="E2961" t="s">
        <v>75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74</v>
      </c>
    </row>
    <row r="2962" spans="1:20" x14ac:dyDescent="0.3">
      <c r="A2962" t="s">
        <v>65</v>
      </c>
      <c r="B2962">
        <v>69</v>
      </c>
      <c r="C2962" t="s">
        <v>71</v>
      </c>
      <c r="D2962" t="s">
        <v>75</v>
      </c>
      <c r="E2962" t="s">
        <v>74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75</v>
      </c>
    </row>
    <row r="2963" spans="1:20" x14ac:dyDescent="0.3">
      <c r="A2963" t="s">
        <v>66</v>
      </c>
      <c r="B2963">
        <v>80</v>
      </c>
      <c r="C2963" t="s">
        <v>73</v>
      </c>
      <c r="D2963" t="s">
        <v>74</v>
      </c>
      <c r="E2963" t="s">
        <v>74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74</v>
      </c>
    </row>
    <row r="2964" spans="1:20" x14ac:dyDescent="0.3">
      <c r="A2964" t="s">
        <v>59</v>
      </c>
      <c r="B2964">
        <v>146</v>
      </c>
      <c r="C2964" t="s">
        <v>71</v>
      </c>
      <c r="D2964" t="s">
        <v>74</v>
      </c>
      <c r="E2964" t="s">
        <v>74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74</v>
      </c>
    </row>
    <row r="2965" spans="1:20" x14ac:dyDescent="0.3">
      <c r="A2965" t="s">
        <v>30</v>
      </c>
      <c r="B2965">
        <v>113</v>
      </c>
      <c r="C2965" t="s">
        <v>73</v>
      </c>
      <c r="D2965" t="s">
        <v>74</v>
      </c>
      <c r="E2965" t="s">
        <v>74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74</v>
      </c>
    </row>
    <row r="2966" spans="1:20" x14ac:dyDescent="0.3">
      <c r="A2966" t="s">
        <v>59</v>
      </c>
      <c r="B2966">
        <v>29</v>
      </c>
      <c r="C2966" t="s">
        <v>71</v>
      </c>
      <c r="D2966" t="s">
        <v>74</v>
      </c>
      <c r="E2966" t="s">
        <v>75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74</v>
      </c>
    </row>
    <row r="2967" spans="1:20" x14ac:dyDescent="0.3">
      <c r="A2967" t="s">
        <v>70</v>
      </c>
      <c r="B2967">
        <v>78</v>
      </c>
      <c r="C2967" t="s">
        <v>71</v>
      </c>
      <c r="D2967" t="s">
        <v>74</v>
      </c>
      <c r="E2967" t="s">
        <v>74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74</v>
      </c>
    </row>
    <row r="2968" spans="1:20" x14ac:dyDescent="0.3">
      <c r="A2968" t="s">
        <v>27</v>
      </c>
      <c r="B2968">
        <v>120</v>
      </c>
      <c r="C2968" t="s">
        <v>72</v>
      </c>
      <c r="D2968" t="s">
        <v>74</v>
      </c>
      <c r="E2968" t="s">
        <v>74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74</v>
      </c>
    </row>
    <row r="2969" spans="1:20" x14ac:dyDescent="0.3">
      <c r="A2969" t="s">
        <v>51</v>
      </c>
      <c r="B2969">
        <v>185</v>
      </c>
      <c r="C2969" t="s">
        <v>71</v>
      </c>
      <c r="D2969" t="s">
        <v>74</v>
      </c>
      <c r="E2969" t="s">
        <v>74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74</v>
      </c>
    </row>
    <row r="2970" spans="1:20" x14ac:dyDescent="0.3">
      <c r="A2970" t="s">
        <v>50</v>
      </c>
      <c r="B2970">
        <v>130</v>
      </c>
      <c r="C2970" t="s">
        <v>71</v>
      </c>
      <c r="D2970" t="s">
        <v>74</v>
      </c>
      <c r="E2970" t="s">
        <v>74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74</v>
      </c>
    </row>
    <row r="2971" spans="1:20" x14ac:dyDescent="0.3">
      <c r="A2971" t="s">
        <v>63</v>
      </c>
      <c r="B2971">
        <v>59</v>
      </c>
      <c r="C2971" t="s">
        <v>71</v>
      </c>
      <c r="D2971" t="s">
        <v>74</v>
      </c>
      <c r="E2971" t="s">
        <v>75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74</v>
      </c>
    </row>
    <row r="2972" spans="1:20" x14ac:dyDescent="0.3">
      <c r="A2972" t="s">
        <v>29</v>
      </c>
      <c r="B2972">
        <v>139</v>
      </c>
      <c r="C2972" t="s">
        <v>73</v>
      </c>
      <c r="D2972" t="s">
        <v>74</v>
      </c>
      <c r="E2972" t="s">
        <v>74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74</v>
      </c>
    </row>
    <row r="2973" spans="1:20" x14ac:dyDescent="0.3">
      <c r="A2973" t="s">
        <v>45</v>
      </c>
      <c r="B2973">
        <v>12</v>
      </c>
      <c r="C2973" t="s">
        <v>71</v>
      </c>
      <c r="D2973" t="s">
        <v>74</v>
      </c>
      <c r="E2973" t="s">
        <v>74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74</v>
      </c>
    </row>
    <row r="2974" spans="1:20" x14ac:dyDescent="0.3">
      <c r="A2974" t="s">
        <v>32</v>
      </c>
      <c r="B2974">
        <v>42</v>
      </c>
      <c r="C2974" t="s">
        <v>73</v>
      </c>
      <c r="D2974" t="s">
        <v>74</v>
      </c>
      <c r="E2974" t="s">
        <v>75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74</v>
      </c>
    </row>
    <row r="2975" spans="1:20" x14ac:dyDescent="0.3">
      <c r="A2975" t="s">
        <v>30</v>
      </c>
      <c r="B2975">
        <v>63</v>
      </c>
      <c r="C2975" t="s">
        <v>71</v>
      </c>
      <c r="D2975" t="s">
        <v>74</v>
      </c>
      <c r="E2975" t="s">
        <v>74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74</v>
      </c>
    </row>
    <row r="2976" spans="1:20" x14ac:dyDescent="0.3">
      <c r="A2976" t="s">
        <v>38</v>
      </c>
      <c r="B2976">
        <v>143</v>
      </c>
      <c r="C2976" t="s">
        <v>71</v>
      </c>
      <c r="D2976" t="s">
        <v>74</v>
      </c>
      <c r="E2976" t="s">
        <v>74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74</v>
      </c>
    </row>
    <row r="2977" spans="1:20" x14ac:dyDescent="0.3">
      <c r="A2977" t="s">
        <v>62</v>
      </c>
      <c r="B2977">
        <v>156</v>
      </c>
      <c r="C2977" t="s">
        <v>72</v>
      </c>
      <c r="D2977" t="s">
        <v>74</v>
      </c>
      <c r="E2977" t="s">
        <v>74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74</v>
      </c>
    </row>
    <row r="2978" spans="1:20" x14ac:dyDescent="0.3">
      <c r="A2978" t="s">
        <v>34</v>
      </c>
      <c r="B2978">
        <v>98</v>
      </c>
      <c r="C2978" t="s">
        <v>73</v>
      </c>
      <c r="D2978" t="s">
        <v>74</v>
      </c>
      <c r="E2978" t="s">
        <v>74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74</v>
      </c>
    </row>
    <row r="2979" spans="1:20" x14ac:dyDescent="0.3">
      <c r="A2979" t="s">
        <v>26</v>
      </c>
      <c r="B2979">
        <v>140</v>
      </c>
      <c r="C2979" t="s">
        <v>71</v>
      </c>
      <c r="D2979" t="s">
        <v>74</v>
      </c>
      <c r="E2979" t="s">
        <v>75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74</v>
      </c>
    </row>
    <row r="2980" spans="1:20" x14ac:dyDescent="0.3">
      <c r="A2980" t="s">
        <v>42</v>
      </c>
      <c r="B2980">
        <v>102</v>
      </c>
      <c r="C2980" t="s">
        <v>72</v>
      </c>
      <c r="D2980" t="s">
        <v>74</v>
      </c>
      <c r="E2980" t="s">
        <v>75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74</v>
      </c>
    </row>
    <row r="2981" spans="1:20" x14ac:dyDescent="0.3">
      <c r="A2981" t="s">
        <v>50</v>
      </c>
      <c r="B2981">
        <v>71</v>
      </c>
      <c r="C2981" t="s">
        <v>71</v>
      </c>
      <c r="D2981" t="s">
        <v>74</v>
      </c>
      <c r="E2981" t="s">
        <v>75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74</v>
      </c>
    </row>
    <row r="2982" spans="1:20" x14ac:dyDescent="0.3">
      <c r="A2982" t="s">
        <v>34</v>
      </c>
      <c r="B2982">
        <v>104</v>
      </c>
      <c r="C2982" t="s">
        <v>71</v>
      </c>
      <c r="D2982" t="s">
        <v>74</v>
      </c>
      <c r="E2982" t="s">
        <v>74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75</v>
      </c>
    </row>
    <row r="2983" spans="1:20" x14ac:dyDescent="0.3">
      <c r="A2983" t="s">
        <v>69</v>
      </c>
      <c r="B2983">
        <v>96</v>
      </c>
      <c r="C2983" t="s">
        <v>71</v>
      </c>
      <c r="D2983" t="s">
        <v>74</v>
      </c>
      <c r="E2983" t="s">
        <v>74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74</v>
      </c>
    </row>
    <row r="2984" spans="1:20" x14ac:dyDescent="0.3">
      <c r="A2984" t="s">
        <v>47</v>
      </c>
      <c r="B2984">
        <v>90</v>
      </c>
      <c r="C2984" t="s">
        <v>73</v>
      </c>
      <c r="D2984" t="s">
        <v>74</v>
      </c>
      <c r="E2984" t="s">
        <v>74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74</v>
      </c>
    </row>
    <row r="2985" spans="1:20" x14ac:dyDescent="0.3">
      <c r="A2985" t="s">
        <v>54</v>
      </c>
      <c r="B2985">
        <v>106</v>
      </c>
      <c r="C2985" t="s">
        <v>72</v>
      </c>
      <c r="D2985" t="s">
        <v>74</v>
      </c>
      <c r="E2985" t="s">
        <v>75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74</v>
      </c>
    </row>
    <row r="2986" spans="1:20" x14ac:dyDescent="0.3">
      <c r="A2986" t="s">
        <v>45</v>
      </c>
      <c r="B2986">
        <v>148</v>
      </c>
      <c r="C2986" t="s">
        <v>72</v>
      </c>
      <c r="D2986" t="s">
        <v>74</v>
      </c>
      <c r="E2986" t="s">
        <v>74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74</v>
      </c>
    </row>
    <row r="2987" spans="1:20" x14ac:dyDescent="0.3">
      <c r="A2987" t="s">
        <v>42</v>
      </c>
      <c r="B2987">
        <v>95</v>
      </c>
      <c r="C2987" t="s">
        <v>73</v>
      </c>
      <c r="D2987" t="s">
        <v>74</v>
      </c>
      <c r="E2987" t="s">
        <v>75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74</v>
      </c>
    </row>
    <row r="2988" spans="1:20" x14ac:dyDescent="0.3">
      <c r="A2988" t="s">
        <v>44</v>
      </c>
      <c r="B2988">
        <v>127</v>
      </c>
      <c r="C2988" t="s">
        <v>73</v>
      </c>
      <c r="D2988" t="s">
        <v>74</v>
      </c>
      <c r="E2988" t="s">
        <v>74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74</v>
      </c>
    </row>
    <row r="2989" spans="1:20" x14ac:dyDescent="0.3">
      <c r="A2989" t="s">
        <v>46</v>
      </c>
      <c r="B2989">
        <v>79</v>
      </c>
      <c r="C2989" t="s">
        <v>73</v>
      </c>
      <c r="D2989" t="s">
        <v>74</v>
      </c>
      <c r="E2989" t="s">
        <v>75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74</v>
      </c>
    </row>
    <row r="2990" spans="1:20" x14ac:dyDescent="0.3">
      <c r="A2990" t="s">
        <v>37</v>
      </c>
      <c r="B2990">
        <v>83</v>
      </c>
      <c r="C2990" t="s">
        <v>72</v>
      </c>
      <c r="D2990" t="s">
        <v>74</v>
      </c>
      <c r="E2990" t="s">
        <v>74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74</v>
      </c>
    </row>
    <row r="2991" spans="1:20" x14ac:dyDescent="0.3">
      <c r="A2991" t="s">
        <v>68</v>
      </c>
      <c r="B2991">
        <v>83</v>
      </c>
      <c r="C2991" t="s">
        <v>72</v>
      </c>
      <c r="D2991" t="s">
        <v>74</v>
      </c>
      <c r="E2991" t="s">
        <v>75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74</v>
      </c>
    </row>
    <row r="2992" spans="1:20" x14ac:dyDescent="0.3">
      <c r="A2992" t="s">
        <v>67</v>
      </c>
      <c r="B2992">
        <v>17</v>
      </c>
      <c r="C2992" t="s">
        <v>73</v>
      </c>
      <c r="D2992" t="s">
        <v>74</v>
      </c>
      <c r="E2992" t="s">
        <v>74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74</v>
      </c>
    </row>
    <row r="2993" spans="1:20" x14ac:dyDescent="0.3">
      <c r="A2993" t="s">
        <v>63</v>
      </c>
      <c r="B2993">
        <v>165</v>
      </c>
      <c r="C2993" t="s">
        <v>71</v>
      </c>
      <c r="D2993" t="s">
        <v>75</v>
      </c>
      <c r="E2993" t="s">
        <v>74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74</v>
      </c>
    </row>
    <row r="2994" spans="1:20" x14ac:dyDescent="0.3">
      <c r="A2994" t="s">
        <v>44</v>
      </c>
      <c r="B2994">
        <v>149</v>
      </c>
      <c r="C2994" t="s">
        <v>72</v>
      </c>
      <c r="D2994" t="s">
        <v>74</v>
      </c>
      <c r="E2994" t="s">
        <v>74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74</v>
      </c>
    </row>
    <row r="2995" spans="1:20" x14ac:dyDescent="0.3">
      <c r="A2995" t="s">
        <v>59</v>
      </c>
      <c r="B2995">
        <v>79</v>
      </c>
      <c r="C2995" t="s">
        <v>72</v>
      </c>
      <c r="D2995" t="s">
        <v>75</v>
      </c>
      <c r="E2995" t="s">
        <v>74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75</v>
      </c>
    </row>
    <row r="2996" spans="1:20" x14ac:dyDescent="0.3">
      <c r="A2996" t="s">
        <v>48</v>
      </c>
      <c r="B2996">
        <v>94</v>
      </c>
      <c r="C2996" t="s">
        <v>71</v>
      </c>
      <c r="D2996" t="s">
        <v>74</v>
      </c>
      <c r="E2996" t="s">
        <v>74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74</v>
      </c>
    </row>
    <row r="2997" spans="1:20" x14ac:dyDescent="0.3">
      <c r="A2997" t="s">
        <v>32</v>
      </c>
      <c r="B2997">
        <v>93</v>
      </c>
      <c r="C2997" t="s">
        <v>71</v>
      </c>
      <c r="D2997" t="s">
        <v>74</v>
      </c>
      <c r="E2997" t="s">
        <v>74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74</v>
      </c>
    </row>
    <row r="2998" spans="1:20" x14ac:dyDescent="0.3">
      <c r="A2998" t="s">
        <v>30</v>
      </c>
      <c r="B2998">
        <v>109</v>
      </c>
      <c r="C2998" t="s">
        <v>71</v>
      </c>
      <c r="D2998" t="s">
        <v>75</v>
      </c>
      <c r="E2998" t="s">
        <v>75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74</v>
      </c>
    </row>
    <row r="2999" spans="1:20" x14ac:dyDescent="0.3">
      <c r="A2999" t="s">
        <v>41</v>
      </c>
      <c r="B2999">
        <v>106</v>
      </c>
      <c r="C2999" t="s">
        <v>71</v>
      </c>
      <c r="D2999" t="s">
        <v>74</v>
      </c>
      <c r="E2999" t="s">
        <v>74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74</v>
      </c>
    </row>
    <row r="3000" spans="1:20" x14ac:dyDescent="0.3">
      <c r="A3000" t="s">
        <v>21</v>
      </c>
      <c r="B3000">
        <v>92</v>
      </c>
      <c r="C3000" t="s">
        <v>73</v>
      </c>
      <c r="D3000" t="s">
        <v>74</v>
      </c>
      <c r="E3000" t="s">
        <v>74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74</v>
      </c>
    </row>
    <row r="3001" spans="1:20" x14ac:dyDescent="0.3">
      <c r="A3001" t="s">
        <v>52</v>
      </c>
      <c r="B3001">
        <v>124</v>
      </c>
      <c r="C3001" t="s">
        <v>73</v>
      </c>
      <c r="D3001" t="s">
        <v>74</v>
      </c>
      <c r="E3001" t="s">
        <v>74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74</v>
      </c>
    </row>
    <row r="3002" spans="1:20" x14ac:dyDescent="0.3">
      <c r="A3002" t="s">
        <v>36</v>
      </c>
      <c r="B3002">
        <v>117</v>
      </c>
      <c r="C3002" t="s">
        <v>73</v>
      </c>
      <c r="D3002" t="s">
        <v>74</v>
      </c>
      <c r="E3002" t="s">
        <v>74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75</v>
      </c>
    </row>
    <row r="3003" spans="1:20" x14ac:dyDescent="0.3">
      <c r="A3003" t="s">
        <v>59</v>
      </c>
      <c r="B3003">
        <v>163</v>
      </c>
      <c r="C3003" t="s">
        <v>71</v>
      </c>
      <c r="D3003" t="s">
        <v>74</v>
      </c>
      <c r="E3003" t="s">
        <v>75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75</v>
      </c>
    </row>
    <row r="3004" spans="1:20" x14ac:dyDescent="0.3">
      <c r="A3004" t="s">
        <v>56</v>
      </c>
      <c r="B3004">
        <v>87</v>
      </c>
      <c r="C3004" t="s">
        <v>72</v>
      </c>
      <c r="D3004" t="s">
        <v>75</v>
      </c>
      <c r="E3004" t="s">
        <v>74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74</v>
      </c>
    </row>
    <row r="3005" spans="1:20" x14ac:dyDescent="0.3">
      <c r="A3005" t="s">
        <v>26</v>
      </c>
      <c r="B3005">
        <v>59</v>
      </c>
      <c r="C3005" t="s">
        <v>71</v>
      </c>
      <c r="D3005" t="s">
        <v>74</v>
      </c>
      <c r="E3005" t="s">
        <v>74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75</v>
      </c>
    </row>
    <row r="3006" spans="1:20" x14ac:dyDescent="0.3">
      <c r="A3006" t="s">
        <v>67</v>
      </c>
      <c r="B3006">
        <v>103</v>
      </c>
      <c r="C3006" t="s">
        <v>71</v>
      </c>
      <c r="D3006" t="s">
        <v>74</v>
      </c>
      <c r="E3006" t="s">
        <v>74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74</v>
      </c>
    </row>
    <row r="3007" spans="1:20" x14ac:dyDescent="0.3">
      <c r="A3007" t="s">
        <v>39</v>
      </c>
      <c r="B3007">
        <v>101</v>
      </c>
      <c r="C3007" t="s">
        <v>73</v>
      </c>
      <c r="D3007" t="s">
        <v>74</v>
      </c>
      <c r="E3007" t="s">
        <v>74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74</v>
      </c>
    </row>
    <row r="3008" spans="1:20" x14ac:dyDescent="0.3">
      <c r="A3008" t="s">
        <v>31</v>
      </c>
      <c r="B3008">
        <v>72</v>
      </c>
      <c r="C3008" t="s">
        <v>71</v>
      </c>
      <c r="D3008" t="s">
        <v>74</v>
      </c>
      <c r="E3008" t="s">
        <v>74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75</v>
      </c>
    </row>
    <row r="3009" spans="1:20" x14ac:dyDescent="0.3">
      <c r="A3009" t="s">
        <v>56</v>
      </c>
      <c r="B3009">
        <v>108</v>
      </c>
      <c r="C3009" t="s">
        <v>72</v>
      </c>
      <c r="D3009" t="s">
        <v>75</v>
      </c>
      <c r="E3009" t="s">
        <v>74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75</v>
      </c>
    </row>
    <row r="3010" spans="1:20" x14ac:dyDescent="0.3">
      <c r="A3010" t="s">
        <v>46</v>
      </c>
      <c r="B3010">
        <v>80</v>
      </c>
      <c r="C3010" t="s">
        <v>72</v>
      </c>
      <c r="D3010" t="s">
        <v>74</v>
      </c>
      <c r="E3010" t="s">
        <v>74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74</v>
      </c>
    </row>
    <row r="3011" spans="1:20" x14ac:dyDescent="0.3">
      <c r="A3011" t="s">
        <v>28</v>
      </c>
      <c r="B3011">
        <v>117</v>
      </c>
      <c r="C3011" t="s">
        <v>71</v>
      </c>
      <c r="D3011" t="s">
        <v>74</v>
      </c>
      <c r="E3011" t="s">
        <v>74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74</v>
      </c>
    </row>
    <row r="3012" spans="1:20" x14ac:dyDescent="0.3">
      <c r="A3012" t="s">
        <v>64</v>
      </c>
      <c r="B3012">
        <v>51</v>
      </c>
      <c r="C3012" t="s">
        <v>72</v>
      </c>
      <c r="D3012" t="s">
        <v>74</v>
      </c>
      <c r="E3012" t="s">
        <v>74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74</v>
      </c>
    </row>
    <row r="3013" spans="1:20" x14ac:dyDescent="0.3">
      <c r="A3013" t="s">
        <v>36</v>
      </c>
      <c r="B3013">
        <v>158</v>
      </c>
      <c r="C3013" t="s">
        <v>71</v>
      </c>
      <c r="D3013" t="s">
        <v>74</v>
      </c>
      <c r="E3013" t="s">
        <v>74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74</v>
      </c>
    </row>
    <row r="3014" spans="1:20" x14ac:dyDescent="0.3">
      <c r="A3014" t="s">
        <v>65</v>
      </c>
      <c r="B3014">
        <v>66</v>
      </c>
      <c r="C3014" t="s">
        <v>71</v>
      </c>
      <c r="D3014" t="s">
        <v>74</v>
      </c>
      <c r="E3014" t="s">
        <v>74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74</v>
      </c>
    </row>
    <row r="3015" spans="1:20" x14ac:dyDescent="0.3">
      <c r="A3015" t="s">
        <v>40</v>
      </c>
      <c r="B3015">
        <v>82</v>
      </c>
      <c r="C3015" t="s">
        <v>71</v>
      </c>
      <c r="D3015" t="s">
        <v>74</v>
      </c>
      <c r="E3015" t="s">
        <v>74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74</v>
      </c>
    </row>
    <row r="3016" spans="1:20" x14ac:dyDescent="0.3">
      <c r="A3016" t="s">
        <v>55</v>
      </c>
      <c r="B3016">
        <v>127</v>
      </c>
      <c r="C3016" t="s">
        <v>72</v>
      </c>
      <c r="D3016" t="s">
        <v>74</v>
      </c>
      <c r="E3016" t="s">
        <v>74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74</v>
      </c>
    </row>
    <row r="3017" spans="1:20" x14ac:dyDescent="0.3">
      <c r="A3017" t="s">
        <v>38</v>
      </c>
      <c r="B3017">
        <v>108</v>
      </c>
      <c r="C3017" t="s">
        <v>71</v>
      </c>
      <c r="D3017" t="s">
        <v>74</v>
      </c>
      <c r="E3017" t="s">
        <v>75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74</v>
      </c>
    </row>
    <row r="3018" spans="1:20" x14ac:dyDescent="0.3">
      <c r="A3018" t="s">
        <v>56</v>
      </c>
      <c r="B3018">
        <v>106</v>
      </c>
      <c r="C3018" t="s">
        <v>73</v>
      </c>
      <c r="D3018" t="s">
        <v>74</v>
      </c>
      <c r="E3018" t="s">
        <v>75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74</v>
      </c>
    </row>
    <row r="3019" spans="1:20" x14ac:dyDescent="0.3">
      <c r="A3019" t="s">
        <v>68</v>
      </c>
      <c r="B3019">
        <v>58</v>
      </c>
      <c r="C3019" t="s">
        <v>71</v>
      </c>
      <c r="D3019" t="s">
        <v>74</v>
      </c>
      <c r="E3019" t="s">
        <v>75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74</v>
      </c>
    </row>
    <row r="3020" spans="1:20" x14ac:dyDescent="0.3">
      <c r="A3020" t="s">
        <v>63</v>
      </c>
      <c r="B3020">
        <v>138</v>
      </c>
      <c r="C3020" t="s">
        <v>71</v>
      </c>
      <c r="D3020" t="s">
        <v>74</v>
      </c>
      <c r="E3020" t="s">
        <v>74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74</v>
      </c>
    </row>
    <row r="3021" spans="1:20" x14ac:dyDescent="0.3">
      <c r="A3021" t="s">
        <v>62</v>
      </c>
      <c r="B3021">
        <v>81</v>
      </c>
      <c r="C3021" t="s">
        <v>71</v>
      </c>
      <c r="D3021" t="s">
        <v>74</v>
      </c>
      <c r="E3021" t="s">
        <v>75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74</v>
      </c>
    </row>
    <row r="3022" spans="1:20" x14ac:dyDescent="0.3">
      <c r="A3022" t="s">
        <v>33</v>
      </c>
      <c r="B3022">
        <v>36</v>
      </c>
      <c r="C3022" t="s">
        <v>71</v>
      </c>
      <c r="D3022" t="s">
        <v>75</v>
      </c>
      <c r="E3022" t="s">
        <v>74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74</v>
      </c>
    </row>
    <row r="3023" spans="1:20" x14ac:dyDescent="0.3">
      <c r="A3023" t="s">
        <v>63</v>
      </c>
      <c r="B3023">
        <v>108</v>
      </c>
      <c r="C3023" t="s">
        <v>72</v>
      </c>
      <c r="D3023" t="s">
        <v>75</v>
      </c>
      <c r="E3023" t="s">
        <v>75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74</v>
      </c>
    </row>
    <row r="3024" spans="1:20" x14ac:dyDescent="0.3">
      <c r="A3024" t="s">
        <v>39</v>
      </c>
      <c r="B3024">
        <v>133</v>
      </c>
      <c r="C3024" t="s">
        <v>73</v>
      </c>
      <c r="D3024" t="s">
        <v>74</v>
      </c>
      <c r="E3024" t="s">
        <v>75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74</v>
      </c>
    </row>
    <row r="3025" spans="1:20" x14ac:dyDescent="0.3">
      <c r="A3025" t="s">
        <v>27</v>
      </c>
      <c r="B3025">
        <v>90</v>
      </c>
      <c r="C3025" t="s">
        <v>71</v>
      </c>
      <c r="D3025" t="s">
        <v>74</v>
      </c>
      <c r="E3025" t="s">
        <v>74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74</v>
      </c>
    </row>
    <row r="3026" spans="1:20" x14ac:dyDescent="0.3">
      <c r="A3026" t="s">
        <v>54</v>
      </c>
      <c r="B3026">
        <v>94</v>
      </c>
      <c r="C3026" t="s">
        <v>71</v>
      </c>
      <c r="D3026" t="s">
        <v>74</v>
      </c>
      <c r="E3026" t="s">
        <v>74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74</v>
      </c>
    </row>
    <row r="3027" spans="1:20" x14ac:dyDescent="0.3">
      <c r="A3027" t="s">
        <v>25</v>
      </c>
      <c r="B3027">
        <v>68</v>
      </c>
      <c r="C3027" t="s">
        <v>71</v>
      </c>
      <c r="D3027" t="s">
        <v>74</v>
      </c>
      <c r="E3027" t="s">
        <v>74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74</v>
      </c>
    </row>
    <row r="3028" spans="1:20" x14ac:dyDescent="0.3">
      <c r="A3028" t="s">
        <v>41</v>
      </c>
      <c r="B3028">
        <v>171</v>
      </c>
      <c r="C3028" t="s">
        <v>71</v>
      </c>
      <c r="D3028" t="s">
        <v>74</v>
      </c>
      <c r="E3028" t="s">
        <v>74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74</v>
      </c>
    </row>
    <row r="3029" spans="1:20" x14ac:dyDescent="0.3">
      <c r="A3029" t="s">
        <v>32</v>
      </c>
      <c r="B3029">
        <v>122</v>
      </c>
      <c r="C3029" t="s">
        <v>71</v>
      </c>
      <c r="D3029" t="s">
        <v>74</v>
      </c>
      <c r="E3029" t="s">
        <v>74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74</v>
      </c>
    </row>
    <row r="3030" spans="1:20" x14ac:dyDescent="0.3">
      <c r="A3030" t="s">
        <v>68</v>
      </c>
      <c r="B3030">
        <v>94</v>
      </c>
      <c r="C3030" t="s">
        <v>72</v>
      </c>
      <c r="D3030" t="s">
        <v>74</v>
      </c>
      <c r="E3030" t="s">
        <v>74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74</v>
      </c>
    </row>
    <row r="3031" spans="1:20" x14ac:dyDescent="0.3">
      <c r="A3031" t="s">
        <v>42</v>
      </c>
      <c r="B3031">
        <v>25</v>
      </c>
      <c r="C3031" t="s">
        <v>71</v>
      </c>
      <c r="D3031" t="s">
        <v>75</v>
      </c>
      <c r="E3031" t="s">
        <v>74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74</v>
      </c>
    </row>
    <row r="3032" spans="1:20" x14ac:dyDescent="0.3">
      <c r="A3032" t="s">
        <v>53</v>
      </c>
      <c r="B3032">
        <v>120</v>
      </c>
      <c r="C3032" t="s">
        <v>71</v>
      </c>
      <c r="D3032" t="s">
        <v>74</v>
      </c>
      <c r="E3032" t="s">
        <v>74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75</v>
      </c>
    </row>
    <row r="3033" spans="1:20" x14ac:dyDescent="0.3">
      <c r="A3033" t="s">
        <v>61</v>
      </c>
      <c r="B3033">
        <v>107</v>
      </c>
      <c r="C3033" t="s">
        <v>71</v>
      </c>
      <c r="D3033" t="s">
        <v>74</v>
      </c>
      <c r="E3033" t="s">
        <v>75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74</v>
      </c>
    </row>
    <row r="3034" spans="1:20" x14ac:dyDescent="0.3">
      <c r="A3034" t="s">
        <v>65</v>
      </c>
      <c r="B3034">
        <v>78</v>
      </c>
      <c r="C3034" t="s">
        <v>73</v>
      </c>
      <c r="D3034" t="s">
        <v>74</v>
      </c>
      <c r="E3034" t="s">
        <v>74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75</v>
      </c>
    </row>
    <row r="3035" spans="1:20" x14ac:dyDescent="0.3">
      <c r="A3035" t="s">
        <v>42</v>
      </c>
      <c r="B3035">
        <v>93</v>
      </c>
      <c r="C3035" t="s">
        <v>71</v>
      </c>
      <c r="D3035" t="s">
        <v>74</v>
      </c>
      <c r="E3035" t="s">
        <v>74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74</v>
      </c>
    </row>
    <row r="3036" spans="1:20" x14ac:dyDescent="0.3">
      <c r="A3036" t="s">
        <v>54</v>
      </c>
      <c r="B3036">
        <v>80</v>
      </c>
      <c r="C3036" t="s">
        <v>71</v>
      </c>
      <c r="D3036" t="s">
        <v>74</v>
      </c>
      <c r="E3036" t="s">
        <v>74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74</v>
      </c>
    </row>
    <row r="3037" spans="1:20" x14ac:dyDescent="0.3">
      <c r="A3037" t="s">
        <v>46</v>
      </c>
      <c r="B3037">
        <v>127</v>
      </c>
      <c r="C3037" t="s">
        <v>71</v>
      </c>
      <c r="D3037" t="s">
        <v>74</v>
      </c>
      <c r="E3037" t="s">
        <v>74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74</v>
      </c>
    </row>
    <row r="3038" spans="1:20" x14ac:dyDescent="0.3">
      <c r="A3038" t="s">
        <v>45</v>
      </c>
      <c r="B3038">
        <v>44</v>
      </c>
      <c r="C3038" t="s">
        <v>71</v>
      </c>
      <c r="D3038" t="s">
        <v>74</v>
      </c>
      <c r="E3038" t="s">
        <v>74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74</v>
      </c>
    </row>
    <row r="3039" spans="1:20" x14ac:dyDescent="0.3">
      <c r="A3039" t="s">
        <v>33</v>
      </c>
      <c r="B3039">
        <v>69</v>
      </c>
      <c r="C3039" t="s">
        <v>73</v>
      </c>
      <c r="D3039" t="s">
        <v>74</v>
      </c>
      <c r="E3039" t="s">
        <v>75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74</v>
      </c>
    </row>
    <row r="3040" spans="1:20" x14ac:dyDescent="0.3">
      <c r="A3040" t="s">
        <v>29</v>
      </c>
      <c r="B3040">
        <v>69</v>
      </c>
      <c r="C3040" t="s">
        <v>72</v>
      </c>
      <c r="D3040" t="s">
        <v>75</v>
      </c>
      <c r="E3040" t="s">
        <v>74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75</v>
      </c>
    </row>
    <row r="3041" spans="1:20" x14ac:dyDescent="0.3">
      <c r="A3041" t="s">
        <v>45</v>
      </c>
      <c r="B3041">
        <v>64</v>
      </c>
      <c r="C3041" t="s">
        <v>71</v>
      </c>
      <c r="D3041" t="s">
        <v>74</v>
      </c>
      <c r="E3041" t="s">
        <v>75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74</v>
      </c>
    </row>
    <row r="3042" spans="1:20" x14ac:dyDescent="0.3">
      <c r="A3042" t="s">
        <v>47</v>
      </c>
      <c r="B3042">
        <v>167</v>
      </c>
      <c r="C3042" t="s">
        <v>71</v>
      </c>
      <c r="D3042" t="s">
        <v>75</v>
      </c>
      <c r="E3042" t="s">
        <v>74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74</v>
      </c>
    </row>
    <row r="3043" spans="1:20" x14ac:dyDescent="0.3">
      <c r="A3043" t="s">
        <v>28</v>
      </c>
      <c r="B3043">
        <v>139</v>
      </c>
      <c r="C3043" t="s">
        <v>71</v>
      </c>
      <c r="D3043" t="s">
        <v>74</v>
      </c>
      <c r="E3043" t="s">
        <v>74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74</v>
      </c>
    </row>
    <row r="3044" spans="1:20" x14ac:dyDescent="0.3">
      <c r="A3044" t="s">
        <v>37</v>
      </c>
      <c r="B3044">
        <v>104</v>
      </c>
      <c r="C3044" t="s">
        <v>72</v>
      </c>
      <c r="D3044" t="s">
        <v>74</v>
      </c>
      <c r="E3044" t="s">
        <v>74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74</v>
      </c>
    </row>
    <row r="3045" spans="1:20" x14ac:dyDescent="0.3">
      <c r="A3045" t="s">
        <v>44</v>
      </c>
      <c r="B3045">
        <v>78</v>
      </c>
      <c r="C3045" t="s">
        <v>72</v>
      </c>
      <c r="D3045" t="s">
        <v>74</v>
      </c>
      <c r="E3045" t="s">
        <v>74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74</v>
      </c>
    </row>
    <row r="3046" spans="1:20" x14ac:dyDescent="0.3">
      <c r="A3046" t="s">
        <v>55</v>
      </c>
      <c r="B3046">
        <v>60</v>
      </c>
      <c r="C3046" t="s">
        <v>71</v>
      </c>
      <c r="D3046" t="s">
        <v>74</v>
      </c>
      <c r="E3046" t="s">
        <v>74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75</v>
      </c>
    </row>
    <row r="3047" spans="1:20" x14ac:dyDescent="0.3">
      <c r="A3047" t="s">
        <v>53</v>
      </c>
      <c r="B3047">
        <v>171</v>
      </c>
      <c r="C3047" t="s">
        <v>72</v>
      </c>
      <c r="D3047" t="s">
        <v>75</v>
      </c>
      <c r="E3047" t="s">
        <v>74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74</v>
      </c>
    </row>
    <row r="3048" spans="1:20" x14ac:dyDescent="0.3">
      <c r="A3048" t="s">
        <v>50</v>
      </c>
      <c r="B3048">
        <v>88</v>
      </c>
      <c r="C3048" t="s">
        <v>71</v>
      </c>
      <c r="D3048" t="s">
        <v>74</v>
      </c>
      <c r="E3048" t="s">
        <v>74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75</v>
      </c>
    </row>
    <row r="3049" spans="1:20" x14ac:dyDescent="0.3">
      <c r="A3049" t="s">
        <v>25</v>
      </c>
      <c r="B3049">
        <v>156</v>
      </c>
      <c r="C3049" t="s">
        <v>71</v>
      </c>
      <c r="D3049" t="s">
        <v>74</v>
      </c>
      <c r="E3049" t="s">
        <v>74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74</v>
      </c>
    </row>
    <row r="3050" spans="1:20" x14ac:dyDescent="0.3">
      <c r="A3050" t="s">
        <v>53</v>
      </c>
      <c r="B3050">
        <v>92</v>
      </c>
      <c r="C3050" t="s">
        <v>72</v>
      </c>
      <c r="D3050" t="s">
        <v>74</v>
      </c>
      <c r="E3050" t="s">
        <v>75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74</v>
      </c>
    </row>
    <row r="3051" spans="1:20" x14ac:dyDescent="0.3">
      <c r="A3051" t="s">
        <v>44</v>
      </c>
      <c r="B3051">
        <v>78</v>
      </c>
      <c r="C3051" t="s">
        <v>71</v>
      </c>
      <c r="D3051" t="s">
        <v>74</v>
      </c>
      <c r="E3051" t="s">
        <v>74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75</v>
      </c>
    </row>
    <row r="3052" spans="1:20" x14ac:dyDescent="0.3">
      <c r="A3052" t="s">
        <v>69</v>
      </c>
      <c r="B3052">
        <v>102</v>
      </c>
      <c r="C3052" t="s">
        <v>71</v>
      </c>
      <c r="D3052" t="s">
        <v>74</v>
      </c>
      <c r="E3052" t="s">
        <v>74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75</v>
      </c>
    </row>
    <row r="3053" spans="1:20" x14ac:dyDescent="0.3">
      <c r="A3053" t="s">
        <v>65</v>
      </c>
      <c r="B3053">
        <v>131</v>
      </c>
      <c r="C3053" t="s">
        <v>73</v>
      </c>
      <c r="D3053" t="s">
        <v>74</v>
      </c>
      <c r="E3053" t="s">
        <v>74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74</v>
      </c>
    </row>
    <row r="3054" spans="1:20" x14ac:dyDescent="0.3">
      <c r="A3054" t="s">
        <v>39</v>
      </c>
      <c r="B3054">
        <v>100</v>
      </c>
      <c r="C3054" t="s">
        <v>71</v>
      </c>
      <c r="D3054" t="s">
        <v>74</v>
      </c>
      <c r="E3054" t="s">
        <v>74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75</v>
      </c>
    </row>
    <row r="3055" spans="1:20" x14ac:dyDescent="0.3">
      <c r="A3055" t="s">
        <v>46</v>
      </c>
      <c r="B3055">
        <v>94</v>
      </c>
      <c r="C3055" t="s">
        <v>71</v>
      </c>
      <c r="D3055" t="s">
        <v>74</v>
      </c>
      <c r="E3055" t="s">
        <v>74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74</v>
      </c>
    </row>
    <row r="3056" spans="1:20" x14ac:dyDescent="0.3">
      <c r="A3056" t="s">
        <v>38</v>
      </c>
      <c r="B3056">
        <v>81</v>
      </c>
      <c r="C3056" t="s">
        <v>73</v>
      </c>
      <c r="D3056" t="s">
        <v>74</v>
      </c>
      <c r="E3056" t="s">
        <v>75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74</v>
      </c>
    </row>
    <row r="3057" spans="1:20" x14ac:dyDescent="0.3">
      <c r="A3057" t="s">
        <v>24</v>
      </c>
      <c r="B3057">
        <v>100</v>
      </c>
      <c r="C3057" t="s">
        <v>71</v>
      </c>
      <c r="D3057" t="s">
        <v>74</v>
      </c>
      <c r="E3057" t="s">
        <v>74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74</v>
      </c>
    </row>
    <row r="3058" spans="1:20" x14ac:dyDescent="0.3">
      <c r="A3058" t="s">
        <v>65</v>
      </c>
      <c r="B3058">
        <v>78</v>
      </c>
      <c r="C3058" t="s">
        <v>72</v>
      </c>
      <c r="D3058" t="s">
        <v>74</v>
      </c>
      <c r="E3058" t="s">
        <v>75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74</v>
      </c>
    </row>
    <row r="3059" spans="1:20" x14ac:dyDescent="0.3">
      <c r="A3059" t="s">
        <v>68</v>
      </c>
      <c r="B3059">
        <v>139</v>
      </c>
      <c r="C3059" t="s">
        <v>72</v>
      </c>
      <c r="D3059" t="s">
        <v>75</v>
      </c>
      <c r="E3059" t="s">
        <v>74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74</v>
      </c>
    </row>
    <row r="3060" spans="1:20" x14ac:dyDescent="0.3">
      <c r="A3060" t="s">
        <v>54</v>
      </c>
      <c r="B3060">
        <v>88</v>
      </c>
      <c r="C3060" t="s">
        <v>71</v>
      </c>
      <c r="D3060" t="s">
        <v>74</v>
      </c>
      <c r="E3060" t="s">
        <v>74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74</v>
      </c>
    </row>
    <row r="3061" spans="1:20" x14ac:dyDescent="0.3">
      <c r="A3061" t="s">
        <v>20</v>
      </c>
      <c r="B3061">
        <v>152</v>
      </c>
      <c r="C3061" t="s">
        <v>73</v>
      </c>
      <c r="D3061" t="s">
        <v>74</v>
      </c>
      <c r="E3061" t="s">
        <v>75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74</v>
      </c>
    </row>
    <row r="3062" spans="1:20" x14ac:dyDescent="0.3">
      <c r="A3062" t="s">
        <v>46</v>
      </c>
      <c r="B3062">
        <v>127</v>
      </c>
      <c r="C3062" t="s">
        <v>71</v>
      </c>
      <c r="D3062" t="s">
        <v>75</v>
      </c>
      <c r="E3062" t="s">
        <v>74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75</v>
      </c>
    </row>
    <row r="3063" spans="1:20" x14ac:dyDescent="0.3">
      <c r="A3063" t="s">
        <v>64</v>
      </c>
      <c r="B3063">
        <v>102</v>
      </c>
      <c r="C3063" t="s">
        <v>72</v>
      </c>
      <c r="D3063" t="s">
        <v>74</v>
      </c>
      <c r="E3063" t="s">
        <v>74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74</v>
      </c>
    </row>
    <row r="3064" spans="1:20" x14ac:dyDescent="0.3">
      <c r="A3064" t="s">
        <v>62</v>
      </c>
      <c r="B3064">
        <v>49</v>
      </c>
      <c r="C3064" t="s">
        <v>73</v>
      </c>
      <c r="D3064" t="s">
        <v>75</v>
      </c>
      <c r="E3064" t="s">
        <v>75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75</v>
      </c>
    </row>
    <row r="3065" spans="1:20" x14ac:dyDescent="0.3">
      <c r="A3065" t="s">
        <v>36</v>
      </c>
      <c r="B3065">
        <v>36</v>
      </c>
      <c r="C3065" t="s">
        <v>71</v>
      </c>
      <c r="D3065" t="s">
        <v>74</v>
      </c>
      <c r="E3065" t="s">
        <v>74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74</v>
      </c>
    </row>
    <row r="3066" spans="1:20" x14ac:dyDescent="0.3">
      <c r="A3066" t="s">
        <v>31</v>
      </c>
      <c r="B3066">
        <v>13</v>
      </c>
      <c r="C3066" t="s">
        <v>72</v>
      </c>
      <c r="D3066" t="s">
        <v>74</v>
      </c>
      <c r="E3066" t="s">
        <v>74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74</v>
      </c>
    </row>
    <row r="3067" spans="1:20" x14ac:dyDescent="0.3">
      <c r="A3067" t="s">
        <v>21</v>
      </c>
      <c r="B3067">
        <v>151</v>
      </c>
      <c r="C3067" t="s">
        <v>73</v>
      </c>
      <c r="D3067" t="s">
        <v>74</v>
      </c>
      <c r="E3067" t="s">
        <v>75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74</v>
      </c>
    </row>
    <row r="3068" spans="1:20" x14ac:dyDescent="0.3">
      <c r="A3068" t="s">
        <v>65</v>
      </c>
      <c r="B3068">
        <v>111</v>
      </c>
      <c r="C3068" t="s">
        <v>73</v>
      </c>
      <c r="D3068" t="s">
        <v>74</v>
      </c>
      <c r="E3068" t="s">
        <v>74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74</v>
      </c>
    </row>
    <row r="3069" spans="1:20" x14ac:dyDescent="0.3">
      <c r="A3069" t="s">
        <v>33</v>
      </c>
      <c r="B3069">
        <v>135</v>
      </c>
      <c r="C3069" t="s">
        <v>71</v>
      </c>
      <c r="D3069" t="s">
        <v>75</v>
      </c>
      <c r="E3069" t="s">
        <v>74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74</v>
      </c>
    </row>
    <row r="3070" spans="1:20" x14ac:dyDescent="0.3">
      <c r="A3070" t="s">
        <v>50</v>
      </c>
      <c r="B3070">
        <v>114</v>
      </c>
      <c r="C3070" t="s">
        <v>71</v>
      </c>
      <c r="D3070" t="s">
        <v>74</v>
      </c>
      <c r="E3070" t="s">
        <v>75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74</v>
      </c>
    </row>
    <row r="3071" spans="1:20" x14ac:dyDescent="0.3">
      <c r="A3071" t="s">
        <v>46</v>
      </c>
      <c r="B3071">
        <v>122</v>
      </c>
      <c r="C3071" t="s">
        <v>71</v>
      </c>
      <c r="D3071" t="s">
        <v>74</v>
      </c>
      <c r="E3071" t="s">
        <v>75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74</v>
      </c>
    </row>
    <row r="3072" spans="1:20" x14ac:dyDescent="0.3">
      <c r="A3072" t="s">
        <v>69</v>
      </c>
      <c r="B3072">
        <v>89</v>
      </c>
      <c r="C3072" t="s">
        <v>71</v>
      </c>
      <c r="D3072" t="s">
        <v>74</v>
      </c>
      <c r="E3072" t="s">
        <v>74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75</v>
      </c>
    </row>
    <row r="3073" spans="1:20" x14ac:dyDescent="0.3">
      <c r="A3073" t="s">
        <v>42</v>
      </c>
      <c r="B3073">
        <v>96</v>
      </c>
      <c r="C3073" t="s">
        <v>71</v>
      </c>
      <c r="D3073" t="s">
        <v>74</v>
      </c>
      <c r="E3073" t="s">
        <v>74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74</v>
      </c>
    </row>
    <row r="3074" spans="1:20" x14ac:dyDescent="0.3">
      <c r="A3074" t="s">
        <v>36</v>
      </c>
      <c r="B3074">
        <v>106</v>
      </c>
      <c r="C3074" t="s">
        <v>73</v>
      </c>
      <c r="D3074" t="s">
        <v>74</v>
      </c>
      <c r="E3074" t="s">
        <v>74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74</v>
      </c>
    </row>
    <row r="3075" spans="1:20" x14ac:dyDescent="0.3">
      <c r="A3075" t="s">
        <v>70</v>
      </c>
      <c r="B3075">
        <v>122</v>
      </c>
      <c r="C3075" t="s">
        <v>71</v>
      </c>
      <c r="D3075" t="s">
        <v>74</v>
      </c>
      <c r="E3075" t="s">
        <v>74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74</v>
      </c>
    </row>
    <row r="3076" spans="1:20" x14ac:dyDescent="0.3">
      <c r="A3076" t="s">
        <v>30</v>
      </c>
      <c r="B3076">
        <v>87</v>
      </c>
      <c r="C3076" t="s">
        <v>71</v>
      </c>
      <c r="D3076" t="s">
        <v>74</v>
      </c>
      <c r="E3076" t="s">
        <v>75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74</v>
      </c>
    </row>
    <row r="3077" spans="1:20" x14ac:dyDescent="0.3">
      <c r="A3077" t="s">
        <v>45</v>
      </c>
      <c r="B3077">
        <v>145</v>
      </c>
      <c r="C3077" t="s">
        <v>71</v>
      </c>
      <c r="D3077" t="s">
        <v>74</v>
      </c>
      <c r="E3077" t="s">
        <v>74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74</v>
      </c>
    </row>
    <row r="3078" spans="1:20" x14ac:dyDescent="0.3">
      <c r="A3078" t="s">
        <v>40</v>
      </c>
      <c r="B3078">
        <v>136</v>
      </c>
      <c r="C3078" t="s">
        <v>71</v>
      </c>
      <c r="D3078" t="s">
        <v>74</v>
      </c>
      <c r="E3078" t="s">
        <v>75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74</v>
      </c>
    </row>
    <row r="3079" spans="1:20" x14ac:dyDescent="0.3">
      <c r="A3079" t="s">
        <v>38</v>
      </c>
      <c r="B3079">
        <v>131</v>
      </c>
      <c r="C3079" t="s">
        <v>71</v>
      </c>
      <c r="D3079" t="s">
        <v>74</v>
      </c>
      <c r="E3079" t="s">
        <v>74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74</v>
      </c>
    </row>
    <row r="3080" spans="1:20" x14ac:dyDescent="0.3">
      <c r="A3080" t="s">
        <v>46</v>
      </c>
      <c r="B3080">
        <v>90</v>
      </c>
      <c r="C3080" t="s">
        <v>73</v>
      </c>
      <c r="D3080" t="s">
        <v>74</v>
      </c>
      <c r="E3080" t="s">
        <v>74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74</v>
      </c>
    </row>
    <row r="3081" spans="1:20" x14ac:dyDescent="0.3">
      <c r="A3081" t="s">
        <v>45</v>
      </c>
      <c r="B3081">
        <v>95</v>
      </c>
      <c r="C3081" t="s">
        <v>71</v>
      </c>
      <c r="D3081" t="s">
        <v>74</v>
      </c>
      <c r="E3081" t="s">
        <v>74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74</v>
      </c>
    </row>
    <row r="3082" spans="1:20" x14ac:dyDescent="0.3">
      <c r="A3082" t="s">
        <v>28</v>
      </c>
      <c r="B3082">
        <v>42</v>
      </c>
      <c r="C3082" t="s">
        <v>73</v>
      </c>
      <c r="D3082" t="s">
        <v>74</v>
      </c>
      <c r="E3082" t="s">
        <v>75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74</v>
      </c>
    </row>
    <row r="3083" spans="1:20" x14ac:dyDescent="0.3">
      <c r="A3083" t="s">
        <v>22</v>
      </c>
      <c r="B3083">
        <v>69</v>
      </c>
      <c r="C3083" t="s">
        <v>72</v>
      </c>
      <c r="D3083" t="s">
        <v>74</v>
      </c>
      <c r="E3083" t="s">
        <v>74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74</v>
      </c>
    </row>
    <row r="3084" spans="1:20" x14ac:dyDescent="0.3">
      <c r="A3084" t="s">
        <v>58</v>
      </c>
      <c r="B3084">
        <v>99</v>
      </c>
      <c r="C3084" t="s">
        <v>73</v>
      </c>
      <c r="D3084" t="s">
        <v>74</v>
      </c>
      <c r="E3084" t="s">
        <v>74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74</v>
      </c>
    </row>
    <row r="3085" spans="1:20" x14ac:dyDescent="0.3">
      <c r="A3085" t="s">
        <v>47</v>
      </c>
      <c r="B3085">
        <v>72</v>
      </c>
      <c r="C3085" t="s">
        <v>71</v>
      </c>
      <c r="D3085" t="s">
        <v>74</v>
      </c>
      <c r="E3085" t="s">
        <v>74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74</v>
      </c>
    </row>
    <row r="3086" spans="1:20" x14ac:dyDescent="0.3">
      <c r="A3086" t="s">
        <v>40</v>
      </c>
      <c r="B3086">
        <v>88</v>
      </c>
      <c r="C3086" t="s">
        <v>71</v>
      </c>
      <c r="D3086" t="s">
        <v>74</v>
      </c>
      <c r="E3086" t="s">
        <v>75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74</v>
      </c>
    </row>
    <row r="3087" spans="1:20" x14ac:dyDescent="0.3">
      <c r="A3087" t="s">
        <v>39</v>
      </c>
      <c r="B3087">
        <v>113</v>
      </c>
      <c r="C3087" t="s">
        <v>71</v>
      </c>
      <c r="D3087" t="s">
        <v>74</v>
      </c>
      <c r="E3087" t="s">
        <v>74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75</v>
      </c>
    </row>
    <row r="3088" spans="1:20" x14ac:dyDescent="0.3">
      <c r="A3088" t="s">
        <v>47</v>
      </c>
      <c r="B3088">
        <v>142</v>
      </c>
      <c r="C3088" t="s">
        <v>73</v>
      </c>
      <c r="D3088" t="s">
        <v>75</v>
      </c>
      <c r="E3088" t="s">
        <v>75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74</v>
      </c>
    </row>
    <row r="3089" spans="1:20" x14ac:dyDescent="0.3">
      <c r="A3089" t="s">
        <v>65</v>
      </c>
      <c r="B3089">
        <v>3</v>
      </c>
      <c r="C3089" t="s">
        <v>73</v>
      </c>
      <c r="D3089" t="s">
        <v>74</v>
      </c>
      <c r="E3089" t="s">
        <v>74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74</v>
      </c>
    </row>
    <row r="3090" spans="1:20" x14ac:dyDescent="0.3">
      <c r="A3090" t="s">
        <v>31</v>
      </c>
      <c r="B3090">
        <v>75</v>
      </c>
      <c r="C3090" t="s">
        <v>71</v>
      </c>
      <c r="D3090" t="s">
        <v>74</v>
      </c>
      <c r="E3090" t="s">
        <v>74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74</v>
      </c>
    </row>
    <row r="3091" spans="1:20" x14ac:dyDescent="0.3">
      <c r="A3091" t="s">
        <v>34</v>
      </c>
      <c r="B3091">
        <v>91</v>
      </c>
      <c r="C3091" t="s">
        <v>71</v>
      </c>
      <c r="D3091" t="s">
        <v>74</v>
      </c>
      <c r="E3091" t="s">
        <v>74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74</v>
      </c>
    </row>
    <row r="3092" spans="1:20" x14ac:dyDescent="0.3">
      <c r="A3092" t="s">
        <v>53</v>
      </c>
      <c r="B3092">
        <v>78</v>
      </c>
      <c r="C3092" t="s">
        <v>72</v>
      </c>
      <c r="D3092" t="s">
        <v>74</v>
      </c>
      <c r="E3092" t="s">
        <v>74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74</v>
      </c>
    </row>
    <row r="3093" spans="1:20" x14ac:dyDescent="0.3">
      <c r="A3093" t="s">
        <v>39</v>
      </c>
      <c r="B3093">
        <v>98</v>
      </c>
      <c r="C3093" t="s">
        <v>73</v>
      </c>
      <c r="D3093" t="s">
        <v>74</v>
      </c>
      <c r="E3093" t="s">
        <v>74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74</v>
      </c>
    </row>
    <row r="3094" spans="1:20" x14ac:dyDescent="0.3">
      <c r="A3094" t="s">
        <v>65</v>
      </c>
      <c r="B3094">
        <v>166</v>
      </c>
      <c r="C3094" t="s">
        <v>73</v>
      </c>
      <c r="D3094" t="s">
        <v>74</v>
      </c>
      <c r="E3094" t="s">
        <v>75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75</v>
      </c>
    </row>
    <row r="3095" spans="1:20" x14ac:dyDescent="0.3">
      <c r="A3095" t="s">
        <v>43</v>
      </c>
      <c r="B3095">
        <v>78</v>
      </c>
      <c r="C3095" t="s">
        <v>71</v>
      </c>
      <c r="D3095" t="s">
        <v>74</v>
      </c>
      <c r="E3095" t="s">
        <v>74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74</v>
      </c>
    </row>
    <row r="3096" spans="1:20" x14ac:dyDescent="0.3">
      <c r="A3096" t="s">
        <v>27</v>
      </c>
      <c r="B3096">
        <v>69</v>
      </c>
      <c r="C3096" t="s">
        <v>73</v>
      </c>
      <c r="D3096" t="s">
        <v>74</v>
      </c>
      <c r="E3096" t="s">
        <v>74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75</v>
      </c>
    </row>
    <row r="3097" spans="1:20" x14ac:dyDescent="0.3">
      <c r="A3097" t="s">
        <v>27</v>
      </c>
      <c r="B3097">
        <v>122</v>
      </c>
      <c r="C3097" t="s">
        <v>73</v>
      </c>
      <c r="D3097" t="s">
        <v>74</v>
      </c>
      <c r="E3097" t="s">
        <v>74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74</v>
      </c>
    </row>
    <row r="3098" spans="1:20" x14ac:dyDescent="0.3">
      <c r="A3098" t="s">
        <v>67</v>
      </c>
      <c r="B3098">
        <v>19</v>
      </c>
      <c r="C3098" t="s">
        <v>72</v>
      </c>
      <c r="D3098" t="s">
        <v>74</v>
      </c>
      <c r="E3098" t="s">
        <v>75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74</v>
      </c>
    </row>
    <row r="3099" spans="1:20" x14ac:dyDescent="0.3">
      <c r="A3099" t="s">
        <v>67</v>
      </c>
      <c r="B3099">
        <v>141</v>
      </c>
      <c r="C3099" t="s">
        <v>72</v>
      </c>
      <c r="D3099" t="s">
        <v>74</v>
      </c>
      <c r="E3099" t="s">
        <v>74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74</v>
      </c>
    </row>
    <row r="3100" spans="1:20" x14ac:dyDescent="0.3">
      <c r="A3100" t="s">
        <v>36</v>
      </c>
      <c r="B3100">
        <v>79</v>
      </c>
      <c r="C3100" t="s">
        <v>73</v>
      </c>
      <c r="D3100" t="s">
        <v>74</v>
      </c>
      <c r="E3100" t="s">
        <v>75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74</v>
      </c>
    </row>
    <row r="3101" spans="1:20" x14ac:dyDescent="0.3">
      <c r="A3101" t="s">
        <v>46</v>
      </c>
      <c r="B3101">
        <v>171</v>
      </c>
      <c r="C3101" t="s">
        <v>71</v>
      </c>
      <c r="D3101" t="s">
        <v>74</v>
      </c>
      <c r="E3101" t="s">
        <v>74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74</v>
      </c>
    </row>
    <row r="3102" spans="1:20" x14ac:dyDescent="0.3">
      <c r="A3102" t="s">
        <v>21</v>
      </c>
      <c r="B3102">
        <v>51</v>
      </c>
      <c r="C3102" t="s">
        <v>71</v>
      </c>
      <c r="D3102" t="s">
        <v>74</v>
      </c>
      <c r="E3102" t="s">
        <v>74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74</v>
      </c>
    </row>
    <row r="3103" spans="1:20" x14ac:dyDescent="0.3">
      <c r="A3103" t="s">
        <v>66</v>
      </c>
      <c r="B3103">
        <v>98</v>
      </c>
      <c r="C3103" t="s">
        <v>72</v>
      </c>
      <c r="D3103" t="s">
        <v>74</v>
      </c>
      <c r="E3103" t="s">
        <v>74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74</v>
      </c>
    </row>
    <row r="3104" spans="1:20" x14ac:dyDescent="0.3">
      <c r="A3104" t="s">
        <v>57</v>
      </c>
      <c r="B3104">
        <v>94</v>
      </c>
      <c r="C3104" t="s">
        <v>72</v>
      </c>
      <c r="D3104" t="s">
        <v>74</v>
      </c>
      <c r="E3104" t="s">
        <v>74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74</v>
      </c>
    </row>
    <row r="3105" spans="1:20" x14ac:dyDescent="0.3">
      <c r="A3105" t="s">
        <v>68</v>
      </c>
      <c r="B3105">
        <v>100</v>
      </c>
      <c r="C3105" t="s">
        <v>71</v>
      </c>
      <c r="D3105" t="s">
        <v>74</v>
      </c>
      <c r="E3105" t="s">
        <v>75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74</v>
      </c>
    </row>
    <row r="3106" spans="1:20" x14ac:dyDescent="0.3">
      <c r="A3106" t="s">
        <v>43</v>
      </c>
      <c r="B3106">
        <v>125</v>
      </c>
      <c r="C3106" t="s">
        <v>72</v>
      </c>
      <c r="D3106" t="s">
        <v>74</v>
      </c>
      <c r="E3106" t="s">
        <v>74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74</v>
      </c>
    </row>
    <row r="3107" spans="1:20" x14ac:dyDescent="0.3">
      <c r="A3107" t="s">
        <v>50</v>
      </c>
      <c r="B3107">
        <v>81</v>
      </c>
      <c r="C3107" t="s">
        <v>72</v>
      </c>
      <c r="D3107" t="s">
        <v>74</v>
      </c>
      <c r="E3107" t="s">
        <v>74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74</v>
      </c>
    </row>
    <row r="3108" spans="1:20" x14ac:dyDescent="0.3">
      <c r="A3108" t="s">
        <v>55</v>
      </c>
      <c r="B3108">
        <v>94</v>
      </c>
      <c r="C3108" t="s">
        <v>71</v>
      </c>
      <c r="D3108" t="s">
        <v>74</v>
      </c>
      <c r="E3108" t="s">
        <v>74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74</v>
      </c>
    </row>
    <row r="3109" spans="1:20" x14ac:dyDescent="0.3">
      <c r="A3109" t="s">
        <v>65</v>
      </c>
      <c r="B3109">
        <v>57</v>
      </c>
      <c r="C3109" t="s">
        <v>71</v>
      </c>
      <c r="D3109" t="s">
        <v>74</v>
      </c>
      <c r="E3109" t="s">
        <v>74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74</v>
      </c>
    </row>
    <row r="3110" spans="1:20" x14ac:dyDescent="0.3">
      <c r="A3110" t="s">
        <v>59</v>
      </c>
      <c r="B3110">
        <v>140</v>
      </c>
      <c r="C3110" t="s">
        <v>72</v>
      </c>
      <c r="D3110" t="s">
        <v>74</v>
      </c>
      <c r="E3110" t="s">
        <v>74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74</v>
      </c>
    </row>
    <row r="3111" spans="1:20" x14ac:dyDescent="0.3">
      <c r="A3111" t="s">
        <v>21</v>
      </c>
      <c r="B3111">
        <v>64</v>
      </c>
      <c r="C3111" t="s">
        <v>72</v>
      </c>
      <c r="D3111" t="s">
        <v>74</v>
      </c>
      <c r="E3111" t="s">
        <v>74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75</v>
      </c>
    </row>
    <row r="3112" spans="1:20" x14ac:dyDescent="0.3">
      <c r="A3112" t="s">
        <v>66</v>
      </c>
      <c r="B3112">
        <v>52</v>
      </c>
      <c r="C3112" t="s">
        <v>73</v>
      </c>
      <c r="D3112" t="s">
        <v>75</v>
      </c>
      <c r="E3112" t="s">
        <v>74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74</v>
      </c>
    </row>
    <row r="3113" spans="1:20" x14ac:dyDescent="0.3">
      <c r="A3113" t="s">
        <v>57</v>
      </c>
      <c r="B3113">
        <v>117</v>
      </c>
      <c r="C3113" t="s">
        <v>71</v>
      </c>
      <c r="D3113" t="s">
        <v>74</v>
      </c>
      <c r="E3113" t="s">
        <v>74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75</v>
      </c>
    </row>
    <row r="3114" spans="1:20" x14ac:dyDescent="0.3">
      <c r="A3114" t="s">
        <v>69</v>
      </c>
      <c r="B3114">
        <v>119</v>
      </c>
      <c r="C3114" t="s">
        <v>71</v>
      </c>
      <c r="D3114" t="s">
        <v>74</v>
      </c>
      <c r="E3114" t="s">
        <v>74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74</v>
      </c>
    </row>
    <row r="3115" spans="1:20" x14ac:dyDescent="0.3">
      <c r="A3115" t="s">
        <v>26</v>
      </c>
      <c r="B3115">
        <v>85</v>
      </c>
      <c r="C3115" t="s">
        <v>72</v>
      </c>
      <c r="D3115" t="s">
        <v>74</v>
      </c>
      <c r="E3115" t="s">
        <v>74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74</v>
      </c>
    </row>
    <row r="3116" spans="1:20" x14ac:dyDescent="0.3">
      <c r="A3116" t="s">
        <v>43</v>
      </c>
      <c r="B3116">
        <v>92</v>
      </c>
      <c r="C3116" t="s">
        <v>72</v>
      </c>
      <c r="D3116" t="s">
        <v>74</v>
      </c>
      <c r="E3116" t="s">
        <v>74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74</v>
      </c>
    </row>
    <row r="3117" spans="1:20" x14ac:dyDescent="0.3">
      <c r="A3117" t="s">
        <v>51</v>
      </c>
      <c r="B3117">
        <v>116</v>
      </c>
      <c r="C3117" t="s">
        <v>71</v>
      </c>
      <c r="D3117" t="s">
        <v>74</v>
      </c>
      <c r="E3117" t="s">
        <v>74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75</v>
      </c>
    </row>
    <row r="3118" spans="1:20" x14ac:dyDescent="0.3">
      <c r="A3118" t="s">
        <v>22</v>
      </c>
      <c r="B3118">
        <v>163</v>
      </c>
      <c r="C3118" t="s">
        <v>72</v>
      </c>
      <c r="D3118" t="s">
        <v>74</v>
      </c>
      <c r="E3118" t="s">
        <v>74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74</v>
      </c>
    </row>
    <row r="3119" spans="1:20" x14ac:dyDescent="0.3">
      <c r="A3119" t="s">
        <v>35</v>
      </c>
      <c r="B3119">
        <v>83</v>
      </c>
      <c r="C3119" t="s">
        <v>71</v>
      </c>
      <c r="D3119" t="s">
        <v>74</v>
      </c>
      <c r="E3119" t="s">
        <v>74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74</v>
      </c>
    </row>
    <row r="3120" spans="1:20" x14ac:dyDescent="0.3">
      <c r="A3120" t="s">
        <v>27</v>
      </c>
      <c r="B3120">
        <v>117</v>
      </c>
      <c r="C3120" t="s">
        <v>72</v>
      </c>
      <c r="D3120" t="s">
        <v>74</v>
      </c>
      <c r="E3120" t="s">
        <v>74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74</v>
      </c>
    </row>
    <row r="3121" spans="1:20" x14ac:dyDescent="0.3">
      <c r="A3121" t="s">
        <v>26</v>
      </c>
      <c r="B3121">
        <v>90</v>
      </c>
      <c r="C3121" t="s">
        <v>73</v>
      </c>
      <c r="D3121" t="s">
        <v>74</v>
      </c>
      <c r="E3121" t="s">
        <v>74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74</v>
      </c>
    </row>
    <row r="3122" spans="1:20" x14ac:dyDescent="0.3">
      <c r="A3122" t="s">
        <v>40</v>
      </c>
      <c r="B3122">
        <v>137</v>
      </c>
      <c r="C3122" t="s">
        <v>71</v>
      </c>
      <c r="D3122" t="s">
        <v>74</v>
      </c>
      <c r="E3122" t="s">
        <v>74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74</v>
      </c>
    </row>
    <row r="3123" spans="1:20" x14ac:dyDescent="0.3">
      <c r="A3123" t="s">
        <v>39</v>
      </c>
      <c r="B3123">
        <v>112</v>
      </c>
      <c r="C3123" t="s">
        <v>71</v>
      </c>
      <c r="D3123" t="s">
        <v>74</v>
      </c>
      <c r="E3123" t="s">
        <v>74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74</v>
      </c>
    </row>
    <row r="3124" spans="1:20" x14ac:dyDescent="0.3">
      <c r="A3124" t="s">
        <v>42</v>
      </c>
      <c r="B3124">
        <v>52</v>
      </c>
      <c r="C3124" t="s">
        <v>73</v>
      </c>
      <c r="D3124" t="s">
        <v>74</v>
      </c>
      <c r="E3124" t="s">
        <v>74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74</v>
      </c>
    </row>
    <row r="3125" spans="1:20" x14ac:dyDescent="0.3">
      <c r="A3125" t="s">
        <v>57</v>
      </c>
      <c r="B3125">
        <v>173</v>
      </c>
      <c r="C3125" t="s">
        <v>72</v>
      </c>
      <c r="D3125" t="s">
        <v>74</v>
      </c>
      <c r="E3125" t="s">
        <v>75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74</v>
      </c>
    </row>
    <row r="3126" spans="1:20" x14ac:dyDescent="0.3">
      <c r="A3126" t="s">
        <v>58</v>
      </c>
      <c r="B3126">
        <v>3</v>
      </c>
      <c r="C3126" t="s">
        <v>72</v>
      </c>
      <c r="D3126" t="s">
        <v>74</v>
      </c>
      <c r="E3126" t="s">
        <v>74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75</v>
      </c>
    </row>
    <row r="3127" spans="1:20" x14ac:dyDescent="0.3">
      <c r="A3127" t="s">
        <v>21</v>
      </c>
      <c r="B3127">
        <v>120</v>
      </c>
      <c r="C3127" t="s">
        <v>71</v>
      </c>
      <c r="D3127" t="s">
        <v>74</v>
      </c>
      <c r="E3127" t="s">
        <v>75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74</v>
      </c>
    </row>
    <row r="3128" spans="1:20" x14ac:dyDescent="0.3">
      <c r="A3128" t="s">
        <v>62</v>
      </c>
      <c r="B3128">
        <v>132</v>
      </c>
      <c r="C3128" t="s">
        <v>71</v>
      </c>
      <c r="D3128" t="s">
        <v>74</v>
      </c>
      <c r="E3128" t="s">
        <v>74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74</v>
      </c>
    </row>
    <row r="3129" spans="1:20" x14ac:dyDescent="0.3">
      <c r="A3129" t="s">
        <v>49</v>
      </c>
      <c r="B3129">
        <v>101</v>
      </c>
      <c r="C3129" t="s">
        <v>73</v>
      </c>
      <c r="D3129" t="s">
        <v>74</v>
      </c>
      <c r="E3129" t="s">
        <v>74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74</v>
      </c>
    </row>
    <row r="3130" spans="1:20" x14ac:dyDescent="0.3">
      <c r="A3130" t="s">
        <v>64</v>
      </c>
      <c r="B3130">
        <v>58</v>
      </c>
      <c r="C3130" t="s">
        <v>73</v>
      </c>
      <c r="D3130" t="s">
        <v>74</v>
      </c>
      <c r="E3130" t="s">
        <v>74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74</v>
      </c>
    </row>
    <row r="3131" spans="1:20" x14ac:dyDescent="0.3">
      <c r="A3131" t="s">
        <v>46</v>
      </c>
      <c r="B3131">
        <v>74</v>
      </c>
      <c r="C3131" t="s">
        <v>72</v>
      </c>
      <c r="D3131" t="s">
        <v>74</v>
      </c>
      <c r="E3131" t="s">
        <v>74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74</v>
      </c>
    </row>
    <row r="3132" spans="1:20" x14ac:dyDescent="0.3">
      <c r="A3132" t="s">
        <v>29</v>
      </c>
      <c r="B3132">
        <v>113</v>
      </c>
      <c r="C3132" t="s">
        <v>73</v>
      </c>
      <c r="D3132" t="s">
        <v>74</v>
      </c>
      <c r="E3132" t="s">
        <v>74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74</v>
      </c>
    </row>
    <row r="3133" spans="1:20" x14ac:dyDescent="0.3">
      <c r="A3133" t="s">
        <v>53</v>
      </c>
      <c r="B3133">
        <v>132</v>
      </c>
      <c r="C3133" t="s">
        <v>72</v>
      </c>
      <c r="D3133" t="s">
        <v>74</v>
      </c>
      <c r="E3133" t="s">
        <v>74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74</v>
      </c>
    </row>
    <row r="3134" spans="1:20" x14ac:dyDescent="0.3">
      <c r="A3134" t="s">
        <v>20</v>
      </c>
      <c r="B3134">
        <v>24</v>
      </c>
      <c r="C3134" t="s">
        <v>72</v>
      </c>
      <c r="D3134" t="s">
        <v>74</v>
      </c>
      <c r="E3134" t="s">
        <v>75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74</v>
      </c>
    </row>
    <row r="3135" spans="1:20" x14ac:dyDescent="0.3">
      <c r="A3135" t="s">
        <v>54</v>
      </c>
      <c r="B3135">
        <v>127</v>
      </c>
      <c r="C3135" t="s">
        <v>73</v>
      </c>
      <c r="D3135" t="s">
        <v>74</v>
      </c>
      <c r="E3135" t="s">
        <v>74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74</v>
      </c>
    </row>
    <row r="3136" spans="1:20" x14ac:dyDescent="0.3">
      <c r="A3136" t="s">
        <v>28</v>
      </c>
      <c r="B3136">
        <v>85</v>
      </c>
      <c r="C3136" t="s">
        <v>72</v>
      </c>
      <c r="D3136" t="s">
        <v>74</v>
      </c>
      <c r="E3136" t="s">
        <v>74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74</v>
      </c>
    </row>
    <row r="3137" spans="1:20" x14ac:dyDescent="0.3">
      <c r="A3137" t="s">
        <v>43</v>
      </c>
      <c r="B3137">
        <v>59</v>
      </c>
      <c r="C3137" t="s">
        <v>71</v>
      </c>
      <c r="D3137" t="s">
        <v>74</v>
      </c>
      <c r="E3137" t="s">
        <v>74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74</v>
      </c>
    </row>
    <row r="3138" spans="1:20" x14ac:dyDescent="0.3">
      <c r="A3138" t="s">
        <v>50</v>
      </c>
      <c r="B3138">
        <v>113</v>
      </c>
      <c r="C3138" t="s">
        <v>73</v>
      </c>
      <c r="D3138" t="s">
        <v>74</v>
      </c>
      <c r="E3138" t="s">
        <v>75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74</v>
      </c>
    </row>
    <row r="3139" spans="1:20" x14ac:dyDescent="0.3">
      <c r="A3139" t="s">
        <v>39</v>
      </c>
      <c r="B3139">
        <v>185</v>
      </c>
      <c r="C3139" t="s">
        <v>72</v>
      </c>
      <c r="D3139" t="s">
        <v>74</v>
      </c>
      <c r="E3139" t="s">
        <v>75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75</v>
      </c>
    </row>
    <row r="3140" spans="1:20" x14ac:dyDescent="0.3">
      <c r="A3140" t="s">
        <v>48</v>
      </c>
      <c r="B3140">
        <v>127</v>
      </c>
      <c r="C3140" t="s">
        <v>71</v>
      </c>
      <c r="D3140" t="s">
        <v>74</v>
      </c>
      <c r="E3140" t="s">
        <v>74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74</v>
      </c>
    </row>
    <row r="3141" spans="1:20" x14ac:dyDescent="0.3">
      <c r="A3141" t="s">
        <v>58</v>
      </c>
      <c r="B3141">
        <v>69</v>
      </c>
      <c r="C3141" t="s">
        <v>71</v>
      </c>
      <c r="D3141" t="s">
        <v>74</v>
      </c>
      <c r="E3141" t="s">
        <v>74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74</v>
      </c>
    </row>
    <row r="3142" spans="1:20" x14ac:dyDescent="0.3">
      <c r="A3142" t="s">
        <v>34</v>
      </c>
      <c r="B3142">
        <v>102</v>
      </c>
      <c r="C3142" t="s">
        <v>72</v>
      </c>
      <c r="D3142" t="s">
        <v>74</v>
      </c>
      <c r="E3142" t="s">
        <v>74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74</v>
      </c>
    </row>
    <row r="3143" spans="1:20" x14ac:dyDescent="0.3">
      <c r="A3143" t="s">
        <v>49</v>
      </c>
      <c r="B3143">
        <v>126</v>
      </c>
      <c r="C3143" t="s">
        <v>72</v>
      </c>
      <c r="D3143" t="s">
        <v>74</v>
      </c>
      <c r="E3143" t="s">
        <v>74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74</v>
      </c>
    </row>
    <row r="3144" spans="1:20" x14ac:dyDescent="0.3">
      <c r="A3144" t="s">
        <v>65</v>
      </c>
      <c r="B3144">
        <v>137</v>
      </c>
      <c r="C3144" t="s">
        <v>71</v>
      </c>
      <c r="D3144" t="s">
        <v>74</v>
      </c>
      <c r="E3144" t="s">
        <v>74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74</v>
      </c>
    </row>
    <row r="3145" spans="1:20" x14ac:dyDescent="0.3">
      <c r="A3145" t="s">
        <v>27</v>
      </c>
      <c r="B3145">
        <v>80</v>
      </c>
      <c r="C3145" t="s">
        <v>73</v>
      </c>
      <c r="D3145" t="s">
        <v>74</v>
      </c>
      <c r="E3145" t="s">
        <v>74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74</v>
      </c>
    </row>
    <row r="3146" spans="1:20" x14ac:dyDescent="0.3">
      <c r="A3146" t="s">
        <v>50</v>
      </c>
      <c r="B3146">
        <v>86</v>
      </c>
      <c r="C3146" t="s">
        <v>71</v>
      </c>
      <c r="D3146" t="s">
        <v>74</v>
      </c>
      <c r="E3146" t="s">
        <v>74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74</v>
      </c>
    </row>
    <row r="3147" spans="1:20" x14ac:dyDescent="0.3">
      <c r="A3147" t="s">
        <v>24</v>
      </c>
      <c r="B3147">
        <v>120</v>
      </c>
      <c r="C3147" t="s">
        <v>71</v>
      </c>
      <c r="D3147" t="s">
        <v>74</v>
      </c>
      <c r="E3147" t="s">
        <v>75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74</v>
      </c>
    </row>
    <row r="3148" spans="1:20" x14ac:dyDescent="0.3">
      <c r="A3148" t="s">
        <v>34</v>
      </c>
      <c r="B3148">
        <v>85</v>
      </c>
      <c r="C3148" t="s">
        <v>73</v>
      </c>
      <c r="D3148" t="s">
        <v>74</v>
      </c>
      <c r="E3148" t="s">
        <v>75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74</v>
      </c>
    </row>
    <row r="3149" spans="1:20" x14ac:dyDescent="0.3">
      <c r="A3149" t="s">
        <v>50</v>
      </c>
      <c r="B3149">
        <v>103</v>
      </c>
      <c r="C3149" t="s">
        <v>71</v>
      </c>
      <c r="D3149" t="s">
        <v>74</v>
      </c>
      <c r="E3149" t="s">
        <v>74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74</v>
      </c>
    </row>
    <row r="3150" spans="1:20" x14ac:dyDescent="0.3">
      <c r="A3150" t="s">
        <v>63</v>
      </c>
      <c r="B3150">
        <v>53</v>
      </c>
      <c r="C3150" t="s">
        <v>71</v>
      </c>
      <c r="D3150" t="s">
        <v>74</v>
      </c>
      <c r="E3150" t="s">
        <v>75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74</v>
      </c>
    </row>
    <row r="3151" spans="1:20" x14ac:dyDescent="0.3">
      <c r="A3151" t="s">
        <v>24</v>
      </c>
      <c r="B3151">
        <v>115</v>
      </c>
      <c r="C3151" t="s">
        <v>71</v>
      </c>
      <c r="D3151" t="s">
        <v>75</v>
      </c>
      <c r="E3151" t="s">
        <v>74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74</v>
      </c>
    </row>
    <row r="3152" spans="1:20" x14ac:dyDescent="0.3">
      <c r="A3152" t="s">
        <v>53</v>
      </c>
      <c r="B3152">
        <v>116</v>
      </c>
      <c r="C3152" t="s">
        <v>73</v>
      </c>
      <c r="D3152" t="s">
        <v>75</v>
      </c>
      <c r="E3152" t="s">
        <v>74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74</v>
      </c>
    </row>
    <row r="3153" spans="1:20" x14ac:dyDescent="0.3">
      <c r="A3153" t="s">
        <v>69</v>
      </c>
      <c r="B3153">
        <v>93</v>
      </c>
      <c r="C3153" t="s">
        <v>72</v>
      </c>
      <c r="D3153" t="s">
        <v>74</v>
      </c>
      <c r="E3153" t="s">
        <v>75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74</v>
      </c>
    </row>
    <row r="3154" spans="1:20" x14ac:dyDescent="0.3">
      <c r="A3154" t="s">
        <v>29</v>
      </c>
      <c r="B3154">
        <v>106</v>
      </c>
      <c r="C3154" t="s">
        <v>72</v>
      </c>
      <c r="D3154" t="s">
        <v>74</v>
      </c>
      <c r="E3154" t="s">
        <v>74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74</v>
      </c>
    </row>
    <row r="3155" spans="1:20" x14ac:dyDescent="0.3">
      <c r="A3155" t="s">
        <v>20</v>
      </c>
      <c r="B3155">
        <v>92</v>
      </c>
      <c r="C3155" t="s">
        <v>72</v>
      </c>
      <c r="D3155" t="s">
        <v>74</v>
      </c>
      <c r="E3155" t="s">
        <v>74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75</v>
      </c>
    </row>
    <row r="3156" spans="1:20" x14ac:dyDescent="0.3">
      <c r="A3156" t="s">
        <v>52</v>
      </c>
      <c r="B3156">
        <v>110</v>
      </c>
      <c r="C3156" t="s">
        <v>71</v>
      </c>
      <c r="D3156" t="s">
        <v>74</v>
      </c>
      <c r="E3156" t="s">
        <v>74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74</v>
      </c>
    </row>
    <row r="3157" spans="1:20" x14ac:dyDescent="0.3">
      <c r="A3157" t="s">
        <v>65</v>
      </c>
      <c r="B3157">
        <v>122</v>
      </c>
      <c r="C3157" t="s">
        <v>71</v>
      </c>
      <c r="D3157" t="s">
        <v>75</v>
      </c>
      <c r="E3157" t="s">
        <v>74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74</v>
      </c>
    </row>
    <row r="3158" spans="1:20" x14ac:dyDescent="0.3">
      <c r="A3158" t="s">
        <v>21</v>
      </c>
      <c r="B3158">
        <v>82</v>
      </c>
      <c r="C3158" t="s">
        <v>71</v>
      </c>
      <c r="D3158" t="s">
        <v>74</v>
      </c>
      <c r="E3158" t="s">
        <v>74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74</v>
      </c>
    </row>
    <row r="3159" spans="1:20" x14ac:dyDescent="0.3">
      <c r="A3159" t="s">
        <v>33</v>
      </c>
      <c r="B3159">
        <v>71</v>
      </c>
      <c r="C3159" t="s">
        <v>71</v>
      </c>
      <c r="D3159" t="s">
        <v>74</v>
      </c>
      <c r="E3159" t="s">
        <v>74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74</v>
      </c>
    </row>
    <row r="3160" spans="1:20" x14ac:dyDescent="0.3">
      <c r="A3160" t="s">
        <v>28</v>
      </c>
      <c r="B3160">
        <v>91</v>
      </c>
      <c r="C3160" t="s">
        <v>71</v>
      </c>
      <c r="D3160" t="s">
        <v>74</v>
      </c>
      <c r="E3160" t="s">
        <v>74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75</v>
      </c>
    </row>
    <row r="3161" spans="1:20" x14ac:dyDescent="0.3">
      <c r="A3161" t="s">
        <v>29</v>
      </c>
      <c r="B3161">
        <v>109</v>
      </c>
      <c r="C3161" t="s">
        <v>71</v>
      </c>
      <c r="D3161" t="s">
        <v>74</v>
      </c>
      <c r="E3161" t="s">
        <v>74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74</v>
      </c>
    </row>
    <row r="3162" spans="1:20" x14ac:dyDescent="0.3">
      <c r="A3162" t="s">
        <v>41</v>
      </c>
      <c r="B3162">
        <v>126</v>
      </c>
      <c r="C3162" t="s">
        <v>72</v>
      </c>
      <c r="D3162" t="s">
        <v>74</v>
      </c>
      <c r="E3162" t="s">
        <v>75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74</v>
      </c>
    </row>
    <row r="3163" spans="1:20" x14ac:dyDescent="0.3">
      <c r="A3163" t="s">
        <v>63</v>
      </c>
      <c r="B3163">
        <v>98</v>
      </c>
      <c r="C3163" t="s">
        <v>71</v>
      </c>
      <c r="D3163" t="s">
        <v>74</v>
      </c>
      <c r="E3163" t="s">
        <v>74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74</v>
      </c>
    </row>
    <row r="3164" spans="1:20" x14ac:dyDescent="0.3">
      <c r="A3164" t="s">
        <v>34</v>
      </c>
      <c r="B3164">
        <v>98</v>
      </c>
      <c r="C3164" t="s">
        <v>72</v>
      </c>
      <c r="D3164" t="s">
        <v>74</v>
      </c>
      <c r="E3164" t="s">
        <v>74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74</v>
      </c>
    </row>
    <row r="3165" spans="1:20" x14ac:dyDescent="0.3">
      <c r="A3165" t="s">
        <v>67</v>
      </c>
      <c r="B3165">
        <v>78</v>
      </c>
      <c r="C3165" t="s">
        <v>73</v>
      </c>
      <c r="D3165" t="s">
        <v>74</v>
      </c>
      <c r="E3165" t="s">
        <v>74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74</v>
      </c>
    </row>
    <row r="3166" spans="1:20" x14ac:dyDescent="0.3">
      <c r="A3166" t="s">
        <v>26</v>
      </c>
      <c r="B3166">
        <v>44</v>
      </c>
      <c r="C3166" t="s">
        <v>72</v>
      </c>
      <c r="D3166" t="s">
        <v>74</v>
      </c>
      <c r="E3166" t="s">
        <v>74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74</v>
      </c>
    </row>
    <row r="3167" spans="1:20" x14ac:dyDescent="0.3">
      <c r="A3167" t="s">
        <v>49</v>
      </c>
      <c r="B3167">
        <v>60</v>
      </c>
      <c r="C3167" t="s">
        <v>72</v>
      </c>
      <c r="D3167" t="s">
        <v>74</v>
      </c>
      <c r="E3167" t="s">
        <v>74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74</v>
      </c>
    </row>
    <row r="3168" spans="1:20" x14ac:dyDescent="0.3">
      <c r="A3168" t="s">
        <v>32</v>
      </c>
      <c r="B3168">
        <v>113</v>
      </c>
      <c r="C3168" t="s">
        <v>73</v>
      </c>
      <c r="D3168" t="s">
        <v>74</v>
      </c>
      <c r="E3168" t="s">
        <v>74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75</v>
      </c>
    </row>
    <row r="3169" spans="1:20" x14ac:dyDescent="0.3">
      <c r="A3169" t="s">
        <v>55</v>
      </c>
      <c r="B3169">
        <v>101</v>
      </c>
      <c r="C3169" t="s">
        <v>71</v>
      </c>
      <c r="D3169" t="s">
        <v>74</v>
      </c>
      <c r="E3169" t="s">
        <v>74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74</v>
      </c>
    </row>
    <row r="3170" spans="1:20" x14ac:dyDescent="0.3">
      <c r="A3170" t="s">
        <v>47</v>
      </c>
      <c r="B3170">
        <v>147</v>
      </c>
      <c r="C3170" t="s">
        <v>71</v>
      </c>
      <c r="D3170" t="s">
        <v>74</v>
      </c>
      <c r="E3170" t="s">
        <v>74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74</v>
      </c>
    </row>
    <row r="3171" spans="1:20" x14ac:dyDescent="0.3">
      <c r="A3171" t="s">
        <v>68</v>
      </c>
      <c r="B3171">
        <v>21</v>
      </c>
      <c r="C3171" t="s">
        <v>72</v>
      </c>
      <c r="D3171" t="s">
        <v>74</v>
      </c>
      <c r="E3171" t="s">
        <v>74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74</v>
      </c>
    </row>
    <row r="3172" spans="1:20" x14ac:dyDescent="0.3">
      <c r="A3172" t="s">
        <v>64</v>
      </c>
      <c r="B3172">
        <v>141</v>
      </c>
      <c r="C3172" t="s">
        <v>71</v>
      </c>
      <c r="D3172" t="s">
        <v>74</v>
      </c>
      <c r="E3172" t="s">
        <v>74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74</v>
      </c>
    </row>
    <row r="3173" spans="1:20" x14ac:dyDescent="0.3">
      <c r="A3173" t="s">
        <v>37</v>
      </c>
      <c r="B3173">
        <v>87</v>
      </c>
      <c r="C3173" t="s">
        <v>72</v>
      </c>
      <c r="D3173" t="s">
        <v>74</v>
      </c>
      <c r="E3173" t="s">
        <v>74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74</v>
      </c>
    </row>
    <row r="3174" spans="1:20" x14ac:dyDescent="0.3">
      <c r="A3174" t="s">
        <v>61</v>
      </c>
      <c r="B3174">
        <v>69</v>
      </c>
      <c r="C3174" t="s">
        <v>71</v>
      </c>
      <c r="D3174" t="s">
        <v>74</v>
      </c>
      <c r="E3174" t="s">
        <v>74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74</v>
      </c>
    </row>
    <row r="3175" spans="1:20" x14ac:dyDescent="0.3">
      <c r="A3175" t="s">
        <v>42</v>
      </c>
      <c r="B3175">
        <v>169</v>
      </c>
      <c r="C3175" t="s">
        <v>73</v>
      </c>
      <c r="D3175" t="s">
        <v>74</v>
      </c>
      <c r="E3175" t="s">
        <v>74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74</v>
      </c>
    </row>
    <row r="3176" spans="1:20" x14ac:dyDescent="0.3">
      <c r="A3176" t="s">
        <v>45</v>
      </c>
      <c r="B3176">
        <v>102</v>
      </c>
      <c r="C3176" t="s">
        <v>73</v>
      </c>
      <c r="D3176" t="s">
        <v>74</v>
      </c>
      <c r="E3176" t="s">
        <v>74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75</v>
      </c>
    </row>
    <row r="3177" spans="1:20" x14ac:dyDescent="0.3">
      <c r="A3177" t="s">
        <v>54</v>
      </c>
      <c r="B3177">
        <v>174</v>
      </c>
      <c r="C3177" t="s">
        <v>71</v>
      </c>
      <c r="D3177" t="s">
        <v>74</v>
      </c>
      <c r="E3177" t="s">
        <v>74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74</v>
      </c>
    </row>
    <row r="3178" spans="1:20" x14ac:dyDescent="0.3">
      <c r="A3178" t="s">
        <v>46</v>
      </c>
      <c r="B3178">
        <v>44</v>
      </c>
      <c r="C3178" t="s">
        <v>72</v>
      </c>
      <c r="D3178" t="s">
        <v>74</v>
      </c>
      <c r="E3178" t="s">
        <v>75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74</v>
      </c>
    </row>
    <row r="3179" spans="1:20" x14ac:dyDescent="0.3">
      <c r="A3179" t="s">
        <v>29</v>
      </c>
      <c r="B3179">
        <v>89</v>
      </c>
      <c r="C3179" t="s">
        <v>71</v>
      </c>
      <c r="D3179" t="s">
        <v>74</v>
      </c>
      <c r="E3179" t="s">
        <v>75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74</v>
      </c>
    </row>
    <row r="3180" spans="1:20" x14ac:dyDescent="0.3">
      <c r="A3180" t="s">
        <v>26</v>
      </c>
      <c r="B3180">
        <v>143</v>
      </c>
      <c r="C3180" t="s">
        <v>71</v>
      </c>
      <c r="D3180" t="s">
        <v>74</v>
      </c>
      <c r="E3180" t="s">
        <v>74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74</v>
      </c>
    </row>
    <row r="3181" spans="1:20" x14ac:dyDescent="0.3">
      <c r="A3181" t="s">
        <v>50</v>
      </c>
      <c r="B3181">
        <v>78</v>
      </c>
      <c r="C3181" t="s">
        <v>71</v>
      </c>
      <c r="D3181" t="s">
        <v>75</v>
      </c>
      <c r="E3181" t="s">
        <v>75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74</v>
      </c>
    </row>
    <row r="3182" spans="1:20" x14ac:dyDescent="0.3">
      <c r="A3182" t="s">
        <v>29</v>
      </c>
      <c r="B3182">
        <v>93</v>
      </c>
      <c r="C3182" t="s">
        <v>71</v>
      </c>
      <c r="D3182" t="s">
        <v>74</v>
      </c>
      <c r="E3182" t="s">
        <v>74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74</v>
      </c>
    </row>
    <row r="3183" spans="1:20" x14ac:dyDescent="0.3">
      <c r="A3183" t="s">
        <v>50</v>
      </c>
      <c r="B3183">
        <v>106</v>
      </c>
      <c r="C3183" t="s">
        <v>73</v>
      </c>
      <c r="D3183" t="s">
        <v>74</v>
      </c>
      <c r="E3183" t="s">
        <v>74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74</v>
      </c>
    </row>
    <row r="3184" spans="1:20" x14ac:dyDescent="0.3">
      <c r="A3184" t="s">
        <v>21</v>
      </c>
      <c r="B3184">
        <v>116</v>
      </c>
      <c r="C3184" t="s">
        <v>73</v>
      </c>
      <c r="D3184" t="s">
        <v>74</v>
      </c>
      <c r="E3184" t="s">
        <v>74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74</v>
      </c>
    </row>
    <row r="3185" spans="1:20" x14ac:dyDescent="0.3">
      <c r="A3185" t="s">
        <v>23</v>
      </c>
      <c r="B3185">
        <v>42</v>
      </c>
      <c r="C3185" t="s">
        <v>71</v>
      </c>
      <c r="D3185" t="s">
        <v>74</v>
      </c>
      <c r="E3185" t="s">
        <v>74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74</v>
      </c>
    </row>
    <row r="3186" spans="1:20" x14ac:dyDescent="0.3">
      <c r="A3186" t="s">
        <v>53</v>
      </c>
      <c r="B3186">
        <v>173</v>
      </c>
      <c r="C3186" t="s">
        <v>71</v>
      </c>
      <c r="D3186" t="s">
        <v>74</v>
      </c>
      <c r="E3186" t="s">
        <v>74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74</v>
      </c>
    </row>
    <row r="3187" spans="1:20" x14ac:dyDescent="0.3">
      <c r="A3187" t="s">
        <v>67</v>
      </c>
      <c r="B3187">
        <v>80</v>
      </c>
      <c r="C3187" t="s">
        <v>72</v>
      </c>
      <c r="D3187" t="s">
        <v>74</v>
      </c>
      <c r="E3187" t="s">
        <v>74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74</v>
      </c>
    </row>
    <row r="3188" spans="1:20" x14ac:dyDescent="0.3">
      <c r="A3188" t="s">
        <v>61</v>
      </c>
      <c r="B3188">
        <v>70</v>
      </c>
      <c r="C3188" t="s">
        <v>72</v>
      </c>
      <c r="D3188" t="s">
        <v>74</v>
      </c>
      <c r="E3188" t="s">
        <v>75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74</v>
      </c>
    </row>
    <row r="3189" spans="1:20" x14ac:dyDescent="0.3">
      <c r="A3189" t="s">
        <v>38</v>
      </c>
      <c r="B3189">
        <v>112</v>
      </c>
      <c r="C3189" t="s">
        <v>72</v>
      </c>
      <c r="D3189" t="s">
        <v>74</v>
      </c>
      <c r="E3189" t="s">
        <v>74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74</v>
      </c>
    </row>
    <row r="3190" spans="1:20" x14ac:dyDescent="0.3">
      <c r="A3190" t="s">
        <v>31</v>
      </c>
      <c r="B3190">
        <v>186</v>
      </c>
      <c r="C3190" t="s">
        <v>73</v>
      </c>
      <c r="D3190" t="s">
        <v>74</v>
      </c>
      <c r="E3190" t="s">
        <v>74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74</v>
      </c>
    </row>
    <row r="3191" spans="1:20" x14ac:dyDescent="0.3">
      <c r="A3191" t="s">
        <v>37</v>
      </c>
      <c r="B3191">
        <v>99</v>
      </c>
      <c r="C3191" t="s">
        <v>73</v>
      </c>
      <c r="D3191" t="s">
        <v>74</v>
      </c>
      <c r="E3191" t="s">
        <v>74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74</v>
      </c>
    </row>
    <row r="3192" spans="1:20" x14ac:dyDescent="0.3">
      <c r="A3192" t="s">
        <v>21</v>
      </c>
      <c r="B3192">
        <v>56</v>
      </c>
      <c r="C3192" t="s">
        <v>71</v>
      </c>
      <c r="D3192" t="s">
        <v>74</v>
      </c>
      <c r="E3192" t="s">
        <v>74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74</v>
      </c>
    </row>
    <row r="3193" spans="1:20" x14ac:dyDescent="0.3">
      <c r="A3193" t="s">
        <v>33</v>
      </c>
      <c r="B3193">
        <v>135</v>
      </c>
      <c r="C3193" t="s">
        <v>73</v>
      </c>
      <c r="D3193" t="s">
        <v>74</v>
      </c>
      <c r="E3193" t="s">
        <v>75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74</v>
      </c>
    </row>
    <row r="3194" spans="1:20" x14ac:dyDescent="0.3">
      <c r="A3194" t="s">
        <v>28</v>
      </c>
      <c r="B3194">
        <v>83</v>
      </c>
      <c r="C3194" t="s">
        <v>73</v>
      </c>
      <c r="D3194" t="s">
        <v>74</v>
      </c>
      <c r="E3194" t="s">
        <v>74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74</v>
      </c>
    </row>
    <row r="3195" spans="1:20" x14ac:dyDescent="0.3">
      <c r="A3195" t="s">
        <v>43</v>
      </c>
      <c r="B3195">
        <v>48</v>
      </c>
      <c r="C3195" t="s">
        <v>72</v>
      </c>
      <c r="D3195" t="s">
        <v>74</v>
      </c>
      <c r="E3195" t="s">
        <v>74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74</v>
      </c>
    </row>
    <row r="3196" spans="1:20" x14ac:dyDescent="0.3">
      <c r="A3196" t="s">
        <v>35</v>
      </c>
      <c r="B3196">
        <v>112</v>
      </c>
      <c r="C3196" t="s">
        <v>71</v>
      </c>
      <c r="D3196" t="s">
        <v>74</v>
      </c>
      <c r="E3196" t="s">
        <v>75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74</v>
      </c>
    </row>
    <row r="3197" spans="1:20" x14ac:dyDescent="0.3">
      <c r="A3197" t="s">
        <v>35</v>
      </c>
      <c r="B3197">
        <v>112</v>
      </c>
      <c r="C3197" t="s">
        <v>72</v>
      </c>
      <c r="D3197" t="s">
        <v>74</v>
      </c>
      <c r="E3197" t="s">
        <v>74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74</v>
      </c>
    </row>
    <row r="3198" spans="1:20" x14ac:dyDescent="0.3">
      <c r="A3198" t="s">
        <v>32</v>
      </c>
      <c r="B3198">
        <v>141</v>
      </c>
      <c r="C3198" t="s">
        <v>73</v>
      </c>
      <c r="D3198" t="s">
        <v>74</v>
      </c>
      <c r="E3198" t="s">
        <v>74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74</v>
      </c>
    </row>
    <row r="3199" spans="1:20" x14ac:dyDescent="0.3">
      <c r="A3199" t="s">
        <v>40</v>
      </c>
      <c r="B3199">
        <v>73</v>
      </c>
      <c r="C3199" t="s">
        <v>73</v>
      </c>
      <c r="D3199" t="s">
        <v>74</v>
      </c>
      <c r="E3199" t="s">
        <v>75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74</v>
      </c>
    </row>
    <row r="3200" spans="1:20" x14ac:dyDescent="0.3">
      <c r="A3200" t="s">
        <v>20</v>
      </c>
      <c r="B3200">
        <v>81</v>
      </c>
      <c r="C3200" t="s">
        <v>72</v>
      </c>
      <c r="D3200" t="s">
        <v>74</v>
      </c>
      <c r="E3200" t="s">
        <v>74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74</v>
      </c>
    </row>
    <row r="3201" spans="1:20" x14ac:dyDescent="0.3">
      <c r="A3201" t="s">
        <v>28</v>
      </c>
      <c r="B3201">
        <v>165</v>
      </c>
      <c r="C3201" t="s">
        <v>71</v>
      </c>
      <c r="D3201" t="s">
        <v>74</v>
      </c>
      <c r="E3201" t="s">
        <v>75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74</v>
      </c>
    </row>
    <row r="3202" spans="1:20" x14ac:dyDescent="0.3">
      <c r="A3202" t="s">
        <v>58</v>
      </c>
      <c r="B3202">
        <v>70</v>
      </c>
      <c r="C3202" t="s">
        <v>71</v>
      </c>
      <c r="D3202" t="s">
        <v>74</v>
      </c>
      <c r="E3202" t="s">
        <v>74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74</v>
      </c>
    </row>
    <row r="3203" spans="1:20" x14ac:dyDescent="0.3">
      <c r="A3203" t="s">
        <v>22</v>
      </c>
      <c r="B3203">
        <v>79</v>
      </c>
      <c r="C3203" t="s">
        <v>71</v>
      </c>
      <c r="D3203" t="s">
        <v>74</v>
      </c>
      <c r="E3203" t="s">
        <v>74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74</v>
      </c>
    </row>
    <row r="3204" spans="1:20" x14ac:dyDescent="0.3">
      <c r="A3204" t="s">
        <v>28</v>
      </c>
      <c r="B3204">
        <v>126</v>
      </c>
      <c r="C3204" t="s">
        <v>71</v>
      </c>
      <c r="D3204" t="s">
        <v>74</v>
      </c>
      <c r="E3204" t="s">
        <v>74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74</v>
      </c>
    </row>
    <row r="3205" spans="1:20" x14ac:dyDescent="0.3">
      <c r="A3205" t="s">
        <v>38</v>
      </c>
      <c r="B3205">
        <v>77</v>
      </c>
      <c r="C3205" t="s">
        <v>72</v>
      </c>
      <c r="D3205" t="s">
        <v>74</v>
      </c>
      <c r="E3205" t="s">
        <v>74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74</v>
      </c>
    </row>
    <row r="3206" spans="1:20" x14ac:dyDescent="0.3">
      <c r="A3206" t="s">
        <v>32</v>
      </c>
      <c r="B3206">
        <v>72</v>
      </c>
      <c r="C3206" t="s">
        <v>73</v>
      </c>
      <c r="D3206" t="s">
        <v>74</v>
      </c>
      <c r="E3206" t="s">
        <v>75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74</v>
      </c>
    </row>
    <row r="3207" spans="1:20" x14ac:dyDescent="0.3">
      <c r="A3207" t="s">
        <v>61</v>
      </c>
      <c r="B3207">
        <v>110</v>
      </c>
      <c r="C3207" t="s">
        <v>71</v>
      </c>
      <c r="D3207" t="s">
        <v>74</v>
      </c>
      <c r="E3207" t="s">
        <v>75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74</v>
      </c>
    </row>
    <row r="3208" spans="1:20" x14ac:dyDescent="0.3">
      <c r="A3208" t="s">
        <v>56</v>
      </c>
      <c r="B3208">
        <v>88</v>
      </c>
      <c r="C3208" t="s">
        <v>71</v>
      </c>
      <c r="D3208" t="s">
        <v>74</v>
      </c>
      <c r="E3208" t="s">
        <v>74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74</v>
      </c>
    </row>
    <row r="3209" spans="1:20" x14ac:dyDescent="0.3">
      <c r="A3209" t="s">
        <v>42</v>
      </c>
      <c r="B3209">
        <v>80</v>
      </c>
      <c r="C3209" t="s">
        <v>71</v>
      </c>
      <c r="D3209" t="s">
        <v>74</v>
      </c>
      <c r="E3209" t="s">
        <v>75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75</v>
      </c>
    </row>
    <row r="3210" spans="1:20" x14ac:dyDescent="0.3">
      <c r="A3210" t="s">
        <v>61</v>
      </c>
      <c r="B3210">
        <v>43</v>
      </c>
      <c r="C3210" t="s">
        <v>72</v>
      </c>
      <c r="D3210" t="s">
        <v>74</v>
      </c>
      <c r="E3210" t="s">
        <v>75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74</v>
      </c>
    </row>
    <row r="3211" spans="1:20" x14ac:dyDescent="0.3">
      <c r="A3211" t="s">
        <v>53</v>
      </c>
      <c r="B3211">
        <v>144</v>
      </c>
      <c r="C3211" t="s">
        <v>71</v>
      </c>
      <c r="D3211" t="s">
        <v>74</v>
      </c>
      <c r="E3211" t="s">
        <v>75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74</v>
      </c>
    </row>
    <row r="3212" spans="1:20" x14ac:dyDescent="0.3">
      <c r="A3212" t="s">
        <v>47</v>
      </c>
      <c r="B3212">
        <v>142</v>
      </c>
      <c r="C3212" t="s">
        <v>73</v>
      </c>
      <c r="D3212" t="s">
        <v>74</v>
      </c>
      <c r="E3212" t="s">
        <v>74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74</v>
      </c>
    </row>
    <row r="3213" spans="1:20" x14ac:dyDescent="0.3">
      <c r="A3213" t="s">
        <v>46</v>
      </c>
      <c r="B3213">
        <v>78</v>
      </c>
      <c r="C3213" t="s">
        <v>73</v>
      </c>
      <c r="D3213" t="s">
        <v>74</v>
      </c>
      <c r="E3213" t="s">
        <v>75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74</v>
      </c>
    </row>
    <row r="3214" spans="1:20" x14ac:dyDescent="0.3">
      <c r="A3214" t="s">
        <v>37</v>
      </c>
      <c r="B3214">
        <v>131</v>
      </c>
      <c r="C3214" t="s">
        <v>71</v>
      </c>
      <c r="D3214" t="s">
        <v>74</v>
      </c>
      <c r="E3214" t="s">
        <v>74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74</v>
      </c>
    </row>
    <row r="3215" spans="1:20" x14ac:dyDescent="0.3">
      <c r="A3215" t="s">
        <v>69</v>
      </c>
      <c r="B3215">
        <v>61</v>
      </c>
      <c r="C3215" t="s">
        <v>71</v>
      </c>
      <c r="D3215" t="s">
        <v>74</v>
      </c>
      <c r="E3215" t="s">
        <v>75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74</v>
      </c>
    </row>
    <row r="3216" spans="1:20" x14ac:dyDescent="0.3">
      <c r="A3216" t="s">
        <v>69</v>
      </c>
      <c r="B3216">
        <v>73</v>
      </c>
      <c r="C3216" t="s">
        <v>72</v>
      </c>
      <c r="D3216" t="s">
        <v>74</v>
      </c>
      <c r="E3216" t="s">
        <v>75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74</v>
      </c>
    </row>
    <row r="3217" spans="1:20" x14ac:dyDescent="0.3">
      <c r="A3217" t="s">
        <v>21</v>
      </c>
      <c r="B3217">
        <v>100</v>
      </c>
      <c r="C3217" t="s">
        <v>71</v>
      </c>
      <c r="D3217" t="s">
        <v>74</v>
      </c>
      <c r="E3217" t="s">
        <v>75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74</v>
      </c>
    </row>
    <row r="3218" spans="1:20" x14ac:dyDescent="0.3">
      <c r="A3218" t="s">
        <v>26</v>
      </c>
      <c r="B3218">
        <v>100</v>
      </c>
      <c r="C3218" t="s">
        <v>72</v>
      </c>
      <c r="D3218" t="s">
        <v>74</v>
      </c>
      <c r="E3218" t="s">
        <v>74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74</v>
      </c>
    </row>
    <row r="3219" spans="1:20" x14ac:dyDescent="0.3">
      <c r="A3219" t="s">
        <v>68</v>
      </c>
      <c r="B3219">
        <v>109</v>
      </c>
      <c r="C3219" t="s">
        <v>73</v>
      </c>
      <c r="D3219" t="s">
        <v>74</v>
      </c>
      <c r="E3219" t="s">
        <v>75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75</v>
      </c>
    </row>
    <row r="3220" spans="1:20" x14ac:dyDescent="0.3">
      <c r="A3220" t="s">
        <v>44</v>
      </c>
      <c r="B3220">
        <v>139</v>
      </c>
      <c r="C3220" t="s">
        <v>72</v>
      </c>
      <c r="D3220" t="s">
        <v>74</v>
      </c>
      <c r="E3220" t="s">
        <v>74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74</v>
      </c>
    </row>
    <row r="3221" spans="1:20" x14ac:dyDescent="0.3">
      <c r="A3221" t="s">
        <v>39</v>
      </c>
      <c r="B3221">
        <v>115</v>
      </c>
      <c r="C3221" t="s">
        <v>72</v>
      </c>
      <c r="D3221" t="s">
        <v>74</v>
      </c>
      <c r="E3221" t="s">
        <v>74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74</v>
      </c>
    </row>
    <row r="3222" spans="1:20" x14ac:dyDescent="0.3">
      <c r="A3222" t="s">
        <v>49</v>
      </c>
      <c r="B3222">
        <v>77</v>
      </c>
      <c r="C3222" t="s">
        <v>71</v>
      </c>
      <c r="D3222" t="s">
        <v>74</v>
      </c>
      <c r="E3222" t="s">
        <v>74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74</v>
      </c>
    </row>
    <row r="3223" spans="1:20" x14ac:dyDescent="0.3">
      <c r="A3223" t="s">
        <v>70</v>
      </c>
      <c r="B3223">
        <v>14</v>
      </c>
      <c r="C3223" t="s">
        <v>71</v>
      </c>
      <c r="D3223" t="s">
        <v>74</v>
      </c>
      <c r="E3223" t="s">
        <v>74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74</v>
      </c>
    </row>
    <row r="3224" spans="1:20" x14ac:dyDescent="0.3">
      <c r="A3224" t="s">
        <v>38</v>
      </c>
      <c r="B3224">
        <v>81</v>
      </c>
      <c r="C3224" t="s">
        <v>71</v>
      </c>
      <c r="D3224" t="s">
        <v>74</v>
      </c>
      <c r="E3224" t="s">
        <v>74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74</v>
      </c>
    </row>
    <row r="3225" spans="1:20" x14ac:dyDescent="0.3">
      <c r="A3225" t="s">
        <v>70</v>
      </c>
      <c r="B3225">
        <v>113</v>
      </c>
      <c r="C3225" t="s">
        <v>71</v>
      </c>
      <c r="D3225" t="s">
        <v>74</v>
      </c>
      <c r="E3225" t="s">
        <v>74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74</v>
      </c>
    </row>
    <row r="3226" spans="1:20" x14ac:dyDescent="0.3">
      <c r="A3226" t="s">
        <v>53</v>
      </c>
      <c r="B3226">
        <v>93</v>
      </c>
      <c r="C3226" t="s">
        <v>71</v>
      </c>
      <c r="D3226" t="s">
        <v>75</v>
      </c>
      <c r="E3226" t="s">
        <v>75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74</v>
      </c>
    </row>
    <row r="3227" spans="1:20" x14ac:dyDescent="0.3">
      <c r="A3227" t="s">
        <v>31</v>
      </c>
      <c r="B3227">
        <v>77</v>
      </c>
      <c r="C3227" t="s">
        <v>73</v>
      </c>
      <c r="D3227" t="s">
        <v>74</v>
      </c>
      <c r="E3227" t="s">
        <v>74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74</v>
      </c>
    </row>
    <row r="3228" spans="1:20" x14ac:dyDescent="0.3">
      <c r="A3228" t="s">
        <v>46</v>
      </c>
      <c r="B3228">
        <v>125</v>
      </c>
      <c r="C3228" t="s">
        <v>71</v>
      </c>
      <c r="D3228" t="s">
        <v>74</v>
      </c>
      <c r="E3228" t="s">
        <v>75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74</v>
      </c>
    </row>
    <row r="3229" spans="1:20" x14ac:dyDescent="0.3">
      <c r="A3229" t="s">
        <v>58</v>
      </c>
      <c r="B3229">
        <v>88</v>
      </c>
      <c r="C3229" t="s">
        <v>73</v>
      </c>
      <c r="D3229" t="s">
        <v>74</v>
      </c>
      <c r="E3229" t="s">
        <v>74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74</v>
      </c>
    </row>
    <row r="3230" spans="1:20" x14ac:dyDescent="0.3">
      <c r="A3230" t="s">
        <v>31</v>
      </c>
      <c r="B3230">
        <v>89</v>
      </c>
      <c r="C3230" t="s">
        <v>73</v>
      </c>
      <c r="D3230" t="s">
        <v>74</v>
      </c>
      <c r="E3230" t="s">
        <v>74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74</v>
      </c>
    </row>
    <row r="3231" spans="1:20" x14ac:dyDescent="0.3">
      <c r="A3231" t="s">
        <v>20</v>
      </c>
      <c r="B3231">
        <v>124</v>
      </c>
      <c r="C3231" t="s">
        <v>72</v>
      </c>
      <c r="D3231" t="s">
        <v>74</v>
      </c>
      <c r="E3231" t="s">
        <v>74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74</v>
      </c>
    </row>
    <row r="3232" spans="1:20" x14ac:dyDescent="0.3">
      <c r="A3232" t="s">
        <v>57</v>
      </c>
      <c r="B3232">
        <v>83</v>
      </c>
      <c r="C3232" t="s">
        <v>73</v>
      </c>
      <c r="D3232" t="s">
        <v>74</v>
      </c>
      <c r="E3232" t="s">
        <v>74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74</v>
      </c>
    </row>
    <row r="3233" spans="1:20" x14ac:dyDescent="0.3">
      <c r="A3233" t="s">
        <v>29</v>
      </c>
      <c r="B3233">
        <v>7</v>
      </c>
      <c r="C3233" t="s">
        <v>73</v>
      </c>
      <c r="D3233" t="s">
        <v>74</v>
      </c>
      <c r="E3233" t="s">
        <v>74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74</v>
      </c>
    </row>
    <row r="3234" spans="1:20" x14ac:dyDescent="0.3">
      <c r="A3234" t="s">
        <v>34</v>
      </c>
      <c r="B3234">
        <v>104</v>
      </c>
      <c r="C3234" t="s">
        <v>71</v>
      </c>
      <c r="D3234" t="s">
        <v>74</v>
      </c>
      <c r="E3234" t="s">
        <v>74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75</v>
      </c>
    </row>
    <row r="3235" spans="1:20" x14ac:dyDescent="0.3">
      <c r="A3235" t="s">
        <v>38</v>
      </c>
      <c r="B3235">
        <v>76</v>
      </c>
      <c r="C3235" t="s">
        <v>71</v>
      </c>
      <c r="D3235" t="s">
        <v>74</v>
      </c>
      <c r="E3235" t="s">
        <v>74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74</v>
      </c>
    </row>
    <row r="3236" spans="1:20" x14ac:dyDescent="0.3">
      <c r="A3236" t="s">
        <v>28</v>
      </c>
      <c r="B3236">
        <v>135</v>
      </c>
      <c r="C3236" t="s">
        <v>71</v>
      </c>
      <c r="D3236" t="s">
        <v>74</v>
      </c>
      <c r="E3236" t="s">
        <v>74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74</v>
      </c>
    </row>
    <row r="3237" spans="1:20" x14ac:dyDescent="0.3">
      <c r="A3237" t="s">
        <v>20</v>
      </c>
      <c r="B3237">
        <v>59</v>
      </c>
      <c r="C3237" t="s">
        <v>72</v>
      </c>
      <c r="D3237" t="s">
        <v>74</v>
      </c>
      <c r="E3237" t="s">
        <v>75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74</v>
      </c>
    </row>
    <row r="3238" spans="1:20" x14ac:dyDescent="0.3">
      <c r="A3238" t="s">
        <v>53</v>
      </c>
      <c r="B3238">
        <v>110</v>
      </c>
      <c r="C3238" t="s">
        <v>71</v>
      </c>
      <c r="D3238" t="s">
        <v>74</v>
      </c>
      <c r="E3238" t="s">
        <v>74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74</v>
      </c>
    </row>
    <row r="3239" spans="1:20" x14ac:dyDescent="0.3">
      <c r="A3239" t="s">
        <v>40</v>
      </c>
      <c r="B3239">
        <v>173</v>
      </c>
      <c r="C3239" t="s">
        <v>71</v>
      </c>
      <c r="D3239" t="s">
        <v>75</v>
      </c>
      <c r="E3239" t="s">
        <v>75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74</v>
      </c>
    </row>
    <row r="3240" spans="1:20" x14ac:dyDescent="0.3">
      <c r="A3240" t="s">
        <v>45</v>
      </c>
      <c r="B3240">
        <v>60</v>
      </c>
      <c r="C3240" t="s">
        <v>72</v>
      </c>
      <c r="D3240" t="s">
        <v>74</v>
      </c>
      <c r="E3240" t="s">
        <v>74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74</v>
      </c>
    </row>
    <row r="3241" spans="1:20" x14ac:dyDescent="0.3">
      <c r="A3241" t="s">
        <v>25</v>
      </c>
      <c r="B3241">
        <v>117</v>
      </c>
      <c r="C3241" t="s">
        <v>73</v>
      </c>
      <c r="D3241" t="s">
        <v>74</v>
      </c>
      <c r="E3241" t="s">
        <v>74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74</v>
      </c>
    </row>
    <row r="3242" spans="1:20" x14ac:dyDescent="0.3">
      <c r="A3242" t="s">
        <v>50</v>
      </c>
      <c r="B3242">
        <v>54</v>
      </c>
      <c r="C3242" t="s">
        <v>73</v>
      </c>
      <c r="D3242" t="s">
        <v>74</v>
      </c>
      <c r="E3242" t="s">
        <v>74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74</v>
      </c>
    </row>
    <row r="3243" spans="1:20" x14ac:dyDescent="0.3">
      <c r="A3243" t="s">
        <v>51</v>
      </c>
      <c r="B3243">
        <v>76</v>
      </c>
      <c r="C3243" t="s">
        <v>71</v>
      </c>
      <c r="D3243" t="s">
        <v>74</v>
      </c>
      <c r="E3243" t="s">
        <v>75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74</v>
      </c>
    </row>
    <row r="3244" spans="1:20" x14ac:dyDescent="0.3">
      <c r="A3244" t="s">
        <v>69</v>
      </c>
      <c r="B3244">
        <v>98</v>
      </c>
      <c r="C3244" t="s">
        <v>71</v>
      </c>
      <c r="D3244" t="s">
        <v>74</v>
      </c>
      <c r="E3244" t="s">
        <v>74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74</v>
      </c>
    </row>
    <row r="3245" spans="1:20" x14ac:dyDescent="0.3">
      <c r="A3245" t="s">
        <v>65</v>
      </c>
      <c r="B3245">
        <v>74</v>
      </c>
      <c r="C3245" t="s">
        <v>73</v>
      </c>
      <c r="D3245" t="s">
        <v>74</v>
      </c>
      <c r="E3245" t="s">
        <v>74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74</v>
      </c>
    </row>
    <row r="3246" spans="1:20" x14ac:dyDescent="0.3">
      <c r="A3246" t="s">
        <v>34</v>
      </c>
      <c r="B3246">
        <v>112</v>
      </c>
      <c r="C3246" t="s">
        <v>71</v>
      </c>
      <c r="D3246" t="s">
        <v>74</v>
      </c>
      <c r="E3246" t="s">
        <v>74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74</v>
      </c>
    </row>
    <row r="3247" spans="1:20" x14ac:dyDescent="0.3">
      <c r="A3247" t="s">
        <v>57</v>
      </c>
      <c r="B3247">
        <v>138</v>
      </c>
      <c r="C3247" t="s">
        <v>71</v>
      </c>
      <c r="D3247" t="s">
        <v>74</v>
      </c>
      <c r="E3247" t="s">
        <v>75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74</v>
      </c>
    </row>
    <row r="3248" spans="1:20" x14ac:dyDescent="0.3">
      <c r="A3248" t="s">
        <v>21</v>
      </c>
      <c r="B3248">
        <v>65</v>
      </c>
      <c r="C3248" t="s">
        <v>71</v>
      </c>
      <c r="D3248" t="s">
        <v>74</v>
      </c>
      <c r="E3248" t="s">
        <v>74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74</v>
      </c>
    </row>
    <row r="3249" spans="1:20" x14ac:dyDescent="0.3">
      <c r="A3249" t="s">
        <v>39</v>
      </c>
      <c r="B3249">
        <v>194</v>
      </c>
      <c r="C3249" t="s">
        <v>73</v>
      </c>
      <c r="D3249" t="s">
        <v>74</v>
      </c>
      <c r="E3249" t="s">
        <v>75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74</v>
      </c>
    </row>
    <row r="3250" spans="1:20" x14ac:dyDescent="0.3">
      <c r="A3250" t="s">
        <v>70</v>
      </c>
      <c r="B3250">
        <v>131</v>
      </c>
      <c r="C3250" t="s">
        <v>71</v>
      </c>
      <c r="D3250" t="s">
        <v>74</v>
      </c>
      <c r="E3250" t="s">
        <v>74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75</v>
      </c>
    </row>
    <row r="3251" spans="1:20" x14ac:dyDescent="0.3">
      <c r="A3251" t="s">
        <v>61</v>
      </c>
      <c r="B3251">
        <v>78</v>
      </c>
      <c r="C3251" t="s">
        <v>71</v>
      </c>
      <c r="D3251" t="s">
        <v>74</v>
      </c>
      <c r="E3251" t="s">
        <v>75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74</v>
      </c>
    </row>
    <row r="3252" spans="1:20" x14ac:dyDescent="0.3">
      <c r="A3252" t="s">
        <v>29</v>
      </c>
      <c r="B3252">
        <v>99</v>
      </c>
      <c r="C3252" t="s">
        <v>71</v>
      </c>
      <c r="D3252" t="s">
        <v>74</v>
      </c>
      <c r="E3252" t="s">
        <v>74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74</v>
      </c>
    </row>
    <row r="3253" spans="1:20" x14ac:dyDescent="0.3">
      <c r="A3253" t="s">
        <v>28</v>
      </c>
      <c r="B3253">
        <v>120</v>
      </c>
      <c r="C3253" t="s">
        <v>71</v>
      </c>
      <c r="D3253" t="s">
        <v>74</v>
      </c>
      <c r="E3253" t="s">
        <v>74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74</v>
      </c>
    </row>
    <row r="3254" spans="1:20" x14ac:dyDescent="0.3">
      <c r="A3254" t="s">
        <v>52</v>
      </c>
      <c r="B3254">
        <v>1</v>
      </c>
      <c r="C3254" t="s">
        <v>72</v>
      </c>
      <c r="D3254" t="s">
        <v>74</v>
      </c>
      <c r="E3254" t="s">
        <v>75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74</v>
      </c>
    </row>
    <row r="3255" spans="1:20" x14ac:dyDescent="0.3">
      <c r="A3255" t="s">
        <v>42</v>
      </c>
      <c r="B3255">
        <v>94</v>
      </c>
      <c r="C3255" t="s">
        <v>71</v>
      </c>
      <c r="D3255" t="s">
        <v>74</v>
      </c>
      <c r="E3255" t="s">
        <v>74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74</v>
      </c>
    </row>
    <row r="3256" spans="1:20" x14ac:dyDescent="0.3">
      <c r="A3256" t="s">
        <v>37</v>
      </c>
      <c r="B3256">
        <v>178</v>
      </c>
      <c r="C3256" t="s">
        <v>73</v>
      </c>
      <c r="D3256" t="s">
        <v>74</v>
      </c>
      <c r="E3256" t="s">
        <v>75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75</v>
      </c>
    </row>
    <row r="3257" spans="1:20" x14ac:dyDescent="0.3">
      <c r="A3257" t="s">
        <v>65</v>
      </c>
      <c r="B3257">
        <v>136</v>
      </c>
      <c r="C3257" t="s">
        <v>72</v>
      </c>
      <c r="D3257" t="s">
        <v>74</v>
      </c>
      <c r="E3257" t="s">
        <v>74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75</v>
      </c>
    </row>
    <row r="3258" spans="1:20" x14ac:dyDescent="0.3">
      <c r="A3258" t="s">
        <v>64</v>
      </c>
      <c r="B3258">
        <v>86</v>
      </c>
      <c r="C3258" t="s">
        <v>71</v>
      </c>
      <c r="D3258" t="s">
        <v>74</v>
      </c>
      <c r="E3258" t="s">
        <v>75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74</v>
      </c>
    </row>
    <row r="3259" spans="1:20" x14ac:dyDescent="0.3">
      <c r="A3259" t="s">
        <v>20</v>
      </c>
      <c r="B3259">
        <v>18</v>
      </c>
      <c r="C3259" t="s">
        <v>72</v>
      </c>
      <c r="D3259" t="s">
        <v>74</v>
      </c>
      <c r="E3259" t="s">
        <v>74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74</v>
      </c>
    </row>
    <row r="3260" spans="1:20" x14ac:dyDescent="0.3">
      <c r="A3260" t="s">
        <v>33</v>
      </c>
      <c r="B3260">
        <v>49</v>
      </c>
      <c r="C3260" t="s">
        <v>71</v>
      </c>
      <c r="D3260" t="s">
        <v>74</v>
      </c>
      <c r="E3260" t="s">
        <v>74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74</v>
      </c>
    </row>
    <row r="3261" spans="1:20" x14ac:dyDescent="0.3">
      <c r="A3261" t="s">
        <v>61</v>
      </c>
      <c r="B3261">
        <v>20</v>
      </c>
      <c r="C3261" t="s">
        <v>71</v>
      </c>
      <c r="D3261" t="s">
        <v>74</v>
      </c>
      <c r="E3261" t="s">
        <v>75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74</v>
      </c>
    </row>
    <row r="3262" spans="1:20" x14ac:dyDescent="0.3">
      <c r="A3262" t="s">
        <v>51</v>
      </c>
      <c r="B3262">
        <v>131</v>
      </c>
      <c r="C3262" t="s">
        <v>71</v>
      </c>
      <c r="D3262" t="s">
        <v>74</v>
      </c>
      <c r="E3262" t="s">
        <v>75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74</v>
      </c>
    </row>
    <row r="3263" spans="1:20" x14ac:dyDescent="0.3">
      <c r="A3263" t="s">
        <v>44</v>
      </c>
      <c r="B3263">
        <v>99</v>
      </c>
      <c r="C3263" t="s">
        <v>73</v>
      </c>
      <c r="D3263" t="s">
        <v>74</v>
      </c>
      <c r="E3263" t="s">
        <v>74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74</v>
      </c>
    </row>
    <row r="3264" spans="1:20" x14ac:dyDescent="0.3">
      <c r="A3264" t="s">
        <v>29</v>
      </c>
      <c r="B3264">
        <v>61</v>
      </c>
      <c r="C3264" t="s">
        <v>71</v>
      </c>
      <c r="D3264" t="s">
        <v>74</v>
      </c>
      <c r="E3264" t="s">
        <v>74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74</v>
      </c>
    </row>
    <row r="3265" spans="1:20" x14ac:dyDescent="0.3">
      <c r="A3265" t="s">
        <v>45</v>
      </c>
      <c r="B3265">
        <v>137</v>
      </c>
      <c r="C3265" t="s">
        <v>71</v>
      </c>
      <c r="D3265" t="s">
        <v>74</v>
      </c>
      <c r="E3265" t="s">
        <v>74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74</v>
      </c>
    </row>
    <row r="3266" spans="1:20" x14ac:dyDescent="0.3">
      <c r="A3266" t="s">
        <v>41</v>
      </c>
      <c r="B3266">
        <v>49</v>
      </c>
      <c r="C3266" t="s">
        <v>72</v>
      </c>
      <c r="D3266" t="s">
        <v>74</v>
      </c>
      <c r="E3266" t="s">
        <v>75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74</v>
      </c>
    </row>
    <row r="3267" spans="1:20" x14ac:dyDescent="0.3">
      <c r="A3267" t="s">
        <v>36</v>
      </c>
      <c r="B3267">
        <v>83</v>
      </c>
      <c r="C3267" t="s">
        <v>73</v>
      </c>
      <c r="D3267" t="s">
        <v>74</v>
      </c>
      <c r="E3267" t="s">
        <v>74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74</v>
      </c>
    </row>
    <row r="3268" spans="1:20" x14ac:dyDescent="0.3">
      <c r="A3268" t="s">
        <v>39</v>
      </c>
      <c r="B3268">
        <v>105</v>
      </c>
      <c r="C3268" t="s">
        <v>73</v>
      </c>
      <c r="D3268" t="s">
        <v>74</v>
      </c>
      <c r="E3268" t="s">
        <v>74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74</v>
      </c>
    </row>
    <row r="3269" spans="1:20" x14ac:dyDescent="0.3">
      <c r="A3269" t="s">
        <v>62</v>
      </c>
      <c r="B3269">
        <v>90</v>
      </c>
      <c r="C3269" t="s">
        <v>73</v>
      </c>
      <c r="D3269" t="s">
        <v>74</v>
      </c>
      <c r="E3269" t="s">
        <v>74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75</v>
      </c>
    </row>
    <row r="3270" spans="1:20" x14ac:dyDescent="0.3">
      <c r="A3270" t="s">
        <v>21</v>
      </c>
      <c r="B3270">
        <v>111</v>
      </c>
      <c r="C3270" t="s">
        <v>71</v>
      </c>
      <c r="D3270" t="s">
        <v>74</v>
      </c>
      <c r="E3270" t="s">
        <v>74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74</v>
      </c>
    </row>
    <row r="3271" spans="1:20" x14ac:dyDescent="0.3">
      <c r="A3271" t="s">
        <v>60</v>
      </c>
      <c r="B3271">
        <v>135</v>
      </c>
      <c r="C3271" t="s">
        <v>73</v>
      </c>
      <c r="D3271" t="s">
        <v>74</v>
      </c>
      <c r="E3271" t="s">
        <v>74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74</v>
      </c>
    </row>
    <row r="3272" spans="1:20" x14ac:dyDescent="0.3">
      <c r="A3272" t="s">
        <v>55</v>
      </c>
      <c r="B3272">
        <v>121</v>
      </c>
      <c r="C3272" t="s">
        <v>71</v>
      </c>
      <c r="D3272" t="s">
        <v>74</v>
      </c>
      <c r="E3272" t="s">
        <v>75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74</v>
      </c>
    </row>
    <row r="3273" spans="1:20" x14ac:dyDescent="0.3">
      <c r="A3273" t="s">
        <v>64</v>
      </c>
      <c r="B3273">
        <v>57</v>
      </c>
      <c r="C3273" t="s">
        <v>71</v>
      </c>
      <c r="D3273" t="s">
        <v>75</v>
      </c>
      <c r="E3273" t="s">
        <v>74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74</v>
      </c>
    </row>
    <row r="3274" spans="1:20" x14ac:dyDescent="0.3">
      <c r="A3274" t="s">
        <v>57</v>
      </c>
      <c r="B3274">
        <v>63</v>
      </c>
      <c r="C3274" t="s">
        <v>71</v>
      </c>
      <c r="D3274" t="s">
        <v>74</v>
      </c>
      <c r="E3274" t="s">
        <v>74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75</v>
      </c>
    </row>
    <row r="3275" spans="1:20" x14ac:dyDescent="0.3">
      <c r="A3275" t="s">
        <v>28</v>
      </c>
      <c r="B3275">
        <v>97</v>
      </c>
      <c r="C3275" t="s">
        <v>71</v>
      </c>
      <c r="D3275" t="s">
        <v>74</v>
      </c>
      <c r="E3275" t="s">
        <v>74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74</v>
      </c>
    </row>
    <row r="3276" spans="1:20" x14ac:dyDescent="0.3">
      <c r="A3276" t="s">
        <v>44</v>
      </c>
      <c r="B3276">
        <v>134</v>
      </c>
      <c r="C3276" t="s">
        <v>73</v>
      </c>
      <c r="D3276" t="s">
        <v>74</v>
      </c>
      <c r="E3276" t="s">
        <v>75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74</v>
      </c>
    </row>
    <row r="3277" spans="1:20" x14ac:dyDescent="0.3">
      <c r="A3277" t="s">
        <v>59</v>
      </c>
      <c r="B3277">
        <v>57</v>
      </c>
      <c r="C3277" t="s">
        <v>72</v>
      </c>
      <c r="D3277" t="s">
        <v>74</v>
      </c>
      <c r="E3277" t="s">
        <v>75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74</v>
      </c>
    </row>
    <row r="3278" spans="1:20" x14ac:dyDescent="0.3">
      <c r="A3278" t="s">
        <v>44</v>
      </c>
      <c r="B3278">
        <v>109</v>
      </c>
      <c r="C3278" t="s">
        <v>71</v>
      </c>
      <c r="D3278" t="s">
        <v>75</v>
      </c>
      <c r="E3278" t="s">
        <v>74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74</v>
      </c>
    </row>
    <row r="3279" spans="1:20" x14ac:dyDescent="0.3">
      <c r="A3279" t="s">
        <v>25</v>
      </c>
      <c r="B3279">
        <v>66</v>
      </c>
      <c r="C3279" t="s">
        <v>71</v>
      </c>
      <c r="D3279" t="s">
        <v>74</v>
      </c>
      <c r="E3279" t="s">
        <v>75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74</v>
      </c>
    </row>
    <row r="3280" spans="1:20" x14ac:dyDescent="0.3">
      <c r="A3280" t="s">
        <v>27</v>
      </c>
      <c r="B3280">
        <v>162</v>
      </c>
      <c r="C3280" t="s">
        <v>73</v>
      </c>
      <c r="D3280" t="s">
        <v>74</v>
      </c>
      <c r="E3280" t="s">
        <v>75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74</v>
      </c>
    </row>
    <row r="3281" spans="1:20" x14ac:dyDescent="0.3">
      <c r="A3281" t="s">
        <v>66</v>
      </c>
      <c r="B3281">
        <v>115</v>
      </c>
      <c r="C3281" t="s">
        <v>71</v>
      </c>
      <c r="D3281" t="s">
        <v>74</v>
      </c>
      <c r="E3281" t="s">
        <v>75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74</v>
      </c>
    </row>
    <row r="3282" spans="1:20" x14ac:dyDescent="0.3">
      <c r="A3282" t="s">
        <v>67</v>
      </c>
      <c r="B3282">
        <v>132</v>
      </c>
      <c r="C3282" t="s">
        <v>71</v>
      </c>
      <c r="D3282" t="s">
        <v>74</v>
      </c>
      <c r="E3282" t="s">
        <v>74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74</v>
      </c>
    </row>
    <row r="3283" spans="1:20" x14ac:dyDescent="0.3">
      <c r="A3283" t="s">
        <v>44</v>
      </c>
      <c r="B3283">
        <v>152</v>
      </c>
      <c r="C3283" t="s">
        <v>71</v>
      </c>
      <c r="D3283" t="s">
        <v>74</v>
      </c>
      <c r="E3283" t="s">
        <v>74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74</v>
      </c>
    </row>
    <row r="3284" spans="1:20" x14ac:dyDescent="0.3">
      <c r="A3284" t="s">
        <v>63</v>
      </c>
      <c r="B3284">
        <v>86</v>
      </c>
      <c r="C3284" t="s">
        <v>71</v>
      </c>
      <c r="D3284" t="s">
        <v>74</v>
      </c>
      <c r="E3284" t="s">
        <v>75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74</v>
      </c>
    </row>
    <row r="3285" spans="1:20" x14ac:dyDescent="0.3">
      <c r="A3285" t="s">
        <v>43</v>
      </c>
      <c r="B3285">
        <v>36</v>
      </c>
      <c r="C3285" t="s">
        <v>71</v>
      </c>
      <c r="D3285" t="s">
        <v>74</v>
      </c>
      <c r="E3285" t="s">
        <v>74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74</v>
      </c>
    </row>
    <row r="3286" spans="1:20" x14ac:dyDescent="0.3">
      <c r="A3286" t="s">
        <v>32</v>
      </c>
      <c r="B3286">
        <v>118</v>
      </c>
      <c r="C3286" t="s">
        <v>71</v>
      </c>
      <c r="D3286" t="s">
        <v>74</v>
      </c>
      <c r="E3286" t="s">
        <v>74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74</v>
      </c>
    </row>
    <row r="3287" spans="1:20" x14ac:dyDescent="0.3">
      <c r="A3287" t="s">
        <v>67</v>
      </c>
      <c r="B3287">
        <v>137</v>
      </c>
      <c r="C3287" t="s">
        <v>72</v>
      </c>
      <c r="D3287" t="s">
        <v>74</v>
      </c>
      <c r="E3287" t="s">
        <v>75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74</v>
      </c>
    </row>
    <row r="3288" spans="1:20" x14ac:dyDescent="0.3">
      <c r="A3288" t="s">
        <v>28</v>
      </c>
      <c r="B3288">
        <v>67</v>
      </c>
      <c r="C3288" t="s">
        <v>71</v>
      </c>
      <c r="D3288" t="s">
        <v>74</v>
      </c>
      <c r="E3288" t="s">
        <v>74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74</v>
      </c>
    </row>
    <row r="3289" spans="1:20" x14ac:dyDescent="0.3">
      <c r="A3289" t="s">
        <v>40</v>
      </c>
      <c r="B3289">
        <v>164</v>
      </c>
      <c r="C3289" t="s">
        <v>71</v>
      </c>
      <c r="D3289" t="s">
        <v>74</v>
      </c>
      <c r="E3289" t="s">
        <v>74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74</v>
      </c>
    </row>
    <row r="3290" spans="1:20" x14ac:dyDescent="0.3">
      <c r="A3290" t="s">
        <v>42</v>
      </c>
      <c r="B3290">
        <v>180</v>
      </c>
      <c r="C3290" t="s">
        <v>72</v>
      </c>
      <c r="D3290" t="s">
        <v>74</v>
      </c>
      <c r="E3290" t="s">
        <v>74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74</v>
      </c>
    </row>
    <row r="3291" spans="1:20" x14ac:dyDescent="0.3">
      <c r="A3291" t="s">
        <v>22</v>
      </c>
      <c r="B3291">
        <v>80</v>
      </c>
      <c r="C3291" t="s">
        <v>73</v>
      </c>
      <c r="D3291" t="s">
        <v>74</v>
      </c>
      <c r="E3291" t="s">
        <v>75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74</v>
      </c>
    </row>
    <row r="3292" spans="1:20" x14ac:dyDescent="0.3">
      <c r="A3292" t="s">
        <v>33</v>
      </c>
      <c r="B3292">
        <v>126</v>
      </c>
      <c r="C3292" t="s">
        <v>71</v>
      </c>
      <c r="D3292" t="s">
        <v>74</v>
      </c>
      <c r="E3292" t="s">
        <v>74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74</v>
      </c>
    </row>
    <row r="3293" spans="1:20" x14ac:dyDescent="0.3">
      <c r="A3293" t="s">
        <v>53</v>
      </c>
      <c r="B3293">
        <v>138</v>
      </c>
      <c r="C3293" t="s">
        <v>73</v>
      </c>
      <c r="D3293" t="s">
        <v>74</v>
      </c>
      <c r="E3293" t="s">
        <v>74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74</v>
      </c>
    </row>
    <row r="3294" spans="1:20" x14ac:dyDescent="0.3">
      <c r="A3294" t="s">
        <v>36</v>
      </c>
      <c r="B3294">
        <v>101</v>
      </c>
      <c r="C3294" t="s">
        <v>73</v>
      </c>
      <c r="D3294" t="s">
        <v>74</v>
      </c>
      <c r="E3294" t="s">
        <v>74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74</v>
      </c>
    </row>
    <row r="3295" spans="1:20" x14ac:dyDescent="0.3">
      <c r="A3295" t="s">
        <v>38</v>
      </c>
      <c r="B3295">
        <v>147</v>
      </c>
      <c r="C3295" t="s">
        <v>73</v>
      </c>
      <c r="D3295" t="s">
        <v>74</v>
      </c>
      <c r="E3295" t="s">
        <v>74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74</v>
      </c>
    </row>
    <row r="3296" spans="1:20" x14ac:dyDescent="0.3">
      <c r="A3296" t="s">
        <v>50</v>
      </c>
      <c r="B3296">
        <v>58</v>
      </c>
      <c r="C3296" t="s">
        <v>73</v>
      </c>
      <c r="D3296" t="s">
        <v>74</v>
      </c>
      <c r="E3296" t="s">
        <v>74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74</v>
      </c>
    </row>
    <row r="3297" spans="1:20" x14ac:dyDescent="0.3">
      <c r="A3297" t="s">
        <v>51</v>
      </c>
      <c r="B3297">
        <v>35</v>
      </c>
      <c r="C3297" t="s">
        <v>72</v>
      </c>
      <c r="D3297" t="s">
        <v>74</v>
      </c>
      <c r="E3297" t="s">
        <v>75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74</v>
      </c>
    </row>
    <row r="3298" spans="1:20" x14ac:dyDescent="0.3">
      <c r="A3298" t="s">
        <v>46</v>
      </c>
      <c r="B3298">
        <v>163</v>
      </c>
      <c r="C3298" t="s">
        <v>71</v>
      </c>
      <c r="D3298" t="s">
        <v>74</v>
      </c>
      <c r="E3298" t="s">
        <v>75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74</v>
      </c>
    </row>
    <row r="3299" spans="1:20" x14ac:dyDescent="0.3">
      <c r="A3299" t="s">
        <v>35</v>
      </c>
      <c r="B3299">
        <v>152</v>
      </c>
      <c r="C3299" t="s">
        <v>72</v>
      </c>
      <c r="D3299" t="s">
        <v>74</v>
      </c>
      <c r="E3299" t="s">
        <v>74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75</v>
      </c>
    </row>
    <row r="3300" spans="1:20" x14ac:dyDescent="0.3">
      <c r="A3300" t="s">
        <v>65</v>
      </c>
      <c r="B3300">
        <v>44</v>
      </c>
      <c r="C3300" t="s">
        <v>73</v>
      </c>
      <c r="D3300" t="s">
        <v>74</v>
      </c>
      <c r="E3300" t="s">
        <v>74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74</v>
      </c>
    </row>
    <row r="3301" spans="1:20" x14ac:dyDescent="0.3">
      <c r="A3301" t="s">
        <v>52</v>
      </c>
      <c r="B3301">
        <v>103</v>
      </c>
      <c r="C3301" t="s">
        <v>73</v>
      </c>
      <c r="D3301" t="s">
        <v>74</v>
      </c>
      <c r="E3301" t="s">
        <v>74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74</v>
      </c>
    </row>
    <row r="3302" spans="1:20" x14ac:dyDescent="0.3">
      <c r="A3302" t="s">
        <v>55</v>
      </c>
      <c r="B3302">
        <v>126</v>
      </c>
      <c r="C3302" t="s">
        <v>72</v>
      </c>
      <c r="D3302" t="s">
        <v>74</v>
      </c>
      <c r="E3302" t="s">
        <v>74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74</v>
      </c>
    </row>
    <row r="3303" spans="1:20" x14ac:dyDescent="0.3">
      <c r="A3303" t="s">
        <v>20</v>
      </c>
      <c r="B3303">
        <v>104</v>
      </c>
      <c r="C3303" t="s">
        <v>73</v>
      </c>
      <c r="D3303" t="s">
        <v>74</v>
      </c>
      <c r="E3303" t="s">
        <v>74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74</v>
      </c>
    </row>
    <row r="3304" spans="1:20" x14ac:dyDescent="0.3">
      <c r="A3304" t="s">
        <v>62</v>
      </c>
      <c r="B3304">
        <v>99</v>
      </c>
      <c r="C3304" t="s">
        <v>73</v>
      </c>
      <c r="D3304" t="s">
        <v>74</v>
      </c>
      <c r="E3304" t="s">
        <v>75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74</v>
      </c>
    </row>
    <row r="3305" spans="1:20" x14ac:dyDescent="0.3">
      <c r="A3305" t="s">
        <v>46</v>
      </c>
      <c r="B3305">
        <v>119</v>
      </c>
      <c r="C3305" t="s">
        <v>73</v>
      </c>
      <c r="D3305" t="s">
        <v>74</v>
      </c>
      <c r="E3305" t="s">
        <v>74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74</v>
      </c>
    </row>
    <row r="3306" spans="1:20" x14ac:dyDescent="0.3">
      <c r="A3306" t="s">
        <v>70</v>
      </c>
      <c r="B3306">
        <v>155</v>
      </c>
      <c r="C3306" t="s">
        <v>72</v>
      </c>
      <c r="D3306" t="s">
        <v>75</v>
      </c>
      <c r="E3306" t="s">
        <v>75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75</v>
      </c>
    </row>
    <row r="3307" spans="1:20" x14ac:dyDescent="0.3">
      <c r="A3307" t="s">
        <v>20</v>
      </c>
      <c r="B3307">
        <v>51</v>
      </c>
      <c r="C3307" t="s">
        <v>71</v>
      </c>
      <c r="D3307" t="s">
        <v>74</v>
      </c>
      <c r="E3307" t="s">
        <v>75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74</v>
      </c>
    </row>
    <row r="3308" spans="1:20" x14ac:dyDescent="0.3">
      <c r="A3308" t="s">
        <v>43</v>
      </c>
      <c r="B3308">
        <v>142</v>
      </c>
      <c r="C3308" t="s">
        <v>72</v>
      </c>
      <c r="D3308" t="s">
        <v>74</v>
      </c>
      <c r="E3308" t="s">
        <v>74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74</v>
      </c>
    </row>
    <row r="3309" spans="1:20" x14ac:dyDescent="0.3">
      <c r="A3309" t="s">
        <v>29</v>
      </c>
      <c r="B3309">
        <v>108</v>
      </c>
      <c r="C3309" t="s">
        <v>71</v>
      </c>
      <c r="D3309" t="s">
        <v>74</v>
      </c>
      <c r="E3309" t="s">
        <v>74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74</v>
      </c>
    </row>
    <row r="3310" spans="1:20" x14ac:dyDescent="0.3">
      <c r="A3310" t="s">
        <v>61</v>
      </c>
      <c r="B3310">
        <v>154</v>
      </c>
      <c r="C3310" t="s">
        <v>71</v>
      </c>
      <c r="D3310" t="s">
        <v>74</v>
      </c>
      <c r="E3310" t="s">
        <v>75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74</v>
      </c>
    </row>
    <row r="3311" spans="1:20" x14ac:dyDescent="0.3">
      <c r="A3311" t="s">
        <v>21</v>
      </c>
      <c r="B3311">
        <v>171</v>
      </c>
      <c r="C3311" t="s">
        <v>72</v>
      </c>
      <c r="D3311" t="s">
        <v>74</v>
      </c>
      <c r="E3311" t="s">
        <v>74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74</v>
      </c>
    </row>
    <row r="3312" spans="1:20" x14ac:dyDescent="0.3">
      <c r="A3312" t="s">
        <v>20</v>
      </c>
      <c r="B3312">
        <v>33</v>
      </c>
      <c r="C3312" t="s">
        <v>71</v>
      </c>
      <c r="D3312" t="s">
        <v>74</v>
      </c>
      <c r="E3312" t="s">
        <v>74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74</v>
      </c>
    </row>
    <row r="3313" spans="1:20" x14ac:dyDescent="0.3">
      <c r="A3313" t="s">
        <v>54</v>
      </c>
      <c r="B3313">
        <v>68</v>
      </c>
      <c r="C3313" t="s">
        <v>72</v>
      </c>
      <c r="D3313" t="s">
        <v>75</v>
      </c>
      <c r="E3313" t="s">
        <v>74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75</v>
      </c>
    </row>
    <row r="3314" spans="1:20" x14ac:dyDescent="0.3">
      <c r="A3314" t="s">
        <v>30</v>
      </c>
      <c r="B3314">
        <v>65</v>
      </c>
      <c r="C3314" t="s">
        <v>71</v>
      </c>
      <c r="D3314" t="s">
        <v>74</v>
      </c>
      <c r="E3314" t="s">
        <v>75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74</v>
      </c>
    </row>
    <row r="3315" spans="1:20" x14ac:dyDescent="0.3">
      <c r="A3315" t="s">
        <v>68</v>
      </c>
      <c r="B3315">
        <v>95</v>
      </c>
      <c r="C3315" t="s">
        <v>71</v>
      </c>
      <c r="D3315" t="s">
        <v>74</v>
      </c>
      <c r="E3315" t="s">
        <v>75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74</v>
      </c>
    </row>
    <row r="3316" spans="1:20" x14ac:dyDescent="0.3">
      <c r="A3316" t="s">
        <v>29</v>
      </c>
      <c r="B3316">
        <v>47</v>
      </c>
      <c r="C3316" t="s">
        <v>71</v>
      </c>
      <c r="D3316" t="s">
        <v>74</v>
      </c>
      <c r="E3316" t="s">
        <v>75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74</v>
      </c>
    </row>
    <row r="3317" spans="1:20" x14ac:dyDescent="0.3">
      <c r="A3317" t="s">
        <v>51</v>
      </c>
      <c r="B3317">
        <v>49</v>
      </c>
      <c r="C3317" t="s">
        <v>71</v>
      </c>
      <c r="D3317" t="s">
        <v>74</v>
      </c>
      <c r="E3317" t="s">
        <v>75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74</v>
      </c>
    </row>
    <row r="3318" spans="1:20" x14ac:dyDescent="0.3">
      <c r="A3318" t="s">
        <v>35</v>
      </c>
      <c r="B3318">
        <v>104</v>
      </c>
      <c r="C3318" t="s">
        <v>71</v>
      </c>
      <c r="D3318" t="s">
        <v>74</v>
      </c>
      <c r="E3318" t="s">
        <v>74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74</v>
      </c>
    </row>
    <row r="3319" spans="1:20" x14ac:dyDescent="0.3">
      <c r="A3319" t="s">
        <v>62</v>
      </c>
      <c r="B3319">
        <v>173</v>
      </c>
      <c r="C3319" t="s">
        <v>73</v>
      </c>
      <c r="D3319" t="s">
        <v>74</v>
      </c>
      <c r="E3319" t="s">
        <v>74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74</v>
      </c>
    </row>
    <row r="3320" spans="1:20" x14ac:dyDescent="0.3">
      <c r="A3320" t="s">
        <v>31</v>
      </c>
      <c r="B3320">
        <v>98</v>
      </c>
      <c r="C3320" t="s">
        <v>71</v>
      </c>
      <c r="D3320" t="s">
        <v>75</v>
      </c>
      <c r="E3320" t="s">
        <v>75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74</v>
      </c>
    </row>
    <row r="3321" spans="1:20" x14ac:dyDescent="0.3">
      <c r="A3321" t="s">
        <v>51</v>
      </c>
      <c r="B3321">
        <v>81</v>
      </c>
      <c r="C3321" t="s">
        <v>71</v>
      </c>
      <c r="D3321" t="s">
        <v>74</v>
      </c>
      <c r="E3321" t="s">
        <v>74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74</v>
      </c>
    </row>
    <row r="3322" spans="1:20" x14ac:dyDescent="0.3">
      <c r="A3322" t="s">
        <v>48</v>
      </c>
      <c r="B3322">
        <v>63</v>
      </c>
      <c r="C3322" t="s">
        <v>71</v>
      </c>
      <c r="D3322" t="s">
        <v>74</v>
      </c>
      <c r="E3322" t="s">
        <v>75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74</v>
      </c>
    </row>
    <row r="3323" spans="1:20" x14ac:dyDescent="0.3">
      <c r="A3323" t="s">
        <v>51</v>
      </c>
      <c r="B3323">
        <v>32</v>
      </c>
      <c r="C3323" t="s">
        <v>71</v>
      </c>
      <c r="D3323" t="s">
        <v>74</v>
      </c>
      <c r="E3323" t="s">
        <v>74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74</v>
      </c>
    </row>
    <row r="3324" spans="1:20" x14ac:dyDescent="0.3">
      <c r="A3324" t="s">
        <v>66</v>
      </c>
      <c r="B3324">
        <v>111</v>
      </c>
      <c r="C3324" t="s">
        <v>71</v>
      </c>
      <c r="D3324" t="s">
        <v>74</v>
      </c>
      <c r="E3324" t="s">
        <v>74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74</v>
      </c>
    </row>
    <row r="3325" spans="1:20" x14ac:dyDescent="0.3">
      <c r="A3325" t="s">
        <v>49</v>
      </c>
      <c r="B3325">
        <v>96</v>
      </c>
      <c r="C3325" t="s">
        <v>71</v>
      </c>
      <c r="D3325" t="s">
        <v>74</v>
      </c>
      <c r="E3325" t="s">
        <v>74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74</v>
      </c>
    </row>
    <row r="3326" spans="1:20" x14ac:dyDescent="0.3">
      <c r="A3326" t="s">
        <v>52</v>
      </c>
      <c r="B3326">
        <v>79</v>
      </c>
      <c r="C3326" t="s">
        <v>71</v>
      </c>
      <c r="D3326" t="s">
        <v>74</v>
      </c>
      <c r="E3326" t="s">
        <v>74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74</v>
      </c>
    </row>
    <row r="3327" spans="1:20" x14ac:dyDescent="0.3">
      <c r="A3327" t="s">
        <v>61</v>
      </c>
      <c r="B3327">
        <v>123</v>
      </c>
      <c r="C3327" t="s">
        <v>72</v>
      </c>
      <c r="D3327" t="s">
        <v>74</v>
      </c>
      <c r="E3327" t="s">
        <v>74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75</v>
      </c>
    </row>
    <row r="3328" spans="1:20" x14ac:dyDescent="0.3">
      <c r="A3328" t="s">
        <v>51</v>
      </c>
      <c r="B3328">
        <v>88</v>
      </c>
      <c r="C3328" t="s">
        <v>71</v>
      </c>
      <c r="D3328" t="s">
        <v>74</v>
      </c>
      <c r="E3328" t="s">
        <v>74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75</v>
      </c>
    </row>
    <row r="3329" spans="1:20" x14ac:dyDescent="0.3">
      <c r="A3329" t="s">
        <v>50</v>
      </c>
      <c r="B3329">
        <v>182</v>
      </c>
      <c r="C3329" t="s">
        <v>73</v>
      </c>
      <c r="D3329" t="s">
        <v>74</v>
      </c>
      <c r="E3329" t="s">
        <v>75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74</v>
      </c>
    </row>
    <row r="3330" spans="1:20" x14ac:dyDescent="0.3">
      <c r="A3330" t="s">
        <v>21</v>
      </c>
      <c r="B3330">
        <v>109</v>
      </c>
      <c r="C3330" t="s">
        <v>71</v>
      </c>
      <c r="D3330" t="s">
        <v>74</v>
      </c>
      <c r="E3330" t="s">
        <v>74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74</v>
      </c>
    </row>
    <row r="3331" spans="1:20" x14ac:dyDescent="0.3">
      <c r="A3331" t="s">
        <v>22</v>
      </c>
      <c r="B3331">
        <v>79</v>
      </c>
      <c r="C3331" t="s">
        <v>71</v>
      </c>
      <c r="D3331" t="s">
        <v>74</v>
      </c>
      <c r="E3331" t="s">
        <v>75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74</v>
      </c>
    </row>
    <row r="3332" spans="1:20" x14ac:dyDescent="0.3">
      <c r="A3332" t="s">
        <v>50</v>
      </c>
      <c r="B3332">
        <v>68</v>
      </c>
      <c r="C3332" t="s">
        <v>71</v>
      </c>
      <c r="D3332" t="s">
        <v>74</v>
      </c>
      <c r="E3332" t="s">
        <v>75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74</v>
      </c>
    </row>
    <row r="3333" spans="1:20" x14ac:dyDescent="0.3">
      <c r="A3333" t="s">
        <v>68</v>
      </c>
      <c r="B3333">
        <v>70</v>
      </c>
      <c r="C3333" t="s">
        <v>71</v>
      </c>
      <c r="D3333" t="s">
        <v>74</v>
      </c>
      <c r="E3333" t="s">
        <v>74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74</v>
      </c>
    </row>
    <row r="3334" spans="1:20" x14ac:dyDescent="0.3">
      <c r="A3334" t="s">
        <v>30</v>
      </c>
      <c r="B3334">
        <v>44</v>
      </c>
      <c r="C3334" t="s">
        <v>71</v>
      </c>
      <c r="D3334" t="s">
        <v>74</v>
      </c>
      <c r="E3334" t="s">
        <v>75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74</v>
      </c>
    </row>
    <row r="3335" spans="1:20" x14ac:dyDescent="0.3">
      <c r="A3335" t="s">
        <v>36</v>
      </c>
      <c r="B3335">
        <v>113</v>
      </c>
      <c r="C3335" t="s">
        <v>72</v>
      </c>
      <c r="D3335" t="s">
        <v>74</v>
      </c>
      <c r="E3335" t="s">
        <v>74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74</v>
      </c>
    </row>
    <row r="3336" spans="1:20" x14ac:dyDescent="0.3">
      <c r="A3336" t="s">
        <v>42</v>
      </c>
      <c r="B3336">
        <v>86</v>
      </c>
      <c r="C3336" t="s">
        <v>72</v>
      </c>
      <c r="D3336" t="s">
        <v>75</v>
      </c>
      <c r="E3336" t="s">
        <v>75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74</v>
      </c>
    </row>
    <row r="3337" spans="1:20" x14ac:dyDescent="0.3">
      <c r="A3337" t="s">
        <v>46</v>
      </c>
      <c r="B3337">
        <v>59</v>
      </c>
      <c r="C3337" t="s">
        <v>71</v>
      </c>
      <c r="D3337" t="s">
        <v>74</v>
      </c>
      <c r="E3337" t="s">
        <v>74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74</v>
      </c>
    </row>
    <row r="3338" spans="1:20" x14ac:dyDescent="0.3">
      <c r="A3338" t="s">
        <v>28</v>
      </c>
      <c r="B3338">
        <v>112</v>
      </c>
      <c r="C3338" t="s">
        <v>72</v>
      </c>
      <c r="D3338" t="s">
        <v>74</v>
      </c>
      <c r="E3338" t="s">
        <v>75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74</v>
      </c>
    </row>
    <row r="3339" spans="1:20" x14ac:dyDescent="0.3">
      <c r="A3339" t="s">
        <v>36</v>
      </c>
      <c r="B3339">
        <v>152</v>
      </c>
      <c r="C3339" t="s">
        <v>73</v>
      </c>
      <c r="D3339" t="s">
        <v>74</v>
      </c>
      <c r="E3339" t="s">
        <v>74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74</v>
      </c>
    </row>
    <row r="3340" spans="1:20" x14ac:dyDescent="0.3">
      <c r="A3340" t="s">
        <v>27</v>
      </c>
      <c r="B3340">
        <v>108</v>
      </c>
      <c r="C3340" t="s">
        <v>71</v>
      </c>
      <c r="D3340" t="s">
        <v>74</v>
      </c>
      <c r="E3340" t="s">
        <v>75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74</v>
      </c>
    </row>
    <row r="3341" spans="1:20" x14ac:dyDescent="0.3">
      <c r="A3341" t="s">
        <v>35</v>
      </c>
      <c r="B3341">
        <v>91</v>
      </c>
      <c r="C3341" t="s">
        <v>72</v>
      </c>
      <c r="D3341" t="s">
        <v>74</v>
      </c>
      <c r="E3341" t="s">
        <v>74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74</v>
      </c>
    </row>
    <row r="3342" spans="1:20" x14ac:dyDescent="0.3">
      <c r="A3342" t="s">
        <v>62</v>
      </c>
      <c r="B3342">
        <v>57</v>
      </c>
      <c r="C3342" t="s">
        <v>71</v>
      </c>
      <c r="D3342" t="s">
        <v>74</v>
      </c>
      <c r="E3342" t="s">
        <v>75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74</v>
      </c>
    </row>
    <row r="3343" spans="1:20" x14ac:dyDescent="0.3">
      <c r="A3343" t="s">
        <v>65</v>
      </c>
      <c r="B3343">
        <v>112</v>
      </c>
      <c r="C3343" t="s">
        <v>73</v>
      </c>
      <c r="D3343" t="s">
        <v>74</v>
      </c>
      <c r="E3343" t="s">
        <v>74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74</v>
      </c>
    </row>
    <row r="3344" spans="1:20" x14ac:dyDescent="0.3">
      <c r="A3344" t="s">
        <v>58</v>
      </c>
      <c r="B3344">
        <v>100</v>
      </c>
      <c r="C3344" t="s">
        <v>71</v>
      </c>
      <c r="D3344" t="s">
        <v>74</v>
      </c>
      <c r="E3344" t="s">
        <v>74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74</v>
      </c>
    </row>
    <row r="3345" spans="1:20" x14ac:dyDescent="0.3">
      <c r="A3345" t="s">
        <v>29</v>
      </c>
      <c r="B3345">
        <v>42</v>
      </c>
      <c r="C3345" t="s">
        <v>72</v>
      </c>
      <c r="D3345" t="s">
        <v>75</v>
      </c>
      <c r="E3345" t="s">
        <v>74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74</v>
      </c>
    </row>
    <row r="3346" spans="1:20" x14ac:dyDescent="0.3">
      <c r="A3346" t="s">
        <v>38</v>
      </c>
      <c r="B3346">
        <v>68</v>
      </c>
      <c r="C3346" t="s">
        <v>71</v>
      </c>
      <c r="D3346" t="s">
        <v>74</v>
      </c>
      <c r="E3346" t="s">
        <v>74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75</v>
      </c>
    </row>
    <row r="3347" spans="1:20" x14ac:dyDescent="0.3">
      <c r="A3347" t="s">
        <v>70</v>
      </c>
      <c r="B3347">
        <v>132</v>
      </c>
      <c r="C3347" t="s">
        <v>71</v>
      </c>
      <c r="D3347" t="s">
        <v>74</v>
      </c>
      <c r="E3347" t="s">
        <v>74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74</v>
      </c>
    </row>
    <row r="3348" spans="1:20" x14ac:dyDescent="0.3">
      <c r="A3348" t="s">
        <v>55</v>
      </c>
      <c r="B3348">
        <v>137</v>
      </c>
      <c r="C3348" t="s">
        <v>73</v>
      </c>
      <c r="D3348" t="s">
        <v>75</v>
      </c>
      <c r="E3348" t="s">
        <v>74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74</v>
      </c>
    </row>
    <row r="3349" spans="1:20" x14ac:dyDescent="0.3">
      <c r="A3349" t="s">
        <v>29</v>
      </c>
      <c r="B3349">
        <v>42</v>
      </c>
      <c r="C3349" t="s">
        <v>72</v>
      </c>
      <c r="D3349" t="s">
        <v>74</v>
      </c>
      <c r="E3349" t="s">
        <v>74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74</v>
      </c>
    </row>
    <row r="3350" spans="1:20" x14ac:dyDescent="0.3">
      <c r="A3350" t="s">
        <v>46</v>
      </c>
      <c r="B3350">
        <v>81</v>
      </c>
      <c r="C3350" t="s">
        <v>71</v>
      </c>
      <c r="D3350" t="s">
        <v>74</v>
      </c>
      <c r="E3350" t="s">
        <v>75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74</v>
      </c>
    </row>
    <row r="3351" spans="1:20" x14ac:dyDescent="0.3">
      <c r="A3351" t="s">
        <v>33</v>
      </c>
      <c r="B3351">
        <v>135</v>
      </c>
      <c r="C3351" t="s">
        <v>73</v>
      </c>
      <c r="D3351" t="s">
        <v>74</v>
      </c>
      <c r="E3351" t="s">
        <v>74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74</v>
      </c>
    </row>
    <row r="3352" spans="1:20" x14ac:dyDescent="0.3">
      <c r="A3352" t="s">
        <v>22</v>
      </c>
      <c r="B3352">
        <v>102</v>
      </c>
      <c r="C3352" t="s">
        <v>72</v>
      </c>
      <c r="D3352" t="s">
        <v>74</v>
      </c>
      <c r="E3352" t="s">
        <v>74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74</v>
      </c>
    </row>
    <row r="3353" spans="1:20" x14ac:dyDescent="0.3">
      <c r="A3353" t="s">
        <v>57</v>
      </c>
      <c r="B3353">
        <v>117</v>
      </c>
      <c r="C3353" t="s">
        <v>72</v>
      </c>
      <c r="D3353" t="s">
        <v>74</v>
      </c>
      <c r="E3353" t="s">
        <v>74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75</v>
      </c>
    </row>
    <row r="3354" spans="1:20" x14ac:dyDescent="0.3">
      <c r="A3354" t="s">
        <v>30</v>
      </c>
      <c r="B3354">
        <v>37</v>
      </c>
      <c r="C3354" t="s">
        <v>72</v>
      </c>
      <c r="D3354" t="s">
        <v>74</v>
      </c>
      <c r="E3354" t="s">
        <v>75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74</v>
      </c>
    </row>
    <row r="3355" spans="1:20" x14ac:dyDescent="0.3">
      <c r="A3355" t="s">
        <v>31</v>
      </c>
      <c r="B3355">
        <v>48</v>
      </c>
      <c r="C3355" t="s">
        <v>72</v>
      </c>
      <c r="D3355" t="s">
        <v>74</v>
      </c>
      <c r="E3355" t="s">
        <v>74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74</v>
      </c>
    </row>
    <row r="3356" spans="1:20" x14ac:dyDescent="0.3">
      <c r="A3356" t="s">
        <v>45</v>
      </c>
      <c r="B3356">
        <v>155</v>
      </c>
      <c r="C3356" t="s">
        <v>71</v>
      </c>
      <c r="D3356" t="s">
        <v>74</v>
      </c>
      <c r="E3356" t="s">
        <v>74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74</v>
      </c>
    </row>
    <row r="3357" spans="1:20" x14ac:dyDescent="0.3">
      <c r="A3357" t="s">
        <v>41</v>
      </c>
      <c r="B3357">
        <v>124</v>
      </c>
      <c r="C3357" t="s">
        <v>73</v>
      </c>
      <c r="D3357" t="s">
        <v>74</v>
      </c>
      <c r="E3357" t="s">
        <v>74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75</v>
      </c>
    </row>
    <row r="3358" spans="1:20" x14ac:dyDescent="0.3">
      <c r="A3358" t="s">
        <v>42</v>
      </c>
      <c r="B3358">
        <v>91</v>
      </c>
      <c r="C3358" t="s">
        <v>72</v>
      </c>
      <c r="D3358" t="s">
        <v>74</v>
      </c>
      <c r="E3358" t="s">
        <v>74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74</v>
      </c>
    </row>
    <row r="3359" spans="1:20" x14ac:dyDescent="0.3">
      <c r="A3359" t="s">
        <v>70</v>
      </c>
      <c r="B3359">
        <v>169</v>
      </c>
      <c r="C3359" t="s">
        <v>72</v>
      </c>
      <c r="D3359" t="s">
        <v>74</v>
      </c>
      <c r="E3359" t="s">
        <v>74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74</v>
      </c>
    </row>
    <row r="3360" spans="1:20" x14ac:dyDescent="0.3">
      <c r="A3360" t="s">
        <v>46</v>
      </c>
      <c r="B3360">
        <v>74</v>
      </c>
      <c r="C3360" t="s">
        <v>72</v>
      </c>
      <c r="D3360" t="s">
        <v>74</v>
      </c>
      <c r="E3360" t="s">
        <v>74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74</v>
      </c>
    </row>
    <row r="3361" spans="1:20" x14ac:dyDescent="0.3">
      <c r="A3361" t="s">
        <v>55</v>
      </c>
      <c r="B3361">
        <v>101</v>
      </c>
      <c r="C3361" t="s">
        <v>73</v>
      </c>
      <c r="D3361" t="s">
        <v>75</v>
      </c>
      <c r="E3361" t="s">
        <v>75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74</v>
      </c>
    </row>
    <row r="3362" spans="1:20" x14ac:dyDescent="0.3">
      <c r="A3362" t="s">
        <v>60</v>
      </c>
      <c r="B3362">
        <v>142</v>
      </c>
      <c r="C3362" t="s">
        <v>71</v>
      </c>
      <c r="D3362" t="s">
        <v>74</v>
      </c>
      <c r="E3362" t="s">
        <v>74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74</v>
      </c>
    </row>
    <row r="3363" spans="1:20" x14ac:dyDescent="0.3">
      <c r="A3363" t="s">
        <v>47</v>
      </c>
      <c r="B3363">
        <v>61</v>
      </c>
      <c r="C3363" t="s">
        <v>71</v>
      </c>
      <c r="D3363" t="s">
        <v>74</v>
      </c>
      <c r="E3363" t="s">
        <v>75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74</v>
      </c>
    </row>
    <row r="3364" spans="1:20" x14ac:dyDescent="0.3">
      <c r="A3364" t="s">
        <v>36</v>
      </c>
      <c r="B3364">
        <v>50</v>
      </c>
      <c r="C3364" t="s">
        <v>72</v>
      </c>
      <c r="D3364" t="s">
        <v>74</v>
      </c>
      <c r="E3364" t="s">
        <v>74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75</v>
      </c>
    </row>
    <row r="3365" spans="1:20" x14ac:dyDescent="0.3">
      <c r="A3365" t="s">
        <v>31</v>
      </c>
      <c r="B3365">
        <v>82</v>
      </c>
      <c r="C3365" t="s">
        <v>73</v>
      </c>
      <c r="D3365" t="s">
        <v>74</v>
      </c>
      <c r="E3365" t="s">
        <v>74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74</v>
      </c>
    </row>
    <row r="3366" spans="1:20" x14ac:dyDescent="0.3">
      <c r="A3366" t="s">
        <v>57</v>
      </c>
      <c r="B3366">
        <v>142</v>
      </c>
      <c r="C3366" t="s">
        <v>71</v>
      </c>
      <c r="D3366" t="s">
        <v>74</v>
      </c>
      <c r="E3366" t="s">
        <v>75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74</v>
      </c>
    </row>
    <row r="3367" spans="1:20" x14ac:dyDescent="0.3">
      <c r="A3367" t="s">
        <v>27</v>
      </c>
      <c r="B3367">
        <v>27</v>
      </c>
      <c r="C3367" t="s">
        <v>71</v>
      </c>
      <c r="D3367" t="s">
        <v>74</v>
      </c>
      <c r="E3367" t="s">
        <v>75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74</v>
      </c>
    </row>
    <row r="3368" spans="1:20" x14ac:dyDescent="0.3">
      <c r="A3368" t="s">
        <v>48</v>
      </c>
      <c r="B3368">
        <v>165</v>
      </c>
      <c r="C3368" t="s">
        <v>73</v>
      </c>
      <c r="D3368" t="s">
        <v>74</v>
      </c>
      <c r="E3368" t="s">
        <v>75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74</v>
      </c>
    </row>
    <row r="3369" spans="1:20" x14ac:dyDescent="0.3">
      <c r="A3369" t="s">
        <v>59</v>
      </c>
      <c r="B3369">
        <v>33</v>
      </c>
      <c r="C3369" t="s">
        <v>72</v>
      </c>
      <c r="D3369" t="s">
        <v>74</v>
      </c>
      <c r="E3369" t="s">
        <v>75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74</v>
      </c>
    </row>
    <row r="3370" spans="1:20" x14ac:dyDescent="0.3">
      <c r="A3370" t="s">
        <v>59</v>
      </c>
      <c r="B3370">
        <v>55</v>
      </c>
      <c r="C3370" t="s">
        <v>72</v>
      </c>
      <c r="D3370" t="s">
        <v>74</v>
      </c>
      <c r="E3370" t="s">
        <v>74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74</v>
      </c>
    </row>
    <row r="3371" spans="1:20" x14ac:dyDescent="0.3">
      <c r="A3371" t="s">
        <v>42</v>
      </c>
      <c r="B3371">
        <v>96</v>
      </c>
      <c r="C3371" t="s">
        <v>72</v>
      </c>
      <c r="D3371" t="s">
        <v>75</v>
      </c>
      <c r="E3371" t="s">
        <v>74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74</v>
      </c>
    </row>
    <row r="3372" spans="1:20" x14ac:dyDescent="0.3">
      <c r="A3372" t="s">
        <v>49</v>
      </c>
      <c r="B3372">
        <v>115</v>
      </c>
      <c r="C3372" t="s">
        <v>73</v>
      </c>
      <c r="D3372" t="s">
        <v>74</v>
      </c>
      <c r="E3372" t="s">
        <v>74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74</v>
      </c>
    </row>
    <row r="3373" spans="1:20" x14ac:dyDescent="0.3">
      <c r="A3373" t="s">
        <v>63</v>
      </c>
      <c r="B3373">
        <v>65</v>
      </c>
      <c r="C3373" t="s">
        <v>73</v>
      </c>
      <c r="D3373" t="s">
        <v>74</v>
      </c>
      <c r="E3373" t="s">
        <v>74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75</v>
      </c>
    </row>
    <row r="3374" spans="1:20" x14ac:dyDescent="0.3">
      <c r="A3374" t="s">
        <v>61</v>
      </c>
      <c r="B3374">
        <v>50</v>
      </c>
      <c r="C3374" t="s">
        <v>73</v>
      </c>
      <c r="D3374" t="s">
        <v>74</v>
      </c>
      <c r="E3374" t="s">
        <v>74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74</v>
      </c>
    </row>
    <row r="3375" spans="1:20" x14ac:dyDescent="0.3">
      <c r="A3375" t="s">
        <v>37</v>
      </c>
      <c r="B3375">
        <v>137</v>
      </c>
      <c r="C3375" t="s">
        <v>72</v>
      </c>
      <c r="D3375" t="s">
        <v>74</v>
      </c>
      <c r="E3375" t="s">
        <v>74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74</v>
      </c>
    </row>
    <row r="3376" spans="1:20" x14ac:dyDescent="0.3">
      <c r="A3376" t="s">
        <v>29</v>
      </c>
      <c r="B3376">
        <v>95</v>
      </c>
      <c r="C3376" t="s">
        <v>73</v>
      </c>
      <c r="D3376" t="s">
        <v>74</v>
      </c>
      <c r="E3376" t="s">
        <v>74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75</v>
      </c>
    </row>
    <row r="3377" spans="1:20" x14ac:dyDescent="0.3">
      <c r="A3377" t="s">
        <v>41</v>
      </c>
      <c r="B3377">
        <v>118</v>
      </c>
      <c r="C3377" t="s">
        <v>73</v>
      </c>
      <c r="D3377" t="s">
        <v>74</v>
      </c>
      <c r="E3377" t="s">
        <v>74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75</v>
      </c>
    </row>
    <row r="3378" spans="1:20" x14ac:dyDescent="0.3">
      <c r="A3378" t="s">
        <v>38</v>
      </c>
      <c r="B3378">
        <v>84</v>
      </c>
      <c r="C3378" t="s">
        <v>71</v>
      </c>
      <c r="D3378" t="s">
        <v>74</v>
      </c>
      <c r="E3378" t="s">
        <v>74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74</v>
      </c>
    </row>
    <row r="3379" spans="1:20" x14ac:dyDescent="0.3">
      <c r="A3379" t="s">
        <v>28</v>
      </c>
      <c r="B3379">
        <v>42</v>
      </c>
      <c r="C3379" t="s">
        <v>73</v>
      </c>
      <c r="D3379" t="s">
        <v>74</v>
      </c>
      <c r="E3379" t="s">
        <v>74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74</v>
      </c>
    </row>
    <row r="3380" spans="1:20" x14ac:dyDescent="0.3">
      <c r="A3380" t="s">
        <v>52</v>
      </c>
      <c r="B3380">
        <v>53</v>
      </c>
      <c r="C3380" t="s">
        <v>71</v>
      </c>
      <c r="D3380" t="s">
        <v>74</v>
      </c>
      <c r="E3380" t="s">
        <v>74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74</v>
      </c>
    </row>
    <row r="3381" spans="1:20" x14ac:dyDescent="0.3">
      <c r="A3381" t="s">
        <v>29</v>
      </c>
      <c r="B3381">
        <v>123</v>
      </c>
      <c r="C3381" t="s">
        <v>71</v>
      </c>
      <c r="D3381" t="s">
        <v>74</v>
      </c>
      <c r="E3381" t="s">
        <v>74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75</v>
      </c>
    </row>
    <row r="3382" spans="1:20" x14ac:dyDescent="0.3">
      <c r="A3382" t="s">
        <v>37</v>
      </c>
      <c r="B3382">
        <v>60</v>
      </c>
      <c r="C3382" t="s">
        <v>73</v>
      </c>
      <c r="D3382" t="s">
        <v>74</v>
      </c>
      <c r="E3382" t="s">
        <v>74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74</v>
      </c>
    </row>
    <row r="3383" spans="1:20" x14ac:dyDescent="0.3">
      <c r="A3383" t="s">
        <v>28</v>
      </c>
      <c r="B3383">
        <v>112</v>
      </c>
      <c r="C3383" t="s">
        <v>73</v>
      </c>
      <c r="D3383" t="s">
        <v>74</v>
      </c>
      <c r="E3383" t="s">
        <v>74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75</v>
      </c>
    </row>
    <row r="3384" spans="1:20" x14ac:dyDescent="0.3">
      <c r="A3384" t="s">
        <v>66</v>
      </c>
      <c r="B3384">
        <v>43</v>
      </c>
      <c r="C3384" t="s">
        <v>71</v>
      </c>
      <c r="D3384" t="s">
        <v>74</v>
      </c>
      <c r="E3384" t="s">
        <v>74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74</v>
      </c>
    </row>
    <row r="3385" spans="1:20" x14ac:dyDescent="0.3">
      <c r="A3385" t="s">
        <v>70</v>
      </c>
      <c r="B3385">
        <v>150</v>
      </c>
      <c r="C3385" t="s">
        <v>71</v>
      </c>
      <c r="D3385" t="s">
        <v>74</v>
      </c>
      <c r="E3385" t="s">
        <v>75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74</v>
      </c>
    </row>
    <row r="3386" spans="1:20" x14ac:dyDescent="0.3">
      <c r="A3386" t="s">
        <v>54</v>
      </c>
      <c r="B3386">
        <v>92</v>
      </c>
      <c r="C3386" t="s">
        <v>73</v>
      </c>
      <c r="D3386" t="s">
        <v>74</v>
      </c>
      <c r="E3386" t="s">
        <v>74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74</v>
      </c>
    </row>
    <row r="3387" spans="1:20" x14ac:dyDescent="0.3">
      <c r="A3387" t="s">
        <v>38</v>
      </c>
      <c r="B3387">
        <v>68</v>
      </c>
      <c r="C3387" t="s">
        <v>72</v>
      </c>
      <c r="D3387" t="s">
        <v>74</v>
      </c>
      <c r="E3387" t="s">
        <v>74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74</v>
      </c>
    </row>
    <row r="3388" spans="1:20" x14ac:dyDescent="0.3">
      <c r="A3388" t="s">
        <v>61</v>
      </c>
      <c r="B3388">
        <v>159</v>
      </c>
      <c r="C3388" t="s">
        <v>72</v>
      </c>
      <c r="D3388" t="s">
        <v>74</v>
      </c>
      <c r="E3388" t="s">
        <v>74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74</v>
      </c>
    </row>
    <row r="3389" spans="1:20" x14ac:dyDescent="0.3">
      <c r="A3389" t="s">
        <v>25</v>
      </c>
      <c r="B3389">
        <v>158</v>
      </c>
      <c r="C3389" t="s">
        <v>71</v>
      </c>
      <c r="D3389" t="s">
        <v>74</v>
      </c>
      <c r="E3389" t="s">
        <v>75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74</v>
      </c>
    </row>
    <row r="3390" spans="1:20" x14ac:dyDescent="0.3">
      <c r="A3390" t="s">
        <v>25</v>
      </c>
      <c r="B3390">
        <v>119</v>
      </c>
      <c r="C3390" t="s">
        <v>73</v>
      </c>
      <c r="D3390" t="s">
        <v>74</v>
      </c>
      <c r="E3390" t="s">
        <v>74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74</v>
      </c>
    </row>
    <row r="3391" spans="1:20" x14ac:dyDescent="0.3">
      <c r="A3391" t="s">
        <v>41</v>
      </c>
      <c r="B3391">
        <v>54</v>
      </c>
      <c r="C3391" t="s">
        <v>71</v>
      </c>
      <c r="D3391" t="s">
        <v>74</v>
      </c>
      <c r="E3391" t="s">
        <v>75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74</v>
      </c>
    </row>
    <row r="3392" spans="1:20" x14ac:dyDescent="0.3">
      <c r="A3392" t="s">
        <v>28</v>
      </c>
      <c r="B3392">
        <v>60</v>
      </c>
      <c r="C3392" t="s">
        <v>71</v>
      </c>
      <c r="D3392" t="s">
        <v>75</v>
      </c>
      <c r="E3392" t="s">
        <v>74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75</v>
      </c>
    </row>
    <row r="3393" spans="1:20" x14ac:dyDescent="0.3">
      <c r="A3393" t="s">
        <v>31</v>
      </c>
      <c r="B3393">
        <v>111</v>
      </c>
      <c r="C3393" t="s">
        <v>71</v>
      </c>
      <c r="D3393" t="s">
        <v>74</v>
      </c>
      <c r="E3393" t="s">
        <v>75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74</v>
      </c>
    </row>
    <row r="3394" spans="1:20" x14ac:dyDescent="0.3">
      <c r="A3394" t="s">
        <v>65</v>
      </c>
      <c r="B3394">
        <v>119</v>
      </c>
      <c r="C3394" t="s">
        <v>71</v>
      </c>
      <c r="D3394" t="s">
        <v>74</v>
      </c>
      <c r="E3394" t="s">
        <v>75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74</v>
      </c>
    </row>
    <row r="3395" spans="1:20" x14ac:dyDescent="0.3">
      <c r="A3395" t="s">
        <v>21</v>
      </c>
      <c r="B3395">
        <v>74</v>
      </c>
      <c r="C3395" t="s">
        <v>71</v>
      </c>
      <c r="D3395" t="s">
        <v>74</v>
      </c>
      <c r="E3395" t="s">
        <v>74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74</v>
      </c>
    </row>
    <row r="3396" spans="1:20" x14ac:dyDescent="0.3">
      <c r="A3396" t="s">
        <v>30</v>
      </c>
      <c r="B3396">
        <v>118</v>
      </c>
      <c r="C3396" t="s">
        <v>73</v>
      </c>
      <c r="D3396" t="s">
        <v>74</v>
      </c>
      <c r="E3396" t="s">
        <v>74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74</v>
      </c>
    </row>
    <row r="3397" spans="1:20" x14ac:dyDescent="0.3">
      <c r="A3397" t="s">
        <v>59</v>
      </c>
      <c r="B3397">
        <v>124</v>
      </c>
      <c r="C3397" t="s">
        <v>71</v>
      </c>
      <c r="D3397" t="s">
        <v>74</v>
      </c>
      <c r="E3397" t="s">
        <v>74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74</v>
      </c>
    </row>
    <row r="3398" spans="1:20" x14ac:dyDescent="0.3">
      <c r="A3398" t="s">
        <v>26</v>
      </c>
      <c r="B3398">
        <v>133</v>
      </c>
      <c r="C3398" t="s">
        <v>72</v>
      </c>
      <c r="D3398" t="s">
        <v>74</v>
      </c>
      <c r="E3398" t="s">
        <v>74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74</v>
      </c>
    </row>
    <row r="3399" spans="1:20" x14ac:dyDescent="0.3">
      <c r="A3399" t="s">
        <v>31</v>
      </c>
      <c r="B3399">
        <v>49</v>
      </c>
      <c r="C3399" t="s">
        <v>73</v>
      </c>
      <c r="D3399" t="s">
        <v>74</v>
      </c>
      <c r="E3399" t="s">
        <v>74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74</v>
      </c>
    </row>
    <row r="3400" spans="1:20" x14ac:dyDescent="0.3">
      <c r="A3400" t="s">
        <v>46</v>
      </c>
      <c r="B3400">
        <v>112</v>
      </c>
      <c r="C3400" t="s">
        <v>71</v>
      </c>
      <c r="D3400" t="s">
        <v>74</v>
      </c>
      <c r="E3400" t="s">
        <v>74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74</v>
      </c>
    </row>
    <row r="3401" spans="1:20" x14ac:dyDescent="0.3">
      <c r="A3401" t="s">
        <v>67</v>
      </c>
      <c r="B3401">
        <v>130</v>
      </c>
      <c r="C3401" t="s">
        <v>72</v>
      </c>
      <c r="D3401" t="s">
        <v>74</v>
      </c>
      <c r="E3401" t="s">
        <v>74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74</v>
      </c>
    </row>
    <row r="3402" spans="1:20" x14ac:dyDescent="0.3">
      <c r="A3402" t="s">
        <v>65</v>
      </c>
      <c r="B3402">
        <v>130</v>
      </c>
      <c r="C3402" t="s">
        <v>72</v>
      </c>
      <c r="D3402" t="s">
        <v>74</v>
      </c>
      <c r="E3402" t="s">
        <v>74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74</v>
      </c>
    </row>
    <row r="3403" spans="1:20" x14ac:dyDescent="0.3">
      <c r="A3403" t="s">
        <v>42</v>
      </c>
      <c r="B3403">
        <v>188</v>
      </c>
      <c r="C3403" t="s">
        <v>73</v>
      </c>
      <c r="D3403" t="s">
        <v>74</v>
      </c>
      <c r="E3403" t="s">
        <v>74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74</v>
      </c>
    </row>
    <row r="3404" spans="1:20" x14ac:dyDescent="0.3">
      <c r="A3404" t="s">
        <v>67</v>
      </c>
      <c r="B3404">
        <v>174</v>
      </c>
      <c r="C3404" t="s">
        <v>71</v>
      </c>
      <c r="D3404" t="s">
        <v>74</v>
      </c>
      <c r="E3404" t="s">
        <v>74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74</v>
      </c>
    </row>
    <row r="3405" spans="1:20" x14ac:dyDescent="0.3">
      <c r="A3405" t="s">
        <v>23</v>
      </c>
      <c r="B3405">
        <v>57</v>
      </c>
      <c r="C3405" t="s">
        <v>71</v>
      </c>
      <c r="D3405" t="s">
        <v>74</v>
      </c>
      <c r="E3405" t="s">
        <v>74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74</v>
      </c>
    </row>
    <row r="3406" spans="1:20" x14ac:dyDescent="0.3">
      <c r="A3406" t="s">
        <v>49</v>
      </c>
      <c r="B3406">
        <v>105</v>
      </c>
      <c r="C3406" t="s">
        <v>73</v>
      </c>
      <c r="D3406" t="s">
        <v>74</v>
      </c>
      <c r="E3406" t="s">
        <v>74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74</v>
      </c>
    </row>
    <row r="3407" spans="1:20" x14ac:dyDescent="0.3">
      <c r="A3407" t="s">
        <v>69</v>
      </c>
      <c r="B3407">
        <v>175</v>
      </c>
      <c r="C3407" t="s">
        <v>73</v>
      </c>
      <c r="D3407" t="s">
        <v>75</v>
      </c>
      <c r="E3407" t="s">
        <v>75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75</v>
      </c>
    </row>
    <row r="3408" spans="1:20" x14ac:dyDescent="0.3">
      <c r="A3408" t="s">
        <v>27</v>
      </c>
      <c r="B3408">
        <v>100</v>
      </c>
      <c r="C3408" t="s">
        <v>71</v>
      </c>
      <c r="D3408" t="s">
        <v>74</v>
      </c>
      <c r="E3408" t="s">
        <v>74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74</v>
      </c>
    </row>
    <row r="3409" spans="1:20" x14ac:dyDescent="0.3">
      <c r="A3409" t="s">
        <v>36</v>
      </c>
      <c r="B3409">
        <v>132</v>
      </c>
      <c r="C3409" t="s">
        <v>71</v>
      </c>
      <c r="D3409" t="s">
        <v>74</v>
      </c>
      <c r="E3409" t="s">
        <v>74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74</v>
      </c>
    </row>
    <row r="3410" spans="1:20" x14ac:dyDescent="0.3">
      <c r="A3410" t="s">
        <v>64</v>
      </c>
      <c r="B3410">
        <v>117</v>
      </c>
      <c r="C3410" t="s">
        <v>71</v>
      </c>
      <c r="D3410" t="s">
        <v>75</v>
      </c>
      <c r="E3410" t="s">
        <v>74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75</v>
      </c>
    </row>
    <row r="3411" spans="1:20" x14ac:dyDescent="0.3">
      <c r="A3411" t="s">
        <v>28</v>
      </c>
      <c r="B3411">
        <v>65</v>
      </c>
      <c r="C3411" t="s">
        <v>71</v>
      </c>
      <c r="D3411" t="s">
        <v>74</v>
      </c>
      <c r="E3411" t="s">
        <v>74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74</v>
      </c>
    </row>
    <row r="3412" spans="1:20" x14ac:dyDescent="0.3">
      <c r="A3412" t="s">
        <v>46</v>
      </c>
      <c r="B3412">
        <v>131</v>
      </c>
      <c r="C3412" t="s">
        <v>72</v>
      </c>
      <c r="D3412" t="s">
        <v>74</v>
      </c>
      <c r="E3412" t="s">
        <v>74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75</v>
      </c>
    </row>
    <row r="3413" spans="1:20" x14ac:dyDescent="0.3">
      <c r="A3413" t="s">
        <v>28</v>
      </c>
      <c r="B3413">
        <v>114</v>
      </c>
      <c r="C3413" t="s">
        <v>73</v>
      </c>
      <c r="D3413" t="s">
        <v>74</v>
      </c>
      <c r="E3413" t="s">
        <v>74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74</v>
      </c>
    </row>
    <row r="3414" spans="1:20" x14ac:dyDescent="0.3">
      <c r="A3414" t="s">
        <v>39</v>
      </c>
      <c r="B3414">
        <v>127</v>
      </c>
      <c r="C3414" t="s">
        <v>71</v>
      </c>
      <c r="D3414" t="s">
        <v>74</v>
      </c>
      <c r="E3414" t="s">
        <v>75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74</v>
      </c>
    </row>
    <row r="3415" spans="1:20" x14ac:dyDescent="0.3">
      <c r="A3415" t="s">
        <v>30</v>
      </c>
      <c r="B3415">
        <v>67</v>
      </c>
      <c r="C3415" t="s">
        <v>72</v>
      </c>
      <c r="D3415" t="s">
        <v>74</v>
      </c>
      <c r="E3415" t="s">
        <v>74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75</v>
      </c>
    </row>
    <row r="3416" spans="1:20" x14ac:dyDescent="0.3">
      <c r="A3416" t="s">
        <v>34</v>
      </c>
      <c r="B3416">
        <v>123</v>
      </c>
      <c r="C3416" t="s">
        <v>73</v>
      </c>
      <c r="D3416" t="s">
        <v>74</v>
      </c>
      <c r="E3416" t="s">
        <v>75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74</v>
      </c>
    </row>
    <row r="3417" spans="1:20" x14ac:dyDescent="0.3">
      <c r="A3417" t="s">
        <v>36</v>
      </c>
      <c r="B3417">
        <v>116</v>
      </c>
      <c r="C3417" t="s">
        <v>71</v>
      </c>
      <c r="D3417" t="s">
        <v>74</v>
      </c>
      <c r="E3417" t="s">
        <v>74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74</v>
      </c>
    </row>
    <row r="3418" spans="1:20" x14ac:dyDescent="0.3">
      <c r="A3418" t="s">
        <v>29</v>
      </c>
      <c r="B3418">
        <v>107</v>
      </c>
      <c r="C3418" t="s">
        <v>71</v>
      </c>
      <c r="D3418" t="s">
        <v>74</v>
      </c>
      <c r="E3418" t="s">
        <v>74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75</v>
      </c>
    </row>
    <row r="3419" spans="1:20" x14ac:dyDescent="0.3">
      <c r="A3419" t="s">
        <v>34</v>
      </c>
      <c r="B3419">
        <v>110</v>
      </c>
      <c r="C3419" t="s">
        <v>71</v>
      </c>
      <c r="D3419" t="s">
        <v>74</v>
      </c>
      <c r="E3419" t="s">
        <v>74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74</v>
      </c>
    </row>
    <row r="3420" spans="1:20" x14ac:dyDescent="0.3">
      <c r="A3420" t="s">
        <v>45</v>
      </c>
      <c r="B3420">
        <v>29</v>
      </c>
      <c r="C3420" t="s">
        <v>71</v>
      </c>
      <c r="D3420" t="s">
        <v>74</v>
      </c>
      <c r="E3420" t="s">
        <v>74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74</v>
      </c>
    </row>
    <row r="3421" spans="1:20" x14ac:dyDescent="0.3">
      <c r="A3421" t="s">
        <v>38</v>
      </c>
      <c r="B3421">
        <v>76</v>
      </c>
      <c r="C3421" t="s">
        <v>71</v>
      </c>
      <c r="D3421" t="s">
        <v>74</v>
      </c>
      <c r="E3421" t="s">
        <v>74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74</v>
      </c>
    </row>
    <row r="3422" spans="1:20" x14ac:dyDescent="0.3">
      <c r="A3422" t="s">
        <v>59</v>
      </c>
      <c r="B3422">
        <v>115</v>
      </c>
      <c r="C3422" t="s">
        <v>73</v>
      </c>
      <c r="D3422" t="s">
        <v>74</v>
      </c>
      <c r="E3422" t="s">
        <v>74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74</v>
      </c>
    </row>
    <row r="3423" spans="1:20" x14ac:dyDescent="0.3">
      <c r="A3423" t="s">
        <v>52</v>
      </c>
      <c r="B3423">
        <v>68</v>
      </c>
      <c r="C3423" t="s">
        <v>71</v>
      </c>
      <c r="D3423" t="s">
        <v>74</v>
      </c>
      <c r="E3423" t="s">
        <v>74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74</v>
      </c>
    </row>
    <row r="3424" spans="1:20" x14ac:dyDescent="0.3">
      <c r="A3424" t="s">
        <v>25</v>
      </c>
      <c r="B3424">
        <v>63</v>
      </c>
      <c r="C3424" t="s">
        <v>71</v>
      </c>
      <c r="D3424" t="s">
        <v>74</v>
      </c>
      <c r="E3424" t="s">
        <v>75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74</v>
      </c>
    </row>
    <row r="3425" spans="1:20" x14ac:dyDescent="0.3">
      <c r="A3425" t="s">
        <v>26</v>
      </c>
      <c r="B3425">
        <v>69</v>
      </c>
      <c r="C3425" t="s">
        <v>71</v>
      </c>
      <c r="D3425" t="s">
        <v>74</v>
      </c>
      <c r="E3425" t="s">
        <v>74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74</v>
      </c>
    </row>
    <row r="3426" spans="1:20" x14ac:dyDescent="0.3">
      <c r="A3426" t="s">
        <v>69</v>
      </c>
      <c r="B3426">
        <v>97</v>
      </c>
      <c r="C3426" t="s">
        <v>73</v>
      </c>
      <c r="D3426" t="s">
        <v>74</v>
      </c>
      <c r="E3426" t="s">
        <v>74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74</v>
      </c>
    </row>
    <row r="3427" spans="1:20" x14ac:dyDescent="0.3">
      <c r="A3427" t="s">
        <v>40</v>
      </c>
      <c r="B3427">
        <v>108</v>
      </c>
      <c r="C3427" t="s">
        <v>72</v>
      </c>
      <c r="D3427" t="s">
        <v>75</v>
      </c>
      <c r="E3427" t="s">
        <v>74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74</v>
      </c>
    </row>
    <row r="3428" spans="1:20" x14ac:dyDescent="0.3">
      <c r="A3428" t="s">
        <v>53</v>
      </c>
      <c r="B3428">
        <v>79</v>
      </c>
      <c r="C3428" t="s">
        <v>71</v>
      </c>
      <c r="D3428" t="s">
        <v>74</v>
      </c>
      <c r="E3428" t="s">
        <v>74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74</v>
      </c>
    </row>
    <row r="3429" spans="1:20" x14ac:dyDescent="0.3">
      <c r="A3429" t="s">
        <v>45</v>
      </c>
      <c r="B3429">
        <v>52</v>
      </c>
      <c r="C3429" t="s">
        <v>71</v>
      </c>
      <c r="D3429" t="s">
        <v>74</v>
      </c>
      <c r="E3429" t="s">
        <v>74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75</v>
      </c>
    </row>
    <row r="3430" spans="1:20" x14ac:dyDescent="0.3">
      <c r="A3430" t="s">
        <v>20</v>
      </c>
      <c r="B3430">
        <v>114</v>
      </c>
      <c r="C3430" t="s">
        <v>71</v>
      </c>
      <c r="D3430" t="s">
        <v>74</v>
      </c>
      <c r="E3430" t="s">
        <v>74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74</v>
      </c>
    </row>
    <row r="3431" spans="1:20" x14ac:dyDescent="0.3">
      <c r="A3431" t="s">
        <v>55</v>
      </c>
      <c r="B3431">
        <v>90</v>
      </c>
      <c r="C3431" t="s">
        <v>72</v>
      </c>
      <c r="D3431" t="s">
        <v>74</v>
      </c>
      <c r="E3431" t="s">
        <v>75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74</v>
      </c>
    </row>
    <row r="3432" spans="1:20" x14ac:dyDescent="0.3">
      <c r="A3432" t="s">
        <v>31</v>
      </c>
      <c r="B3432">
        <v>122</v>
      </c>
      <c r="C3432" t="s">
        <v>71</v>
      </c>
      <c r="D3432" t="s">
        <v>74</v>
      </c>
      <c r="E3432" t="s">
        <v>75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74</v>
      </c>
    </row>
    <row r="3433" spans="1:20" x14ac:dyDescent="0.3">
      <c r="A3433" t="s">
        <v>57</v>
      </c>
      <c r="B3433">
        <v>73</v>
      </c>
      <c r="C3433" t="s">
        <v>71</v>
      </c>
      <c r="D3433" t="s">
        <v>74</v>
      </c>
      <c r="E3433" t="s">
        <v>75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74</v>
      </c>
    </row>
    <row r="3434" spans="1:20" x14ac:dyDescent="0.3">
      <c r="A3434" t="s">
        <v>65</v>
      </c>
      <c r="B3434">
        <v>100</v>
      </c>
      <c r="C3434" t="s">
        <v>73</v>
      </c>
      <c r="D3434" t="s">
        <v>74</v>
      </c>
      <c r="E3434" t="s">
        <v>74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74</v>
      </c>
    </row>
    <row r="3435" spans="1:20" x14ac:dyDescent="0.3">
      <c r="A3435" t="s">
        <v>25</v>
      </c>
      <c r="B3435">
        <v>124</v>
      </c>
      <c r="C3435" t="s">
        <v>72</v>
      </c>
      <c r="D3435" t="s">
        <v>74</v>
      </c>
      <c r="E3435" t="s">
        <v>74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75</v>
      </c>
    </row>
    <row r="3436" spans="1:20" x14ac:dyDescent="0.3">
      <c r="A3436" t="s">
        <v>58</v>
      </c>
      <c r="B3436">
        <v>112</v>
      </c>
      <c r="C3436" t="s">
        <v>73</v>
      </c>
      <c r="D3436" t="s">
        <v>74</v>
      </c>
      <c r="E3436" t="s">
        <v>74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74</v>
      </c>
    </row>
    <row r="3437" spans="1:20" x14ac:dyDescent="0.3">
      <c r="A3437" t="s">
        <v>32</v>
      </c>
      <c r="B3437">
        <v>120</v>
      </c>
      <c r="C3437" t="s">
        <v>71</v>
      </c>
      <c r="D3437" t="s">
        <v>74</v>
      </c>
      <c r="E3437" t="s">
        <v>75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74</v>
      </c>
    </row>
    <row r="3438" spans="1:20" x14ac:dyDescent="0.3">
      <c r="A3438" t="s">
        <v>34</v>
      </c>
      <c r="B3438">
        <v>95</v>
      </c>
      <c r="C3438" t="s">
        <v>72</v>
      </c>
      <c r="D3438" t="s">
        <v>74</v>
      </c>
      <c r="E3438" t="s">
        <v>74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74</v>
      </c>
    </row>
    <row r="3439" spans="1:20" x14ac:dyDescent="0.3">
      <c r="A3439" t="s">
        <v>26</v>
      </c>
      <c r="B3439">
        <v>61</v>
      </c>
      <c r="C3439" t="s">
        <v>73</v>
      </c>
      <c r="D3439" t="s">
        <v>74</v>
      </c>
      <c r="E3439" t="s">
        <v>74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75</v>
      </c>
    </row>
    <row r="3440" spans="1:20" x14ac:dyDescent="0.3">
      <c r="A3440" t="s">
        <v>21</v>
      </c>
      <c r="B3440">
        <v>42</v>
      </c>
      <c r="C3440" t="s">
        <v>72</v>
      </c>
      <c r="D3440" t="s">
        <v>74</v>
      </c>
      <c r="E3440" t="s">
        <v>74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74</v>
      </c>
    </row>
    <row r="3441" spans="1:20" x14ac:dyDescent="0.3">
      <c r="A3441" t="s">
        <v>49</v>
      </c>
      <c r="B3441">
        <v>104</v>
      </c>
      <c r="C3441" t="s">
        <v>71</v>
      </c>
      <c r="D3441" t="s">
        <v>74</v>
      </c>
      <c r="E3441" t="s">
        <v>74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74</v>
      </c>
    </row>
    <row r="3442" spans="1:20" x14ac:dyDescent="0.3">
      <c r="A3442" t="s">
        <v>64</v>
      </c>
      <c r="B3442">
        <v>184</v>
      </c>
      <c r="C3442" t="s">
        <v>71</v>
      </c>
      <c r="D3442" t="s">
        <v>74</v>
      </c>
      <c r="E3442" t="s">
        <v>74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74</v>
      </c>
    </row>
    <row r="3443" spans="1:20" x14ac:dyDescent="0.3">
      <c r="A3443" t="s">
        <v>63</v>
      </c>
      <c r="B3443">
        <v>29</v>
      </c>
      <c r="C3443" t="s">
        <v>72</v>
      </c>
      <c r="D3443" t="s">
        <v>74</v>
      </c>
      <c r="E3443" t="s">
        <v>74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74</v>
      </c>
    </row>
    <row r="3444" spans="1:20" x14ac:dyDescent="0.3">
      <c r="A3444" t="s">
        <v>49</v>
      </c>
      <c r="B3444">
        <v>5</v>
      </c>
      <c r="C3444" t="s">
        <v>73</v>
      </c>
      <c r="D3444" t="s">
        <v>74</v>
      </c>
      <c r="E3444" t="s">
        <v>74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74</v>
      </c>
    </row>
    <row r="3445" spans="1:20" x14ac:dyDescent="0.3">
      <c r="A3445" t="s">
        <v>36</v>
      </c>
      <c r="B3445">
        <v>58</v>
      </c>
      <c r="C3445" t="s">
        <v>73</v>
      </c>
      <c r="D3445" t="s">
        <v>74</v>
      </c>
      <c r="E3445" t="s">
        <v>75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74</v>
      </c>
    </row>
    <row r="3446" spans="1:20" x14ac:dyDescent="0.3">
      <c r="A3446" t="s">
        <v>63</v>
      </c>
      <c r="B3446">
        <v>165</v>
      </c>
      <c r="C3446" t="s">
        <v>72</v>
      </c>
      <c r="D3446" t="s">
        <v>74</v>
      </c>
      <c r="E3446" t="s">
        <v>74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74</v>
      </c>
    </row>
    <row r="3447" spans="1:20" x14ac:dyDescent="0.3">
      <c r="A3447" t="s">
        <v>28</v>
      </c>
      <c r="B3447">
        <v>77</v>
      </c>
      <c r="C3447" t="s">
        <v>73</v>
      </c>
      <c r="D3447" t="s">
        <v>75</v>
      </c>
      <c r="E3447" t="s">
        <v>75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75</v>
      </c>
    </row>
    <row r="3448" spans="1:20" x14ac:dyDescent="0.3">
      <c r="A3448" t="s">
        <v>55</v>
      </c>
      <c r="B3448">
        <v>132</v>
      </c>
      <c r="C3448" t="s">
        <v>71</v>
      </c>
      <c r="D3448" t="s">
        <v>75</v>
      </c>
      <c r="E3448" t="s">
        <v>75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74</v>
      </c>
    </row>
    <row r="3449" spans="1:20" x14ac:dyDescent="0.3">
      <c r="A3449" t="s">
        <v>21</v>
      </c>
      <c r="B3449">
        <v>115</v>
      </c>
      <c r="C3449" t="s">
        <v>71</v>
      </c>
      <c r="D3449" t="s">
        <v>74</v>
      </c>
      <c r="E3449" t="s">
        <v>74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74</v>
      </c>
    </row>
    <row r="3450" spans="1:20" x14ac:dyDescent="0.3">
      <c r="A3450" t="s">
        <v>34</v>
      </c>
      <c r="B3450">
        <v>148</v>
      </c>
      <c r="C3450" t="s">
        <v>73</v>
      </c>
      <c r="D3450" t="s">
        <v>74</v>
      </c>
      <c r="E3450" t="s">
        <v>74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74</v>
      </c>
    </row>
    <row r="3451" spans="1:20" x14ac:dyDescent="0.3">
      <c r="A3451" t="s">
        <v>53</v>
      </c>
      <c r="B3451">
        <v>135</v>
      </c>
      <c r="C3451" t="s">
        <v>72</v>
      </c>
      <c r="D3451" t="s">
        <v>74</v>
      </c>
      <c r="E3451" t="s">
        <v>74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74</v>
      </c>
    </row>
    <row r="3452" spans="1:20" x14ac:dyDescent="0.3">
      <c r="A3452" t="s">
        <v>31</v>
      </c>
      <c r="B3452">
        <v>87</v>
      </c>
      <c r="C3452" t="s">
        <v>72</v>
      </c>
      <c r="D3452" t="s">
        <v>74</v>
      </c>
      <c r="E3452" t="s">
        <v>75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74</v>
      </c>
    </row>
    <row r="3453" spans="1:20" x14ac:dyDescent="0.3">
      <c r="A3453" t="s">
        <v>59</v>
      </c>
      <c r="B3453">
        <v>78</v>
      </c>
      <c r="C3453" t="s">
        <v>71</v>
      </c>
      <c r="D3453" t="s">
        <v>74</v>
      </c>
      <c r="E3453" t="s">
        <v>74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74</v>
      </c>
    </row>
    <row r="3454" spans="1:20" x14ac:dyDescent="0.3">
      <c r="A3454" t="s">
        <v>57</v>
      </c>
      <c r="B3454">
        <v>78</v>
      </c>
      <c r="C3454" t="s">
        <v>72</v>
      </c>
      <c r="D3454" t="s">
        <v>74</v>
      </c>
      <c r="E3454" t="s">
        <v>74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74</v>
      </c>
    </row>
    <row r="3455" spans="1:20" x14ac:dyDescent="0.3">
      <c r="A3455" t="s">
        <v>29</v>
      </c>
      <c r="B3455">
        <v>101</v>
      </c>
      <c r="C3455" t="s">
        <v>71</v>
      </c>
      <c r="D3455" t="s">
        <v>74</v>
      </c>
      <c r="E3455" t="s">
        <v>74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74</v>
      </c>
    </row>
    <row r="3456" spans="1:20" x14ac:dyDescent="0.3">
      <c r="A3456" t="s">
        <v>64</v>
      </c>
      <c r="B3456">
        <v>90</v>
      </c>
      <c r="C3456" t="s">
        <v>72</v>
      </c>
      <c r="D3456" t="s">
        <v>74</v>
      </c>
      <c r="E3456" t="s">
        <v>74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74</v>
      </c>
    </row>
    <row r="3457" spans="1:20" x14ac:dyDescent="0.3">
      <c r="A3457" t="s">
        <v>48</v>
      </c>
      <c r="B3457">
        <v>83</v>
      </c>
      <c r="C3457" t="s">
        <v>71</v>
      </c>
      <c r="D3457" t="s">
        <v>74</v>
      </c>
      <c r="E3457" t="s">
        <v>74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74</v>
      </c>
    </row>
    <row r="3458" spans="1:20" x14ac:dyDescent="0.3">
      <c r="A3458" t="s">
        <v>60</v>
      </c>
      <c r="B3458">
        <v>81</v>
      </c>
      <c r="C3458" t="s">
        <v>73</v>
      </c>
      <c r="D3458" t="s">
        <v>74</v>
      </c>
      <c r="E3458" t="s">
        <v>74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74</v>
      </c>
    </row>
    <row r="3459" spans="1:20" x14ac:dyDescent="0.3">
      <c r="A3459" t="s">
        <v>28</v>
      </c>
      <c r="B3459">
        <v>119</v>
      </c>
      <c r="C3459" t="s">
        <v>73</v>
      </c>
      <c r="D3459" t="s">
        <v>74</v>
      </c>
      <c r="E3459" t="s">
        <v>74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75</v>
      </c>
    </row>
    <row r="3460" spans="1:20" x14ac:dyDescent="0.3">
      <c r="A3460" t="s">
        <v>68</v>
      </c>
      <c r="B3460">
        <v>134</v>
      </c>
      <c r="C3460" t="s">
        <v>71</v>
      </c>
      <c r="D3460" t="s">
        <v>74</v>
      </c>
      <c r="E3460" t="s">
        <v>74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74</v>
      </c>
    </row>
    <row r="3461" spans="1:20" x14ac:dyDescent="0.3">
      <c r="A3461" t="s">
        <v>68</v>
      </c>
      <c r="B3461">
        <v>48</v>
      </c>
      <c r="C3461" t="s">
        <v>73</v>
      </c>
      <c r="D3461" t="s">
        <v>74</v>
      </c>
      <c r="E3461" t="s">
        <v>74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74</v>
      </c>
    </row>
    <row r="3462" spans="1:20" x14ac:dyDescent="0.3">
      <c r="A3462" t="s">
        <v>21</v>
      </c>
      <c r="B3462">
        <v>91</v>
      </c>
      <c r="C3462" t="s">
        <v>72</v>
      </c>
      <c r="D3462" t="s">
        <v>74</v>
      </c>
      <c r="E3462" t="s">
        <v>75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74</v>
      </c>
    </row>
    <row r="3463" spans="1:20" x14ac:dyDescent="0.3">
      <c r="A3463" t="s">
        <v>43</v>
      </c>
      <c r="B3463">
        <v>90</v>
      </c>
      <c r="C3463" t="s">
        <v>73</v>
      </c>
      <c r="D3463" t="s">
        <v>74</v>
      </c>
      <c r="E3463" t="s">
        <v>75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74</v>
      </c>
    </row>
    <row r="3464" spans="1:20" x14ac:dyDescent="0.3">
      <c r="A3464" t="s">
        <v>65</v>
      </c>
      <c r="B3464">
        <v>159</v>
      </c>
      <c r="C3464" t="s">
        <v>71</v>
      </c>
      <c r="D3464" t="s">
        <v>74</v>
      </c>
      <c r="E3464" t="s">
        <v>74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74</v>
      </c>
    </row>
    <row r="3465" spans="1:20" x14ac:dyDescent="0.3">
      <c r="A3465" t="s">
        <v>61</v>
      </c>
      <c r="B3465">
        <v>142</v>
      </c>
      <c r="C3465" t="s">
        <v>73</v>
      </c>
      <c r="D3465" t="s">
        <v>75</v>
      </c>
      <c r="E3465" t="s">
        <v>74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75</v>
      </c>
    </row>
    <row r="3466" spans="1:20" x14ac:dyDescent="0.3">
      <c r="A3466" t="s">
        <v>34</v>
      </c>
      <c r="B3466">
        <v>104</v>
      </c>
      <c r="C3466" t="s">
        <v>72</v>
      </c>
      <c r="D3466" t="s">
        <v>74</v>
      </c>
      <c r="E3466" t="s">
        <v>74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74</v>
      </c>
    </row>
    <row r="3467" spans="1:20" x14ac:dyDescent="0.3">
      <c r="A3467" t="s">
        <v>59</v>
      </c>
      <c r="B3467">
        <v>82</v>
      </c>
      <c r="C3467" t="s">
        <v>71</v>
      </c>
      <c r="D3467" t="s">
        <v>74</v>
      </c>
      <c r="E3467" t="s">
        <v>74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74</v>
      </c>
    </row>
    <row r="3468" spans="1:20" x14ac:dyDescent="0.3">
      <c r="A3468" t="s">
        <v>57</v>
      </c>
      <c r="B3468">
        <v>88</v>
      </c>
      <c r="C3468" t="s">
        <v>73</v>
      </c>
      <c r="D3468" t="s">
        <v>74</v>
      </c>
      <c r="E3468" t="s">
        <v>74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74</v>
      </c>
    </row>
    <row r="3469" spans="1:20" x14ac:dyDescent="0.3">
      <c r="A3469" t="s">
        <v>28</v>
      </c>
      <c r="B3469">
        <v>118</v>
      </c>
      <c r="C3469" t="s">
        <v>73</v>
      </c>
      <c r="D3469" t="s">
        <v>74</v>
      </c>
      <c r="E3469" t="s">
        <v>74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74</v>
      </c>
    </row>
    <row r="3470" spans="1:20" x14ac:dyDescent="0.3">
      <c r="A3470" t="s">
        <v>42</v>
      </c>
      <c r="B3470">
        <v>139</v>
      </c>
      <c r="C3470" t="s">
        <v>72</v>
      </c>
      <c r="D3470" t="s">
        <v>74</v>
      </c>
      <c r="E3470" t="s">
        <v>74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75</v>
      </c>
    </row>
    <row r="3471" spans="1:20" x14ac:dyDescent="0.3">
      <c r="A3471" t="s">
        <v>63</v>
      </c>
      <c r="B3471">
        <v>87</v>
      </c>
      <c r="C3471" t="s">
        <v>71</v>
      </c>
      <c r="D3471" t="s">
        <v>74</v>
      </c>
      <c r="E3471" t="s">
        <v>75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74</v>
      </c>
    </row>
    <row r="3472" spans="1:20" x14ac:dyDescent="0.3">
      <c r="A3472" t="s">
        <v>42</v>
      </c>
      <c r="B3472">
        <v>167</v>
      </c>
      <c r="C3472" t="s">
        <v>71</v>
      </c>
      <c r="D3472" t="s">
        <v>74</v>
      </c>
      <c r="E3472" t="s">
        <v>74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74</v>
      </c>
    </row>
    <row r="3473" spans="1:20" x14ac:dyDescent="0.3">
      <c r="A3473" t="s">
        <v>33</v>
      </c>
      <c r="B3473">
        <v>138</v>
      </c>
      <c r="C3473" t="s">
        <v>73</v>
      </c>
      <c r="D3473" t="s">
        <v>74</v>
      </c>
      <c r="E3473" t="s">
        <v>74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74</v>
      </c>
    </row>
    <row r="3474" spans="1:20" x14ac:dyDescent="0.3">
      <c r="A3474" t="s">
        <v>36</v>
      </c>
      <c r="B3474">
        <v>130</v>
      </c>
      <c r="C3474" t="s">
        <v>73</v>
      </c>
      <c r="D3474" t="s">
        <v>74</v>
      </c>
      <c r="E3474" t="s">
        <v>74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74</v>
      </c>
    </row>
    <row r="3475" spans="1:20" x14ac:dyDescent="0.3">
      <c r="A3475" t="s">
        <v>39</v>
      </c>
      <c r="B3475">
        <v>87</v>
      </c>
      <c r="C3475" t="s">
        <v>71</v>
      </c>
      <c r="D3475" t="s">
        <v>74</v>
      </c>
      <c r="E3475" t="s">
        <v>74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74</v>
      </c>
    </row>
    <row r="3476" spans="1:20" x14ac:dyDescent="0.3">
      <c r="A3476" t="s">
        <v>29</v>
      </c>
      <c r="B3476">
        <v>164</v>
      </c>
      <c r="C3476" t="s">
        <v>73</v>
      </c>
      <c r="D3476" t="s">
        <v>75</v>
      </c>
      <c r="E3476" t="s">
        <v>75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74</v>
      </c>
    </row>
    <row r="3477" spans="1:20" x14ac:dyDescent="0.3">
      <c r="A3477" t="s">
        <v>33</v>
      </c>
      <c r="B3477">
        <v>109</v>
      </c>
      <c r="C3477" t="s">
        <v>72</v>
      </c>
      <c r="D3477" t="s">
        <v>74</v>
      </c>
      <c r="E3477" t="s">
        <v>74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74</v>
      </c>
    </row>
    <row r="3478" spans="1:20" x14ac:dyDescent="0.3">
      <c r="A3478" t="s">
        <v>47</v>
      </c>
      <c r="B3478">
        <v>59</v>
      </c>
      <c r="C3478" t="s">
        <v>72</v>
      </c>
      <c r="D3478" t="s">
        <v>74</v>
      </c>
      <c r="E3478" t="s">
        <v>74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74</v>
      </c>
    </row>
    <row r="3479" spans="1:20" x14ac:dyDescent="0.3">
      <c r="A3479" t="s">
        <v>70</v>
      </c>
      <c r="B3479">
        <v>124</v>
      </c>
      <c r="C3479" t="s">
        <v>73</v>
      </c>
      <c r="D3479" t="s">
        <v>74</v>
      </c>
      <c r="E3479" t="s">
        <v>74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74</v>
      </c>
    </row>
    <row r="3480" spans="1:20" x14ac:dyDescent="0.3">
      <c r="A3480" t="s">
        <v>29</v>
      </c>
      <c r="B3480">
        <v>73</v>
      </c>
      <c r="C3480" t="s">
        <v>73</v>
      </c>
      <c r="D3480" t="s">
        <v>74</v>
      </c>
      <c r="E3480" t="s">
        <v>74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74</v>
      </c>
    </row>
    <row r="3481" spans="1:20" x14ac:dyDescent="0.3">
      <c r="A3481" t="s">
        <v>35</v>
      </c>
      <c r="B3481">
        <v>94</v>
      </c>
      <c r="C3481" t="s">
        <v>71</v>
      </c>
      <c r="D3481" t="s">
        <v>74</v>
      </c>
      <c r="E3481" t="s">
        <v>74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74</v>
      </c>
    </row>
    <row r="3482" spans="1:20" x14ac:dyDescent="0.3">
      <c r="A3482" t="s">
        <v>21</v>
      </c>
      <c r="B3482">
        <v>80</v>
      </c>
      <c r="C3482" t="s">
        <v>71</v>
      </c>
      <c r="D3482" t="s">
        <v>74</v>
      </c>
      <c r="E3482" t="s">
        <v>74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74</v>
      </c>
    </row>
    <row r="3483" spans="1:20" x14ac:dyDescent="0.3">
      <c r="A3483" t="s">
        <v>43</v>
      </c>
      <c r="B3483">
        <v>101</v>
      </c>
      <c r="C3483" t="s">
        <v>71</v>
      </c>
      <c r="D3483" t="s">
        <v>75</v>
      </c>
      <c r="E3483" t="s">
        <v>74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74</v>
      </c>
    </row>
    <row r="3484" spans="1:20" x14ac:dyDescent="0.3">
      <c r="A3484" t="s">
        <v>32</v>
      </c>
      <c r="B3484">
        <v>115</v>
      </c>
      <c r="C3484" t="s">
        <v>73</v>
      </c>
      <c r="D3484" t="s">
        <v>74</v>
      </c>
      <c r="E3484" t="s">
        <v>74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74</v>
      </c>
    </row>
    <row r="3485" spans="1:20" x14ac:dyDescent="0.3">
      <c r="A3485" t="s">
        <v>20</v>
      </c>
      <c r="B3485">
        <v>100</v>
      </c>
      <c r="C3485" t="s">
        <v>71</v>
      </c>
      <c r="D3485" t="s">
        <v>75</v>
      </c>
      <c r="E3485" t="s">
        <v>74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74</v>
      </c>
    </row>
    <row r="3486" spans="1:20" x14ac:dyDescent="0.3">
      <c r="A3486" t="s">
        <v>36</v>
      </c>
      <c r="B3486">
        <v>85</v>
      </c>
      <c r="C3486" t="s">
        <v>71</v>
      </c>
      <c r="D3486" t="s">
        <v>74</v>
      </c>
      <c r="E3486" t="s">
        <v>74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74</v>
      </c>
    </row>
    <row r="3487" spans="1:20" x14ac:dyDescent="0.3">
      <c r="A3487" t="s">
        <v>70</v>
      </c>
      <c r="B3487">
        <v>110</v>
      </c>
      <c r="C3487" t="s">
        <v>73</v>
      </c>
      <c r="D3487" t="s">
        <v>74</v>
      </c>
      <c r="E3487" t="s">
        <v>74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75</v>
      </c>
    </row>
    <row r="3488" spans="1:20" x14ac:dyDescent="0.3">
      <c r="A3488" t="s">
        <v>31</v>
      </c>
      <c r="B3488">
        <v>92</v>
      </c>
      <c r="C3488" t="s">
        <v>73</v>
      </c>
      <c r="D3488" t="s">
        <v>75</v>
      </c>
      <c r="E3488" t="s">
        <v>74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74</v>
      </c>
    </row>
    <row r="3489" spans="1:20" x14ac:dyDescent="0.3">
      <c r="A3489" t="s">
        <v>40</v>
      </c>
      <c r="B3489">
        <v>102</v>
      </c>
      <c r="C3489" t="s">
        <v>73</v>
      </c>
      <c r="D3489" t="s">
        <v>74</v>
      </c>
      <c r="E3489" t="s">
        <v>74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74</v>
      </c>
    </row>
    <row r="3490" spans="1:20" x14ac:dyDescent="0.3">
      <c r="A3490" t="s">
        <v>68</v>
      </c>
      <c r="B3490">
        <v>134</v>
      </c>
      <c r="C3490" t="s">
        <v>73</v>
      </c>
      <c r="D3490" t="s">
        <v>74</v>
      </c>
      <c r="E3490" t="s">
        <v>74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74</v>
      </c>
    </row>
    <row r="3491" spans="1:20" x14ac:dyDescent="0.3">
      <c r="A3491" t="s">
        <v>63</v>
      </c>
      <c r="B3491">
        <v>96</v>
      </c>
      <c r="C3491" t="s">
        <v>71</v>
      </c>
      <c r="D3491" t="s">
        <v>74</v>
      </c>
      <c r="E3491" t="s">
        <v>74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74</v>
      </c>
    </row>
    <row r="3492" spans="1:20" x14ac:dyDescent="0.3">
      <c r="A3492" t="s">
        <v>24</v>
      </c>
      <c r="B3492">
        <v>42</v>
      </c>
      <c r="C3492" t="s">
        <v>72</v>
      </c>
      <c r="D3492" t="s">
        <v>74</v>
      </c>
      <c r="E3492" t="s">
        <v>74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74</v>
      </c>
    </row>
    <row r="3493" spans="1:20" x14ac:dyDescent="0.3">
      <c r="A3493" t="s">
        <v>58</v>
      </c>
      <c r="B3493">
        <v>175</v>
      </c>
      <c r="C3493" t="s">
        <v>71</v>
      </c>
      <c r="D3493" t="s">
        <v>74</v>
      </c>
      <c r="E3493" t="s">
        <v>74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74</v>
      </c>
    </row>
    <row r="3494" spans="1:20" x14ac:dyDescent="0.3">
      <c r="A3494" t="s">
        <v>58</v>
      </c>
      <c r="B3494">
        <v>136</v>
      </c>
      <c r="C3494" t="s">
        <v>71</v>
      </c>
      <c r="D3494" t="s">
        <v>74</v>
      </c>
      <c r="E3494" t="s">
        <v>75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74</v>
      </c>
    </row>
    <row r="3495" spans="1:20" x14ac:dyDescent="0.3">
      <c r="A3495" t="s">
        <v>62</v>
      </c>
      <c r="B3495">
        <v>32</v>
      </c>
      <c r="C3495" t="s">
        <v>71</v>
      </c>
      <c r="D3495" t="s">
        <v>75</v>
      </c>
      <c r="E3495" t="s">
        <v>74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75</v>
      </c>
    </row>
    <row r="3496" spans="1:20" x14ac:dyDescent="0.3">
      <c r="A3496" t="s">
        <v>42</v>
      </c>
      <c r="B3496">
        <v>101</v>
      </c>
      <c r="C3496" t="s">
        <v>71</v>
      </c>
      <c r="D3496" t="s">
        <v>74</v>
      </c>
      <c r="E3496" t="s">
        <v>74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75</v>
      </c>
    </row>
    <row r="3497" spans="1:20" x14ac:dyDescent="0.3">
      <c r="A3497" t="s">
        <v>48</v>
      </c>
      <c r="B3497">
        <v>132</v>
      </c>
      <c r="C3497" t="s">
        <v>73</v>
      </c>
      <c r="D3497" t="s">
        <v>75</v>
      </c>
      <c r="E3497" t="s">
        <v>75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74</v>
      </c>
    </row>
    <row r="3498" spans="1:20" x14ac:dyDescent="0.3">
      <c r="A3498" t="s">
        <v>59</v>
      </c>
      <c r="B3498">
        <v>120</v>
      </c>
      <c r="C3498" t="s">
        <v>72</v>
      </c>
      <c r="D3498" t="s">
        <v>74</v>
      </c>
      <c r="E3498" t="s">
        <v>74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74</v>
      </c>
    </row>
    <row r="3499" spans="1:20" x14ac:dyDescent="0.3">
      <c r="A3499" t="s">
        <v>57</v>
      </c>
      <c r="B3499">
        <v>122</v>
      </c>
      <c r="C3499" t="s">
        <v>72</v>
      </c>
      <c r="D3499" t="s">
        <v>74</v>
      </c>
      <c r="E3499" t="s">
        <v>74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74</v>
      </c>
    </row>
    <row r="3500" spans="1:20" x14ac:dyDescent="0.3">
      <c r="A3500" t="s">
        <v>44</v>
      </c>
      <c r="B3500">
        <v>52</v>
      </c>
      <c r="C3500" t="s">
        <v>72</v>
      </c>
      <c r="D3500" t="s">
        <v>74</v>
      </c>
      <c r="E3500" t="s">
        <v>74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74</v>
      </c>
    </row>
    <row r="3501" spans="1:20" x14ac:dyDescent="0.3">
      <c r="A3501" t="s">
        <v>23</v>
      </c>
      <c r="B3501">
        <v>182</v>
      </c>
      <c r="C3501" t="s">
        <v>71</v>
      </c>
      <c r="D3501" t="s">
        <v>74</v>
      </c>
      <c r="E3501" t="s">
        <v>74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74</v>
      </c>
    </row>
    <row r="3502" spans="1:20" x14ac:dyDescent="0.3">
      <c r="A3502" t="s">
        <v>29</v>
      </c>
      <c r="B3502">
        <v>130</v>
      </c>
      <c r="C3502" t="s">
        <v>72</v>
      </c>
      <c r="D3502" t="s">
        <v>74</v>
      </c>
      <c r="E3502" t="s">
        <v>74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74</v>
      </c>
    </row>
    <row r="3503" spans="1:20" x14ac:dyDescent="0.3">
      <c r="A3503" t="s">
        <v>43</v>
      </c>
      <c r="B3503">
        <v>106</v>
      </c>
      <c r="C3503" t="s">
        <v>72</v>
      </c>
      <c r="D3503" t="s">
        <v>74</v>
      </c>
      <c r="E3503" t="s">
        <v>74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74</v>
      </c>
    </row>
    <row r="3504" spans="1:20" x14ac:dyDescent="0.3">
      <c r="A3504" t="s">
        <v>36</v>
      </c>
      <c r="B3504">
        <v>150</v>
      </c>
      <c r="C3504" t="s">
        <v>73</v>
      </c>
      <c r="D3504" t="s">
        <v>74</v>
      </c>
      <c r="E3504" t="s">
        <v>74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75</v>
      </c>
    </row>
    <row r="3505" spans="1:20" x14ac:dyDescent="0.3">
      <c r="A3505" t="s">
        <v>44</v>
      </c>
      <c r="B3505">
        <v>94</v>
      </c>
      <c r="C3505" t="s">
        <v>71</v>
      </c>
      <c r="D3505" t="s">
        <v>74</v>
      </c>
      <c r="E3505" t="s">
        <v>74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75</v>
      </c>
    </row>
    <row r="3506" spans="1:20" x14ac:dyDescent="0.3">
      <c r="A3506" t="s">
        <v>33</v>
      </c>
      <c r="B3506">
        <v>89</v>
      </c>
      <c r="C3506" t="s">
        <v>71</v>
      </c>
      <c r="D3506" t="s">
        <v>74</v>
      </c>
      <c r="E3506" t="s">
        <v>74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74</v>
      </c>
    </row>
    <row r="3507" spans="1:20" x14ac:dyDescent="0.3">
      <c r="A3507" t="s">
        <v>41</v>
      </c>
      <c r="B3507">
        <v>45</v>
      </c>
      <c r="C3507" t="s">
        <v>71</v>
      </c>
      <c r="D3507" t="s">
        <v>74</v>
      </c>
      <c r="E3507" t="s">
        <v>74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74</v>
      </c>
    </row>
    <row r="3508" spans="1:20" x14ac:dyDescent="0.3">
      <c r="A3508" t="s">
        <v>20</v>
      </c>
      <c r="B3508">
        <v>74</v>
      </c>
      <c r="C3508" t="s">
        <v>73</v>
      </c>
      <c r="D3508" t="s">
        <v>74</v>
      </c>
      <c r="E3508" t="s">
        <v>74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75</v>
      </c>
    </row>
    <row r="3509" spans="1:20" x14ac:dyDescent="0.3">
      <c r="A3509" t="s">
        <v>27</v>
      </c>
      <c r="B3509">
        <v>158</v>
      </c>
      <c r="C3509" t="s">
        <v>71</v>
      </c>
      <c r="D3509" t="s">
        <v>74</v>
      </c>
      <c r="E3509" t="s">
        <v>74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74</v>
      </c>
    </row>
    <row r="3510" spans="1:20" x14ac:dyDescent="0.3">
      <c r="A3510" t="s">
        <v>21</v>
      </c>
      <c r="B3510">
        <v>76</v>
      </c>
      <c r="C3510" t="s">
        <v>71</v>
      </c>
      <c r="D3510" t="s">
        <v>74</v>
      </c>
      <c r="E3510" t="s">
        <v>74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75</v>
      </c>
    </row>
    <row r="3511" spans="1:20" x14ac:dyDescent="0.3">
      <c r="A3511" t="s">
        <v>70</v>
      </c>
      <c r="B3511">
        <v>102</v>
      </c>
      <c r="C3511" t="s">
        <v>71</v>
      </c>
      <c r="D3511" t="s">
        <v>75</v>
      </c>
      <c r="E3511" t="s">
        <v>74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74</v>
      </c>
    </row>
    <row r="3512" spans="1:20" x14ac:dyDescent="0.3">
      <c r="A3512" t="s">
        <v>26</v>
      </c>
      <c r="B3512">
        <v>4</v>
      </c>
      <c r="C3512" t="s">
        <v>73</v>
      </c>
      <c r="D3512" t="s">
        <v>74</v>
      </c>
      <c r="E3512" t="s">
        <v>75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74</v>
      </c>
    </row>
    <row r="3513" spans="1:20" x14ac:dyDescent="0.3">
      <c r="A3513" t="s">
        <v>32</v>
      </c>
      <c r="B3513">
        <v>161</v>
      </c>
      <c r="C3513" t="s">
        <v>73</v>
      </c>
      <c r="D3513" t="s">
        <v>74</v>
      </c>
      <c r="E3513" t="s">
        <v>74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75</v>
      </c>
    </row>
    <row r="3514" spans="1:20" x14ac:dyDescent="0.3">
      <c r="A3514" t="s">
        <v>65</v>
      </c>
      <c r="B3514">
        <v>116</v>
      </c>
      <c r="C3514" t="s">
        <v>71</v>
      </c>
      <c r="D3514" t="s">
        <v>74</v>
      </c>
      <c r="E3514" t="s">
        <v>74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75</v>
      </c>
    </row>
    <row r="3515" spans="1:20" x14ac:dyDescent="0.3">
      <c r="A3515" t="s">
        <v>30</v>
      </c>
      <c r="B3515">
        <v>86</v>
      </c>
      <c r="C3515" t="s">
        <v>71</v>
      </c>
      <c r="D3515" t="s">
        <v>74</v>
      </c>
      <c r="E3515" t="s">
        <v>74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74</v>
      </c>
    </row>
    <row r="3516" spans="1:20" x14ac:dyDescent="0.3">
      <c r="A3516" t="s">
        <v>24</v>
      </c>
      <c r="B3516">
        <v>39</v>
      </c>
      <c r="C3516" t="s">
        <v>72</v>
      </c>
      <c r="D3516" t="s">
        <v>74</v>
      </c>
      <c r="E3516" t="s">
        <v>74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74</v>
      </c>
    </row>
    <row r="3517" spans="1:20" x14ac:dyDescent="0.3">
      <c r="A3517" t="s">
        <v>40</v>
      </c>
      <c r="B3517">
        <v>57</v>
      </c>
      <c r="C3517" t="s">
        <v>71</v>
      </c>
      <c r="D3517" t="s">
        <v>74</v>
      </c>
      <c r="E3517" t="s">
        <v>74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74</v>
      </c>
    </row>
    <row r="3518" spans="1:20" x14ac:dyDescent="0.3">
      <c r="A3518" t="s">
        <v>46</v>
      </c>
      <c r="B3518">
        <v>138</v>
      </c>
      <c r="C3518" t="s">
        <v>71</v>
      </c>
      <c r="D3518" t="s">
        <v>74</v>
      </c>
      <c r="E3518" t="s">
        <v>74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74</v>
      </c>
    </row>
    <row r="3519" spans="1:20" x14ac:dyDescent="0.3">
      <c r="A3519" t="s">
        <v>35</v>
      </c>
      <c r="B3519">
        <v>98</v>
      </c>
      <c r="C3519" t="s">
        <v>71</v>
      </c>
      <c r="D3519" t="s">
        <v>74</v>
      </c>
      <c r="E3519" t="s">
        <v>74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74</v>
      </c>
    </row>
    <row r="3520" spans="1:20" x14ac:dyDescent="0.3">
      <c r="A3520" t="s">
        <v>48</v>
      </c>
      <c r="B3520">
        <v>145</v>
      </c>
      <c r="C3520" t="s">
        <v>71</v>
      </c>
      <c r="D3520" t="s">
        <v>74</v>
      </c>
      <c r="E3520" t="s">
        <v>75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74</v>
      </c>
    </row>
    <row r="3521" spans="1:20" x14ac:dyDescent="0.3">
      <c r="A3521" t="s">
        <v>68</v>
      </c>
      <c r="B3521">
        <v>77</v>
      </c>
      <c r="C3521" t="s">
        <v>71</v>
      </c>
      <c r="D3521" t="s">
        <v>74</v>
      </c>
      <c r="E3521" t="s">
        <v>74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74</v>
      </c>
    </row>
    <row r="3522" spans="1:20" x14ac:dyDescent="0.3">
      <c r="A3522" t="s">
        <v>65</v>
      </c>
      <c r="B3522">
        <v>99</v>
      </c>
      <c r="C3522" t="s">
        <v>73</v>
      </c>
      <c r="D3522" t="s">
        <v>74</v>
      </c>
      <c r="E3522" t="s">
        <v>75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74</v>
      </c>
    </row>
    <row r="3523" spans="1:20" x14ac:dyDescent="0.3">
      <c r="A3523" t="s">
        <v>23</v>
      </c>
      <c r="B3523">
        <v>106</v>
      </c>
      <c r="C3523" t="s">
        <v>72</v>
      </c>
      <c r="D3523" t="s">
        <v>75</v>
      </c>
      <c r="E3523" t="s">
        <v>74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75</v>
      </c>
    </row>
    <row r="3524" spans="1:20" x14ac:dyDescent="0.3">
      <c r="A3524" t="s">
        <v>44</v>
      </c>
      <c r="B3524">
        <v>32</v>
      </c>
      <c r="C3524" t="s">
        <v>72</v>
      </c>
      <c r="D3524" t="s">
        <v>74</v>
      </c>
      <c r="E3524" t="s">
        <v>74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74</v>
      </c>
    </row>
    <row r="3525" spans="1:20" x14ac:dyDescent="0.3">
      <c r="A3525" t="s">
        <v>58</v>
      </c>
      <c r="B3525">
        <v>174</v>
      </c>
      <c r="C3525" t="s">
        <v>71</v>
      </c>
      <c r="D3525" t="s">
        <v>74</v>
      </c>
      <c r="E3525" t="s">
        <v>74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75</v>
      </c>
    </row>
    <row r="3526" spans="1:20" x14ac:dyDescent="0.3">
      <c r="A3526" t="s">
        <v>38</v>
      </c>
      <c r="B3526">
        <v>98</v>
      </c>
      <c r="C3526" t="s">
        <v>72</v>
      </c>
      <c r="D3526" t="s">
        <v>74</v>
      </c>
      <c r="E3526" t="s">
        <v>74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75</v>
      </c>
    </row>
    <row r="3527" spans="1:20" x14ac:dyDescent="0.3">
      <c r="A3527" t="s">
        <v>59</v>
      </c>
      <c r="B3527">
        <v>42</v>
      </c>
      <c r="C3527" t="s">
        <v>72</v>
      </c>
      <c r="D3527" t="s">
        <v>74</v>
      </c>
      <c r="E3527" t="s">
        <v>74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74</v>
      </c>
    </row>
    <row r="3528" spans="1:20" x14ac:dyDescent="0.3">
      <c r="A3528" t="s">
        <v>50</v>
      </c>
      <c r="B3528">
        <v>99</v>
      </c>
      <c r="C3528" t="s">
        <v>73</v>
      </c>
      <c r="D3528" t="s">
        <v>74</v>
      </c>
      <c r="E3528" t="s">
        <v>74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74</v>
      </c>
    </row>
    <row r="3529" spans="1:20" x14ac:dyDescent="0.3">
      <c r="A3529" t="s">
        <v>38</v>
      </c>
      <c r="B3529">
        <v>119</v>
      </c>
      <c r="C3529" t="s">
        <v>73</v>
      </c>
      <c r="D3529" t="s">
        <v>74</v>
      </c>
      <c r="E3529" t="s">
        <v>74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74</v>
      </c>
    </row>
    <row r="3530" spans="1:20" x14ac:dyDescent="0.3">
      <c r="A3530" t="s">
        <v>49</v>
      </c>
      <c r="B3530">
        <v>47</v>
      </c>
      <c r="C3530" t="s">
        <v>71</v>
      </c>
      <c r="D3530" t="s">
        <v>75</v>
      </c>
      <c r="E3530" t="s">
        <v>74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74</v>
      </c>
    </row>
    <row r="3531" spans="1:20" x14ac:dyDescent="0.3">
      <c r="A3531" t="s">
        <v>27</v>
      </c>
      <c r="B3531">
        <v>77</v>
      </c>
      <c r="C3531" t="s">
        <v>71</v>
      </c>
      <c r="D3531" t="s">
        <v>74</v>
      </c>
      <c r="E3531" t="s">
        <v>74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74</v>
      </c>
    </row>
    <row r="3532" spans="1:20" x14ac:dyDescent="0.3">
      <c r="A3532" t="s">
        <v>30</v>
      </c>
      <c r="B3532">
        <v>39</v>
      </c>
      <c r="C3532" t="s">
        <v>72</v>
      </c>
      <c r="D3532" t="s">
        <v>74</v>
      </c>
      <c r="E3532" t="s">
        <v>75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74</v>
      </c>
    </row>
    <row r="3533" spans="1:20" x14ac:dyDescent="0.3">
      <c r="A3533" t="s">
        <v>65</v>
      </c>
      <c r="B3533">
        <v>193</v>
      </c>
      <c r="C3533" t="s">
        <v>71</v>
      </c>
      <c r="D3533" t="s">
        <v>74</v>
      </c>
      <c r="E3533" t="s">
        <v>74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74</v>
      </c>
    </row>
    <row r="3534" spans="1:20" x14ac:dyDescent="0.3">
      <c r="A3534" t="s">
        <v>61</v>
      </c>
      <c r="B3534">
        <v>103</v>
      </c>
      <c r="C3534" t="s">
        <v>71</v>
      </c>
      <c r="D3534" t="s">
        <v>74</v>
      </c>
      <c r="E3534" t="s">
        <v>75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74</v>
      </c>
    </row>
    <row r="3535" spans="1:20" x14ac:dyDescent="0.3">
      <c r="A3535" t="s">
        <v>35</v>
      </c>
      <c r="B3535">
        <v>36</v>
      </c>
      <c r="C3535" t="s">
        <v>71</v>
      </c>
      <c r="D3535" t="s">
        <v>75</v>
      </c>
      <c r="E3535" t="s">
        <v>75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75</v>
      </c>
    </row>
    <row r="3536" spans="1:20" x14ac:dyDescent="0.3">
      <c r="A3536" t="s">
        <v>25</v>
      </c>
      <c r="B3536">
        <v>87</v>
      </c>
      <c r="C3536" t="s">
        <v>71</v>
      </c>
      <c r="D3536" t="s">
        <v>74</v>
      </c>
      <c r="E3536" t="s">
        <v>74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74</v>
      </c>
    </row>
    <row r="3537" spans="1:20" x14ac:dyDescent="0.3">
      <c r="A3537" t="s">
        <v>55</v>
      </c>
      <c r="B3537">
        <v>1</v>
      </c>
      <c r="C3537" t="s">
        <v>72</v>
      </c>
      <c r="D3537" t="s">
        <v>74</v>
      </c>
      <c r="E3537" t="s">
        <v>74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74</v>
      </c>
    </row>
    <row r="3538" spans="1:20" x14ac:dyDescent="0.3">
      <c r="A3538" t="s">
        <v>30</v>
      </c>
      <c r="B3538">
        <v>62</v>
      </c>
      <c r="C3538" t="s">
        <v>71</v>
      </c>
      <c r="D3538" t="s">
        <v>74</v>
      </c>
      <c r="E3538" t="s">
        <v>74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74</v>
      </c>
    </row>
    <row r="3539" spans="1:20" x14ac:dyDescent="0.3">
      <c r="A3539" t="s">
        <v>41</v>
      </c>
      <c r="B3539">
        <v>112</v>
      </c>
      <c r="C3539" t="s">
        <v>71</v>
      </c>
      <c r="D3539" t="s">
        <v>74</v>
      </c>
      <c r="E3539" t="s">
        <v>74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74</v>
      </c>
    </row>
    <row r="3540" spans="1:20" x14ac:dyDescent="0.3">
      <c r="A3540" t="s">
        <v>33</v>
      </c>
      <c r="B3540">
        <v>82</v>
      </c>
      <c r="C3540" t="s">
        <v>73</v>
      </c>
      <c r="D3540" t="s">
        <v>74</v>
      </c>
      <c r="E3540" t="s">
        <v>74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74</v>
      </c>
    </row>
    <row r="3541" spans="1:20" x14ac:dyDescent="0.3">
      <c r="A3541" t="s">
        <v>21</v>
      </c>
      <c r="B3541">
        <v>55</v>
      </c>
      <c r="C3541" t="s">
        <v>71</v>
      </c>
      <c r="D3541" t="s">
        <v>74</v>
      </c>
      <c r="E3541" t="s">
        <v>75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74</v>
      </c>
    </row>
    <row r="3542" spans="1:20" x14ac:dyDescent="0.3">
      <c r="A3542" t="s">
        <v>22</v>
      </c>
      <c r="B3542">
        <v>82</v>
      </c>
      <c r="C3542" t="s">
        <v>72</v>
      </c>
      <c r="D3542" t="s">
        <v>74</v>
      </c>
      <c r="E3542" t="s">
        <v>75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74</v>
      </c>
    </row>
    <row r="3543" spans="1:20" x14ac:dyDescent="0.3">
      <c r="A3543" t="s">
        <v>61</v>
      </c>
      <c r="B3543">
        <v>69</v>
      </c>
      <c r="C3543" t="s">
        <v>71</v>
      </c>
      <c r="D3543" t="s">
        <v>74</v>
      </c>
      <c r="E3543" t="s">
        <v>74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74</v>
      </c>
    </row>
    <row r="3544" spans="1:20" x14ac:dyDescent="0.3">
      <c r="A3544" t="s">
        <v>67</v>
      </c>
      <c r="B3544">
        <v>87</v>
      </c>
      <c r="C3544" t="s">
        <v>72</v>
      </c>
      <c r="D3544" t="s">
        <v>74</v>
      </c>
      <c r="E3544" t="s">
        <v>74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75</v>
      </c>
    </row>
    <row r="3545" spans="1:20" x14ac:dyDescent="0.3">
      <c r="A3545" t="s">
        <v>65</v>
      </c>
      <c r="B3545">
        <v>63</v>
      </c>
      <c r="C3545" t="s">
        <v>71</v>
      </c>
      <c r="D3545" t="s">
        <v>74</v>
      </c>
      <c r="E3545" t="s">
        <v>74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74</v>
      </c>
    </row>
    <row r="3546" spans="1:20" x14ac:dyDescent="0.3">
      <c r="A3546" t="s">
        <v>29</v>
      </c>
      <c r="B3546">
        <v>68</v>
      </c>
      <c r="C3546" t="s">
        <v>71</v>
      </c>
      <c r="D3546" t="s">
        <v>74</v>
      </c>
      <c r="E3546" t="s">
        <v>74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74</v>
      </c>
    </row>
    <row r="3547" spans="1:20" x14ac:dyDescent="0.3">
      <c r="A3547" t="s">
        <v>34</v>
      </c>
      <c r="B3547">
        <v>119</v>
      </c>
      <c r="C3547" t="s">
        <v>72</v>
      </c>
      <c r="D3547" t="s">
        <v>74</v>
      </c>
      <c r="E3547" t="s">
        <v>74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74</v>
      </c>
    </row>
    <row r="3548" spans="1:20" x14ac:dyDescent="0.3">
      <c r="A3548" t="s">
        <v>29</v>
      </c>
      <c r="B3548">
        <v>43</v>
      </c>
      <c r="C3548" t="s">
        <v>71</v>
      </c>
      <c r="D3548" t="s">
        <v>74</v>
      </c>
      <c r="E3548" t="s">
        <v>75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74</v>
      </c>
    </row>
    <row r="3549" spans="1:20" x14ac:dyDescent="0.3">
      <c r="A3549" t="s">
        <v>60</v>
      </c>
      <c r="B3549">
        <v>136</v>
      </c>
      <c r="C3549" t="s">
        <v>72</v>
      </c>
      <c r="D3549" t="s">
        <v>74</v>
      </c>
      <c r="E3549" t="s">
        <v>74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74</v>
      </c>
    </row>
    <row r="3550" spans="1:20" x14ac:dyDescent="0.3">
      <c r="A3550" t="s">
        <v>58</v>
      </c>
      <c r="B3550">
        <v>149</v>
      </c>
      <c r="C3550" t="s">
        <v>71</v>
      </c>
      <c r="D3550" t="s">
        <v>74</v>
      </c>
      <c r="E3550" t="s">
        <v>74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74</v>
      </c>
    </row>
    <row r="3551" spans="1:20" x14ac:dyDescent="0.3">
      <c r="A3551" t="s">
        <v>38</v>
      </c>
      <c r="B3551">
        <v>77</v>
      </c>
      <c r="C3551" t="s">
        <v>71</v>
      </c>
      <c r="D3551" t="s">
        <v>74</v>
      </c>
      <c r="E3551" t="s">
        <v>74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74</v>
      </c>
    </row>
    <row r="3552" spans="1:20" x14ac:dyDescent="0.3">
      <c r="A3552" t="s">
        <v>40</v>
      </c>
      <c r="B3552">
        <v>110</v>
      </c>
      <c r="C3552" t="s">
        <v>71</v>
      </c>
      <c r="D3552" t="s">
        <v>74</v>
      </c>
      <c r="E3552" t="s">
        <v>74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74</v>
      </c>
    </row>
    <row r="3553" spans="1:20" x14ac:dyDescent="0.3">
      <c r="A3553" t="s">
        <v>41</v>
      </c>
      <c r="B3553">
        <v>70</v>
      </c>
      <c r="C3553" t="s">
        <v>71</v>
      </c>
      <c r="D3553" t="s">
        <v>74</v>
      </c>
      <c r="E3553" t="s">
        <v>74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74</v>
      </c>
    </row>
    <row r="3554" spans="1:20" x14ac:dyDescent="0.3">
      <c r="A3554" t="s">
        <v>23</v>
      </c>
      <c r="B3554">
        <v>155</v>
      </c>
      <c r="C3554" t="s">
        <v>72</v>
      </c>
      <c r="D3554" t="s">
        <v>74</v>
      </c>
      <c r="E3554" t="s">
        <v>74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74</v>
      </c>
    </row>
    <row r="3555" spans="1:20" x14ac:dyDescent="0.3">
      <c r="A3555" t="s">
        <v>63</v>
      </c>
      <c r="B3555">
        <v>151</v>
      </c>
      <c r="C3555" t="s">
        <v>71</v>
      </c>
      <c r="D3555" t="s">
        <v>74</v>
      </c>
      <c r="E3555" t="s">
        <v>75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74</v>
      </c>
    </row>
    <row r="3556" spans="1:20" x14ac:dyDescent="0.3">
      <c r="A3556" t="s">
        <v>34</v>
      </c>
      <c r="B3556">
        <v>125</v>
      </c>
      <c r="C3556" t="s">
        <v>71</v>
      </c>
      <c r="D3556" t="s">
        <v>74</v>
      </c>
      <c r="E3556" t="s">
        <v>74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75</v>
      </c>
    </row>
    <row r="3557" spans="1:20" x14ac:dyDescent="0.3">
      <c r="A3557" t="s">
        <v>28</v>
      </c>
      <c r="B3557">
        <v>83</v>
      </c>
      <c r="C3557" t="s">
        <v>71</v>
      </c>
      <c r="D3557" t="s">
        <v>74</v>
      </c>
      <c r="E3557" t="s">
        <v>74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74</v>
      </c>
    </row>
    <row r="3558" spans="1:20" x14ac:dyDescent="0.3">
      <c r="A3558" t="s">
        <v>64</v>
      </c>
      <c r="B3558">
        <v>94</v>
      </c>
      <c r="C3558" t="s">
        <v>72</v>
      </c>
      <c r="D3558" t="s">
        <v>74</v>
      </c>
      <c r="E3558" t="s">
        <v>74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74</v>
      </c>
    </row>
    <row r="3559" spans="1:20" x14ac:dyDescent="0.3">
      <c r="A3559" t="s">
        <v>33</v>
      </c>
      <c r="B3559">
        <v>11</v>
      </c>
      <c r="C3559" t="s">
        <v>71</v>
      </c>
      <c r="D3559" t="s">
        <v>74</v>
      </c>
      <c r="E3559" t="s">
        <v>75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74</v>
      </c>
    </row>
    <row r="3560" spans="1:20" x14ac:dyDescent="0.3">
      <c r="A3560" t="s">
        <v>33</v>
      </c>
      <c r="B3560">
        <v>92</v>
      </c>
      <c r="C3560" t="s">
        <v>71</v>
      </c>
      <c r="D3560" t="s">
        <v>74</v>
      </c>
      <c r="E3560" t="s">
        <v>74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74</v>
      </c>
    </row>
    <row r="3561" spans="1:20" x14ac:dyDescent="0.3">
      <c r="A3561" t="s">
        <v>27</v>
      </c>
      <c r="B3561">
        <v>70</v>
      </c>
      <c r="C3561" t="s">
        <v>71</v>
      </c>
      <c r="D3561" t="s">
        <v>74</v>
      </c>
      <c r="E3561" t="s">
        <v>75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74</v>
      </c>
    </row>
    <row r="3562" spans="1:20" x14ac:dyDescent="0.3">
      <c r="A3562" t="s">
        <v>42</v>
      </c>
      <c r="B3562">
        <v>82</v>
      </c>
      <c r="C3562" t="s">
        <v>72</v>
      </c>
      <c r="D3562" t="s">
        <v>74</v>
      </c>
      <c r="E3562" t="s">
        <v>74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74</v>
      </c>
    </row>
    <row r="3563" spans="1:20" x14ac:dyDescent="0.3">
      <c r="A3563" t="s">
        <v>33</v>
      </c>
      <c r="B3563">
        <v>65</v>
      </c>
      <c r="C3563" t="s">
        <v>73</v>
      </c>
      <c r="D3563" t="s">
        <v>74</v>
      </c>
      <c r="E3563" t="s">
        <v>74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74</v>
      </c>
    </row>
    <row r="3564" spans="1:20" x14ac:dyDescent="0.3">
      <c r="A3564" t="s">
        <v>48</v>
      </c>
      <c r="B3564">
        <v>102</v>
      </c>
      <c r="C3564" t="s">
        <v>72</v>
      </c>
      <c r="D3564" t="s">
        <v>74</v>
      </c>
      <c r="E3564" t="s">
        <v>74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75</v>
      </c>
    </row>
    <row r="3565" spans="1:20" x14ac:dyDescent="0.3">
      <c r="A3565" t="s">
        <v>54</v>
      </c>
      <c r="B3565">
        <v>78</v>
      </c>
      <c r="C3565" t="s">
        <v>73</v>
      </c>
      <c r="D3565" t="s">
        <v>74</v>
      </c>
      <c r="E3565" t="s">
        <v>74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74</v>
      </c>
    </row>
    <row r="3566" spans="1:20" x14ac:dyDescent="0.3">
      <c r="A3566" t="s">
        <v>52</v>
      </c>
      <c r="B3566">
        <v>77</v>
      </c>
      <c r="C3566" t="s">
        <v>73</v>
      </c>
      <c r="D3566" t="s">
        <v>75</v>
      </c>
      <c r="E3566" t="s">
        <v>74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74</v>
      </c>
    </row>
    <row r="3567" spans="1:20" x14ac:dyDescent="0.3">
      <c r="A3567" t="s">
        <v>59</v>
      </c>
      <c r="B3567">
        <v>58</v>
      </c>
      <c r="C3567" t="s">
        <v>71</v>
      </c>
      <c r="D3567" t="s">
        <v>74</v>
      </c>
      <c r="E3567" t="s">
        <v>75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74</v>
      </c>
    </row>
    <row r="3568" spans="1:20" x14ac:dyDescent="0.3">
      <c r="A3568" t="s">
        <v>54</v>
      </c>
      <c r="B3568">
        <v>38</v>
      </c>
      <c r="C3568" t="s">
        <v>72</v>
      </c>
      <c r="D3568" t="s">
        <v>74</v>
      </c>
      <c r="E3568" t="s">
        <v>74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74</v>
      </c>
    </row>
    <row r="3569" spans="1:20" x14ac:dyDescent="0.3">
      <c r="A3569" t="s">
        <v>37</v>
      </c>
      <c r="B3569">
        <v>87</v>
      </c>
      <c r="C3569" t="s">
        <v>73</v>
      </c>
      <c r="D3569" t="s">
        <v>74</v>
      </c>
      <c r="E3569" t="s">
        <v>74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74</v>
      </c>
    </row>
    <row r="3570" spans="1:20" x14ac:dyDescent="0.3">
      <c r="A3570" t="s">
        <v>30</v>
      </c>
      <c r="B3570">
        <v>72</v>
      </c>
      <c r="C3570" t="s">
        <v>72</v>
      </c>
      <c r="D3570" t="s">
        <v>75</v>
      </c>
      <c r="E3570" t="s">
        <v>74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74</v>
      </c>
    </row>
    <row r="3571" spans="1:20" x14ac:dyDescent="0.3">
      <c r="A3571" t="s">
        <v>63</v>
      </c>
      <c r="B3571">
        <v>69</v>
      </c>
      <c r="C3571" t="s">
        <v>71</v>
      </c>
      <c r="D3571" t="s">
        <v>74</v>
      </c>
      <c r="E3571" t="s">
        <v>74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74</v>
      </c>
    </row>
    <row r="3572" spans="1:20" x14ac:dyDescent="0.3">
      <c r="A3572" t="s">
        <v>55</v>
      </c>
      <c r="B3572">
        <v>85</v>
      </c>
      <c r="C3572" t="s">
        <v>73</v>
      </c>
      <c r="D3572" t="s">
        <v>74</v>
      </c>
      <c r="E3572" t="s">
        <v>74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74</v>
      </c>
    </row>
    <row r="3573" spans="1:20" x14ac:dyDescent="0.3">
      <c r="A3573" t="s">
        <v>50</v>
      </c>
      <c r="B3573">
        <v>176</v>
      </c>
      <c r="C3573" t="s">
        <v>71</v>
      </c>
      <c r="D3573" t="s">
        <v>74</v>
      </c>
      <c r="E3573" t="s">
        <v>74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74</v>
      </c>
    </row>
    <row r="3574" spans="1:20" x14ac:dyDescent="0.3">
      <c r="A3574" t="s">
        <v>36</v>
      </c>
      <c r="B3574">
        <v>133</v>
      </c>
      <c r="C3574" t="s">
        <v>71</v>
      </c>
      <c r="D3574" t="s">
        <v>74</v>
      </c>
      <c r="E3574" t="s">
        <v>74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74</v>
      </c>
    </row>
    <row r="3575" spans="1:20" x14ac:dyDescent="0.3">
      <c r="A3575" t="s">
        <v>57</v>
      </c>
      <c r="B3575">
        <v>146</v>
      </c>
      <c r="C3575" t="s">
        <v>71</v>
      </c>
      <c r="D3575" t="s">
        <v>74</v>
      </c>
      <c r="E3575" t="s">
        <v>74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74</v>
      </c>
    </row>
    <row r="3576" spans="1:20" x14ac:dyDescent="0.3">
      <c r="A3576" t="s">
        <v>41</v>
      </c>
      <c r="B3576">
        <v>31</v>
      </c>
      <c r="C3576" t="s">
        <v>71</v>
      </c>
      <c r="D3576" t="s">
        <v>74</v>
      </c>
      <c r="E3576" t="s">
        <v>74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74</v>
      </c>
    </row>
    <row r="3577" spans="1:20" x14ac:dyDescent="0.3">
      <c r="A3577" t="s">
        <v>69</v>
      </c>
      <c r="B3577">
        <v>78</v>
      </c>
      <c r="C3577" t="s">
        <v>71</v>
      </c>
      <c r="D3577" t="s">
        <v>75</v>
      </c>
      <c r="E3577" t="s">
        <v>74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75</v>
      </c>
    </row>
    <row r="3578" spans="1:20" x14ac:dyDescent="0.3">
      <c r="A3578" t="s">
        <v>64</v>
      </c>
      <c r="B3578">
        <v>118</v>
      </c>
      <c r="C3578" t="s">
        <v>71</v>
      </c>
      <c r="D3578" t="s">
        <v>74</v>
      </c>
      <c r="E3578" t="s">
        <v>74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74</v>
      </c>
    </row>
    <row r="3579" spans="1:20" x14ac:dyDescent="0.3">
      <c r="A3579" t="s">
        <v>59</v>
      </c>
      <c r="B3579">
        <v>119</v>
      </c>
      <c r="C3579" t="s">
        <v>72</v>
      </c>
      <c r="D3579" t="s">
        <v>74</v>
      </c>
      <c r="E3579" t="s">
        <v>74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74</v>
      </c>
    </row>
    <row r="3580" spans="1:20" x14ac:dyDescent="0.3">
      <c r="A3580" t="s">
        <v>33</v>
      </c>
      <c r="B3580">
        <v>141</v>
      </c>
      <c r="C3580" t="s">
        <v>73</v>
      </c>
      <c r="D3580" t="s">
        <v>74</v>
      </c>
      <c r="E3580" t="s">
        <v>74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75</v>
      </c>
    </row>
    <row r="3581" spans="1:20" x14ac:dyDescent="0.3">
      <c r="A3581" t="s">
        <v>63</v>
      </c>
      <c r="B3581">
        <v>150</v>
      </c>
      <c r="C3581" t="s">
        <v>72</v>
      </c>
      <c r="D3581" t="s">
        <v>75</v>
      </c>
      <c r="E3581" t="s">
        <v>74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75</v>
      </c>
    </row>
    <row r="3582" spans="1:20" x14ac:dyDescent="0.3">
      <c r="A3582" t="s">
        <v>42</v>
      </c>
      <c r="B3582">
        <v>76</v>
      </c>
      <c r="C3582" t="s">
        <v>71</v>
      </c>
      <c r="D3582" t="s">
        <v>74</v>
      </c>
      <c r="E3582" t="s">
        <v>74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74</v>
      </c>
    </row>
    <row r="3583" spans="1:20" x14ac:dyDescent="0.3">
      <c r="A3583" t="s">
        <v>29</v>
      </c>
      <c r="B3583">
        <v>159</v>
      </c>
      <c r="C3583" t="s">
        <v>72</v>
      </c>
      <c r="D3583" t="s">
        <v>74</v>
      </c>
      <c r="E3583" t="s">
        <v>75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74</v>
      </c>
    </row>
    <row r="3584" spans="1:20" x14ac:dyDescent="0.3">
      <c r="A3584" t="s">
        <v>42</v>
      </c>
      <c r="B3584">
        <v>66</v>
      </c>
      <c r="C3584" t="s">
        <v>71</v>
      </c>
      <c r="D3584" t="s">
        <v>74</v>
      </c>
      <c r="E3584" t="s">
        <v>74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74</v>
      </c>
    </row>
    <row r="3585" spans="1:20" x14ac:dyDescent="0.3">
      <c r="A3585" t="s">
        <v>49</v>
      </c>
      <c r="B3585">
        <v>139</v>
      </c>
      <c r="C3585" t="s">
        <v>71</v>
      </c>
      <c r="D3585" t="s">
        <v>74</v>
      </c>
      <c r="E3585" t="s">
        <v>74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74</v>
      </c>
    </row>
    <row r="3586" spans="1:20" x14ac:dyDescent="0.3">
      <c r="A3586" t="s">
        <v>23</v>
      </c>
      <c r="B3586">
        <v>122</v>
      </c>
      <c r="C3586" t="s">
        <v>71</v>
      </c>
      <c r="D3586" t="s">
        <v>75</v>
      </c>
      <c r="E3586" t="s">
        <v>74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74</v>
      </c>
    </row>
    <row r="3587" spans="1:20" x14ac:dyDescent="0.3">
      <c r="A3587" t="s">
        <v>39</v>
      </c>
      <c r="B3587">
        <v>91</v>
      </c>
      <c r="C3587" t="s">
        <v>71</v>
      </c>
      <c r="D3587" t="s">
        <v>74</v>
      </c>
      <c r="E3587" t="s">
        <v>74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75</v>
      </c>
    </row>
    <row r="3588" spans="1:20" x14ac:dyDescent="0.3">
      <c r="A3588" t="s">
        <v>46</v>
      </c>
      <c r="B3588">
        <v>131</v>
      </c>
      <c r="C3588" t="s">
        <v>71</v>
      </c>
      <c r="D3588" t="s">
        <v>74</v>
      </c>
      <c r="E3588" t="s">
        <v>74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74</v>
      </c>
    </row>
    <row r="3589" spans="1:20" x14ac:dyDescent="0.3">
      <c r="A3589" t="s">
        <v>25</v>
      </c>
      <c r="B3589">
        <v>135</v>
      </c>
      <c r="C3589" t="s">
        <v>71</v>
      </c>
      <c r="D3589" t="s">
        <v>74</v>
      </c>
      <c r="E3589" t="s">
        <v>74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74</v>
      </c>
    </row>
    <row r="3590" spans="1:20" x14ac:dyDescent="0.3">
      <c r="A3590" t="s">
        <v>20</v>
      </c>
      <c r="B3590">
        <v>129</v>
      </c>
      <c r="C3590" t="s">
        <v>71</v>
      </c>
      <c r="D3590" t="s">
        <v>74</v>
      </c>
      <c r="E3590" t="s">
        <v>74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74</v>
      </c>
    </row>
    <row r="3591" spans="1:20" x14ac:dyDescent="0.3">
      <c r="A3591" t="s">
        <v>65</v>
      </c>
      <c r="B3591">
        <v>85</v>
      </c>
      <c r="C3591" t="s">
        <v>71</v>
      </c>
      <c r="D3591" t="s">
        <v>74</v>
      </c>
      <c r="E3591" t="s">
        <v>74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74</v>
      </c>
    </row>
    <row r="3592" spans="1:20" x14ac:dyDescent="0.3">
      <c r="A3592" t="s">
        <v>29</v>
      </c>
      <c r="B3592">
        <v>125</v>
      </c>
      <c r="C3592" t="s">
        <v>73</v>
      </c>
      <c r="D3592" t="s">
        <v>74</v>
      </c>
      <c r="E3592" t="s">
        <v>74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74</v>
      </c>
    </row>
    <row r="3593" spans="1:20" x14ac:dyDescent="0.3">
      <c r="A3593" t="s">
        <v>59</v>
      </c>
      <c r="B3593">
        <v>67</v>
      </c>
      <c r="C3593" t="s">
        <v>71</v>
      </c>
      <c r="D3593" t="s">
        <v>74</v>
      </c>
      <c r="E3593" t="s">
        <v>74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74</v>
      </c>
    </row>
    <row r="3594" spans="1:20" x14ac:dyDescent="0.3">
      <c r="A3594" t="s">
        <v>36</v>
      </c>
      <c r="B3594">
        <v>61</v>
      </c>
      <c r="C3594" t="s">
        <v>71</v>
      </c>
      <c r="D3594" t="s">
        <v>74</v>
      </c>
      <c r="E3594" t="s">
        <v>75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74</v>
      </c>
    </row>
    <row r="3595" spans="1:20" x14ac:dyDescent="0.3">
      <c r="A3595" t="s">
        <v>58</v>
      </c>
      <c r="B3595">
        <v>135</v>
      </c>
      <c r="C3595" t="s">
        <v>73</v>
      </c>
      <c r="D3595" t="s">
        <v>75</v>
      </c>
      <c r="E3595" t="s">
        <v>74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74</v>
      </c>
    </row>
    <row r="3596" spans="1:20" x14ac:dyDescent="0.3">
      <c r="A3596" t="s">
        <v>65</v>
      </c>
      <c r="B3596">
        <v>43</v>
      </c>
      <c r="C3596" t="s">
        <v>72</v>
      </c>
      <c r="D3596" t="s">
        <v>74</v>
      </c>
      <c r="E3596" t="s">
        <v>75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74</v>
      </c>
    </row>
    <row r="3597" spans="1:20" x14ac:dyDescent="0.3">
      <c r="A3597" t="s">
        <v>37</v>
      </c>
      <c r="B3597">
        <v>120</v>
      </c>
      <c r="C3597" t="s">
        <v>71</v>
      </c>
      <c r="D3597" t="s">
        <v>74</v>
      </c>
      <c r="E3597" t="s">
        <v>74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74</v>
      </c>
    </row>
    <row r="3598" spans="1:20" x14ac:dyDescent="0.3">
      <c r="A3598" t="s">
        <v>30</v>
      </c>
      <c r="B3598">
        <v>62</v>
      </c>
      <c r="C3598" t="s">
        <v>71</v>
      </c>
      <c r="D3598" t="s">
        <v>74</v>
      </c>
      <c r="E3598" t="s">
        <v>74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74</v>
      </c>
    </row>
    <row r="3599" spans="1:20" x14ac:dyDescent="0.3">
      <c r="A3599" t="s">
        <v>65</v>
      </c>
      <c r="B3599">
        <v>160</v>
      </c>
      <c r="C3599" t="s">
        <v>73</v>
      </c>
      <c r="D3599" t="s">
        <v>74</v>
      </c>
      <c r="E3599" t="s">
        <v>75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74</v>
      </c>
    </row>
    <row r="3600" spans="1:20" x14ac:dyDescent="0.3">
      <c r="A3600" t="s">
        <v>42</v>
      </c>
      <c r="B3600">
        <v>67</v>
      </c>
      <c r="C3600" t="s">
        <v>72</v>
      </c>
      <c r="D3600" t="s">
        <v>74</v>
      </c>
      <c r="E3600" t="s">
        <v>74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75</v>
      </c>
    </row>
    <row r="3601" spans="1:20" x14ac:dyDescent="0.3">
      <c r="A3601" t="s">
        <v>70</v>
      </c>
      <c r="B3601">
        <v>98</v>
      </c>
      <c r="C3601" t="s">
        <v>71</v>
      </c>
      <c r="D3601" t="s">
        <v>74</v>
      </c>
      <c r="E3601" t="s">
        <v>74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74</v>
      </c>
    </row>
    <row r="3602" spans="1:20" x14ac:dyDescent="0.3">
      <c r="A3602" t="s">
        <v>44</v>
      </c>
      <c r="B3602">
        <v>103</v>
      </c>
      <c r="C3602" t="s">
        <v>72</v>
      </c>
      <c r="D3602" t="s">
        <v>74</v>
      </c>
      <c r="E3602" t="s">
        <v>74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75</v>
      </c>
    </row>
    <row r="3603" spans="1:20" x14ac:dyDescent="0.3">
      <c r="A3603" t="s">
        <v>69</v>
      </c>
      <c r="B3603">
        <v>121</v>
      </c>
      <c r="C3603" t="s">
        <v>71</v>
      </c>
      <c r="D3603" t="s">
        <v>74</v>
      </c>
      <c r="E3603" t="s">
        <v>74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74</v>
      </c>
    </row>
    <row r="3604" spans="1:20" x14ac:dyDescent="0.3">
      <c r="A3604" t="s">
        <v>27</v>
      </c>
      <c r="B3604">
        <v>111</v>
      </c>
      <c r="C3604" t="s">
        <v>71</v>
      </c>
      <c r="D3604" t="s">
        <v>74</v>
      </c>
      <c r="E3604" t="s">
        <v>74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74</v>
      </c>
    </row>
    <row r="3605" spans="1:20" x14ac:dyDescent="0.3">
      <c r="A3605" t="s">
        <v>24</v>
      </c>
      <c r="B3605">
        <v>127</v>
      </c>
      <c r="C3605" t="s">
        <v>73</v>
      </c>
      <c r="D3605" t="s">
        <v>74</v>
      </c>
      <c r="E3605" t="s">
        <v>74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74</v>
      </c>
    </row>
    <row r="3606" spans="1:20" x14ac:dyDescent="0.3">
      <c r="A3606" t="s">
        <v>41</v>
      </c>
      <c r="B3606">
        <v>65</v>
      </c>
      <c r="C3606" t="s">
        <v>72</v>
      </c>
      <c r="D3606" t="s">
        <v>74</v>
      </c>
      <c r="E3606" t="s">
        <v>74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75</v>
      </c>
    </row>
    <row r="3607" spans="1:20" x14ac:dyDescent="0.3">
      <c r="A3607" t="s">
        <v>37</v>
      </c>
      <c r="B3607">
        <v>86</v>
      </c>
      <c r="C3607" t="s">
        <v>72</v>
      </c>
      <c r="D3607" t="s">
        <v>74</v>
      </c>
      <c r="E3607" t="s">
        <v>74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75</v>
      </c>
    </row>
    <row r="3608" spans="1:20" x14ac:dyDescent="0.3">
      <c r="A3608" t="s">
        <v>59</v>
      </c>
      <c r="B3608">
        <v>119</v>
      </c>
      <c r="C3608" t="s">
        <v>72</v>
      </c>
      <c r="D3608" t="s">
        <v>74</v>
      </c>
      <c r="E3608" t="s">
        <v>74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74</v>
      </c>
    </row>
    <row r="3609" spans="1:20" x14ac:dyDescent="0.3">
      <c r="A3609" t="s">
        <v>31</v>
      </c>
      <c r="B3609">
        <v>113</v>
      </c>
      <c r="C3609" t="s">
        <v>71</v>
      </c>
      <c r="D3609" t="s">
        <v>74</v>
      </c>
      <c r="E3609" t="s">
        <v>74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74</v>
      </c>
    </row>
    <row r="3610" spans="1:20" x14ac:dyDescent="0.3">
      <c r="A3610" t="s">
        <v>66</v>
      </c>
      <c r="B3610">
        <v>126</v>
      </c>
      <c r="C3610" t="s">
        <v>71</v>
      </c>
      <c r="D3610" t="s">
        <v>74</v>
      </c>
      <c r="E3610" t="s">
        <v>74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74</v>
      </c>
    </row>
    <row r="3611" spans="1:20" x14ac:dyDescent="0.3">
      <c r="A3611" t="s">
        <v>44</v>
      </c>
      <c r="B3611">
        <v>103</v>
      </c>
      <c r="C3611" t="s">
        <v>71</v>
      </c>
      <c r="D3611" t="s">
        <v>74</v>
      </c>
      <c r="E3611" t="s">
        <v>74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75</v>
      </c>
    </row>
    <row r="3612" spans="1:20" x14ac:dyDescent="0.3">
      <c r="A3612" t="s">
        <v>36</v>
      </c>
      <c r="B3612">
        <v>104</v>
      </c>
      <c r="C3612" t="s">
        <v>71</v>
      </c>
      <c r="D3612" t="s">
        <v>74</v>
      </c>
      <c r="E3612" t="s">
        <v>74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74</v>
      </c>
    </row>
    <row r="3613" spans="1:20" x14ac:dyDescent="0.3">
      <c r="A3613" t="s">
        <v>32</v>
      </c>
      <c r="B3613">
        <v>56</v>
      </c>
      <c r="C3613" t="s">
        <v>71</v>
      </c>
      <c r="D3613" t="s">
        <v>74</v>
      </c>
      <c r="E3613" t="s">
        <v>74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74</v>
      </c>
    </row>
    <row r="3614" spans="1:20" x14ac:dyDescent="0.3">
      <c r="A3614" t="s">
        <v>64</v>
      </c>
      <c r="B3614">
        <v>56</v>
      </c>
      <c r="C3614" t="s">
        <v>72</v>
      </c>
      <c r="D3614" t="s">
        <v>74</v>
      </c>
      <c r="E3614" t="s">
        <v>75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74</v>
      </c>
    </row>
    <row r="3615" spans="1:20" x14ac:dyDescent="0.3">
      <c r="A3615" t="s">
        <v>48</v>
      </c>
      <c r="B3615">
        <v>155</v>
      </c>
      <c r="C3615" t="s">
        <v>71</v>
      </c>
      <c r="D3615" t="s">
        <v>75</v>
      </c>
      <c r="E3615" t="s">
        <v>74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75</v>
      </c>
    </row>
    <row r="3616" spans="1:20" x14ac:dyDescent="0.3">
      <c r="A3616" t="s">
        <v>43</v>
      </c>
      <c r="B3616">
        <v>100</v>
      </c>
      <c r="C3616" t="s">
        <v>73</v>
      </c>
      <c r="D3616" t="s">
        <v>74</v>
      </c>
      <c r="E3616" t="s">
        <v>75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74</v>
      </c>
    </row>
    <row r="3617" spans="1:20" x14ac:dyDescent="0.3">
      <c r="A3617" t="s">
        <v>59</v>
      </c>
      <c r="B3617">
        <v>113</v>
      </c>
      <c r="C3617" t="s">
        <v>73</v>
      </c>
      <c r="D3617" t="s">
        <v>74</v>
      </c>
      <c r="E3617" t="s">
        <v>74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74</v>
      </c>
    </row>
    <row r="3618" spans="1:20" x14ac:dyDescent="0.3">
      <c r="A3618" t="s">
        <v>37</v>
      </c>
      <c r="B3618">
        <v>103</v>
      </c>
      <c r="C3618" t="s">
        <v>71</v>
      </c>
      <c r="D3618" t="s">
        <v>74</v>
      </c>
      <c r="E3618" t="s">
        <v>75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74</v>
      </c>
    </row>
    <row r="3619" spans="1:20" x14ac:dyDescent="0.3">
      <c r="A3619" t="s">
        <v>28</v>
      </c>
      <c r="B3619">
        <v>160</v>
      </c>
      <c r="C3619" t="s">
        <v>71</v>
      </c>
      <c r="D3619" t="s">
        <v>74</v>
      </c>
      <c r="E3619" t="s">
        <v>74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74</v>
      </c>
    </row>
    <row r="3620" spans="1:20" x14ac:dyDescent="0.3">
      <c r="A3620" t="s">
        <v>30</v>
      </c>
      <c r="B3620">
        <v>142</v>
      </c>
      <c r="C3620" t="s">
        <v>73</v>
      </c>
      <c r="D3620" t="s">
        <v>74</v>
      </c>
      <c r="E3620" t="s">
        <v>75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74</v>
      </c>
    </row>
    <row r="3621" spans="1:20" x14ac:dyDescent="0.3">
      <c r="A3621" t="s">
        <v>44</v>
      </c>
      <c r="B3621">
        <v>73</v>
      </c>
      <c r="C3621" t="s">
        <v>71</v>
      </c>
      <c r="D3621" t="s">
        <v>75</v>
      </c>
      <c r="E3621" t="s">
        <v>75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74</v>
      </c>
    </row>
    <row r="3622" spans="1:20" x14ac:dyDescent="0.3">
      <c r="A3622" t="s">
        <v>47</v>
      </c>
      <c r="B3622">
        <v>135</v>
      </c>
      <c r="C3622" t="s">
        <v>71</v>
      </c>
      <c r="D3622" t="s">
        <v>74</v>
      </c>
      <c r="E3622" t="s">
        <v>75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74</v>
      </c>
    </row>
    <row r="3623" spans="1:20" x14ac:dyDescent="0.3">
      <c r="A3623" t="s">
        <v>52</v>
      </c>
      <c r="B3623">
        <v>29</v>
      </c>
      <c r="C3623" t="s">
        <v>71</v>
      </c>
      <c r="D3623" t="s">
        <v>74</v>
      </c>
      <c r="E3623" t="s">
        <v>74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74</v>
      </c>
    </row>
    <row r="3624" spans="1:20" x14ac:dyDescent="0.3">
      <c r="A3624" t="s">
        <v>39</v>
      </c>
      <c r="B3624">
        <v>158</v>
      </c>
      <c r="C3624" t="s">
        <v>71</v>
      </c>
      <c r="D3624" t="s">
        <v>74</v>
      </c>
      <c r="E3624" t="s">
        <v>74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74</v>
      </c>
    </row>
    <row r="3625" spans="1:20" x14ac:dyDescent="0.3">
      <c r="A3625" t="s">
        <v>68</v>
      </c>
      <c r="B3625">
        <v>104</v>
      </c>
      <c r="C3625" t="s">
        <v>71</v>
      </c>
      <c r="D3625" t="s">
        <v>74</v>
      </c>
      <c r="E3625" t="s">
        <v>74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75</v>
      </c>
    </row>
    <row r="3626" spans="1:20" x14ac:dyDescent="0.3">
      <c r="A3626" t="s">
        <v>56</v>
      </c>
      <c r="B3626">
        <v>74</v>
      </c>
      <c r="C3626" t="s">
        <v>72</v>
      </c>
      <c r="D3626" t="s">
        <v>74</v>
      </c>
      <c r="E3626" t="s">
        <v>74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74</v>
      </c>
    </row>
    <row r="3627" spans="1:20" x14ac:dyDescent="0.3">
      <c r="A3627" t="s">
        <v>58</v>
      </c>
      <c r="B3627">
        <v>28</v>
      </c>
      <c r="C3627" t="s">
        <v>71</v>
      </c>
      <c r="D3627" t="s">
        <v>74</v>
      </c>
      <c r="E3627" t="s">
        <v>74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74</v>
      </c>
    </row>
    <row r="3628" spans="1:20" x14ac:dyDescent="0.3">
      <c r="A3628" t="s">
        <v>69</v>
      </c>
      <c r="B3628">
        <v>45</v>
      </c>
      <c r="C3628" t="s">
        <v>71</v>
      </c>
      <c r="D3628" t="s">
        <v>75</v>
      </c>
      <c r="E3628" t="s">
        <v>74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75</v>
      </c>
    </row>
    <row r="3629" spans="1:20" x14ac:dyDescent="0.3">
      <c r="A3629" t="s">
        <v>50</v>
      </c>
      <c r="B3629">
        <v>60</v>
      </c>
      <c r="C3629" t="s">
        <v>71</v>
      </c>
      <c r="D3629" t="s">
        <v>74</v>
      </c>
      <c r="E3629" t="s">
        <v>74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74</v>
      </c>
    </row>
    <row r="3630" spans="1:20" x14ac:dyDescent="0.3">
      <c r="A3630" t="s">
        <v>59</v>
      </c>
      <c r="B3630">
        <v>173</v>
      </c>
      <c r="C3630" t="s">
        <v>73</v>
      </c>
      <c r="D3630" t="s">
        <v>74</v>
      </c>
      <c r="E3630" t="s">
        <v>74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75</v>
      </c>
    </row>
    <row r="3631" spans="1:20" x14ac:dyDescent="0.3">
      <c r="A3631" t="s">
        <v>39</v>
      </c>
      <c r="B3631">
        <v>152</v>
      </c>
      <c r="C3631" t="s">
        <v>73</v>
      </c>
      <c r="D3631" t="s">
        <v>74</v>
      </c>
      <c r="E3631" t="s">
        <v>75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74</v>
      </c>
    </row>
    <row r="3632" spans="1:20" x14ac:dyDescent="0.3">
      <c r="A3632" t="s">
        <v>55</v>
      </c>
      <c r="B3632">
        <v>140</v>
      </c>
      <c r="C3632" t="s">
        <v>72</v>
      </c>
      <c r="D3632" t="s">
        <v>74</v>
      </c>
      <c r="E3632" t="s">
        <v>74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74</v>
      </c>
    </row>
    <row r="3633" spans="1:20" x14ac:dyDescent="0.3">
      <c r="A3633" t="s">
        <v>63</v>
      </c>
      <c r="B3633">
        <v>94</v>
      </c>
      <c r="C3633" t="s">
        <v>71</v>
      </c>
      <c r="D3633" t="s">
        <v>74</v>
      </c>
      <c r="E3633" t="s">
        <v>75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74</v>
      </c>
    </row>
    <row r="3634" spans="1:20" x14ac:dyDescent="0.3">
      <c r="A3634" t="s">
        <v>62</v>
      </c>
      <c r="B3634">
        <v>88</v>
      </c>
      <c r="C3634" t="s">
        <v>71</v>
      </c>
      <c r="D3634" t="s">
        <v>74</v>
      </c>
      <c r="E3634" t="s">
        <v>74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74</v>
      </c>
    </row>
    <row r="3635" spans="1:20" x14ac:dyDescent="0.3">
      <c r="A3635" t="s">
        <v>58</v>
      </c>
      <c r="B3635">
        <v>170</v>
      </c>
      <c r="C3635" t="s">
        <v>73</v>
      </c>
      <c r="D3635" t="s">
        <v>74</v>
      </c>
      <c r="E3635" t="s">
        <v>75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74</v>
      </c>
    </row>
    <row r="3636" spans="1:20" x14ac:dyDescent="0.3">
      <c r="A3636" t="s">
        <v>56</v>
      </c>
      <c r="B3636">
        <v>57</v>
      </c>
      <c r="C3636" t="s">
        <v>72</v>
      </c>
      <c r="D3636" t="s">
        <v>74</v>
      </c>
      <c r="E3636" t="s">
        <v>74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74</v>
      </c>
    </row>
    <row r="3637" spans="1:20" x14ac:dyDescent="0.3">
      <c r="A3637" t="s">
        <v>66</v>
      </c>
      <c r="B3637">
        <v>102</v>
      </c>
      <c r="C3637" t="s">
        <v>73</v>
      </c>
      <c r="D3637" t="s">
        <v>74</v>
      </c>
      <c r="E3637" t="s">
        <v>75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74</v>
      </c>
    </row>
    <row r="3638" spans="1:20" x14ac:dyDescent="0.3">
      <c r="A3638" t="s">
        <v>61</v>
      </c>
      <c r="B3638">
        <v>49</v>
      </c>
      <c r="C3638" t="s">
        <v>73</v>
      </c>
      <c r="D3638" t="s">
        <v>74</v>
      </c>
      <c r="E3638" t="s">
        <v>74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75</v>
      </c>
    </row>
    <row r="3639" spans="1:20" x14ac:dyDescent="0.3">
      <c r="A3639" t="s">
        <v>51</v>
      </c>
      <c r="B3639">
        <v>195</v>
      </c>
      <c r="C3639" t="s">
        <v>71</v>
      </c>
      <c r="D3639" t="s">
        <v>74</v>
      </c>
      <c r="E3639" t="s">
        <v>74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74</v>
      </c>
    </row>
    <row r="3640" spans="1:20" x14ac:dyDescent="0.3">
      <c r="A3640" t="s">
        <v>57</v>
      </c>
      <c r="B3640">
        <v>64</v>
      </c>
      <c r="C3640" t="s">
        <v>71</v>
      </c>
      <c r="D3640" t="s">
        <v>74</v>
      </c>
      <c r="E3640" t="s">
        <v>74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75</v>
      </c>
    </row>
    <row r="3641" spans="1:20" x14ac:dyDescent="0.3">
      <c r="A3641" t="s">
        <v>43</v>
      </c>
      <c r="B3641">
        <v>105</v>
      </c>
      <c r="C3641" t="s">
        <v>73</v>
      </c>
      <c r="D3641" t="s">
        <v>75</v>
      </c>
      <c r="E3641" t="s">
        <v>74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75</v>
      </c>
    </row>
    <row r="3642" spans="1:20" x14ac:dyDescent="0.3">
      <c r="A3642" t="s">
        <v>58</v>
      </c>
      <c r="B3642">
        <v>81</v>
      </c>
      <c r="C3642" t="s">
        <v>71</v>
      </c>
      <c r="D3642" t="s">
        <v>74</v>
      </c>
      <c r="E3642" t="s">
        <v>75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74</v>
      </c>
    </row>
    <row r="3643" spans="1:20" x14ac:dyDescent="0.3">
      <c r="A3643" t="s">
        <v>27</v>
      </c>
      <c r="B3643">
        <v>63</v>
      </c>
      <c r="C3643" t="s">
        <v>73</v>
      </c>
      <c r="D3643" t="s">
        <v>74</v>
      </c>
      <c r="E3643" t="s">
        <v>74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74</v>
      </c>
    </row>
    <row r="3644" spans="1:20" x14ac:dyDescent="0.3">
      <c r="A3644" t="s">
        <v>40</v>
      </c>
      <c r="B3644">
        <v>126</v>
      </c>
      <c r="C3644" t="s">
        <v>71</v>
      </c>
      <c r="D3644" t="s">
        <v>74</v>
      </c>
      <c r="E3644" t="s">
        <v>74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74</v>
      </c>
    </row>
    <row r="3645" spans="1:20" x14ac:dyDescent="0.3">
      <c r="A3645" t="s">
        <v>58</v>
      </c>
      <c r="B3645">
        <v>153</v>
      </c>
      <c r="C3645" t="s">
        <v>71</v>
      </c>
      <c r="D3645" t="s">
        <v>74</v>
      </c>
      <c r="E3645" t="s">
        <v>74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74</v>
      </c>
    </row>
    <row r="3646" spans="1:20" x14ac:dyDescent="0.3">
      <c r="A3646" t="s">
        <v>58</v>
      </c>
      <c r="B3646">
        <v>67</v>
      </c>
      <c r="C3646" t="s">
        <v>71</v>
      </c>
      <c r="D3646" t="s">
        <v>74</v>
      </c>
      <c r="E3646" t="s">
        <v>74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74</v>
      </c>
    </row>
    <row r="3647" spans="1:20" x14ac:dyDescent="0.3">
      <c r="A3647" t="s">
        <v>36</v>
      </c>
      <c r="B3647">
        <v>65</v>
      </c>
      <c r="C3647" t="s">
        <v>73</v>
      </c>
      <c r="D3647" t="s">
        <v>74</v>
      </c>
      <c r="E3647" t="s">
        <v>74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74</v>
      </c>
    </row>
    <row r="3648" spans="1:20" x14ac:dyDescent="0.3">
      <c r="A3648" t="s">
        <v>22</v>
      </c>
      <c r="B3648">
        <v>21</v>
      </c>
      <c r="C3648" t="s">
        <v>73</v>
      </c>
      <c r="D3648" t="s">
        <v>74</v>
      </c>
      <c r="E3648" t="s">
        <v>74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74</v>
      </c>
    </row>
    <row r="3649" spans="1:20" x14ac:dyDescent="0.3">
      <c r="A3649" t="s">
        <v>50</v>
      </c>
      <c r="B3649">
        <v>72</v>
      </c>
      <c r="C3649" t="s">
        <v>72</v>
      </c>
      <c r="D3649" t="s">
        <v>74</v>
      </c>
      <c r="E3649" t="s">
        <v>74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74</v>
      </c>
    </row>
    <row r="3650" spans="1:20" x14ac:dyDescent="0.3">
      <c r="A3650" t="s">
        <v>65</v>
      </c>
      <c r="B3650">
        <v>176</v>
      </c>
      <c r="C3650" t="s">
        <v>72</v>
      </c>
      <c r="D3650" t="s">
        <v>74</v>
      </c>
      <c r="E3650" t="s">
        <v>74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75</v>
      </c>
    </row>
    <row r="3651" spans="1:20" x14ac:dyDescent="0.3">
      <c r="A3651" t="s">
        <v>34</v>
      </c>
      <c r="B3651">
        <v>150</v>
      </c>
      <c r="C3651" t="s">
        <v>73</v>
      </c>
      <c r="D3651" t="s">
        <v>74</v>
      </c>
      <c r="E3651" t="s">
        <v>75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74</v>
      </c>
    </row>
    <row r="3652" spans="1:20" x14ac:dyDescent="0.3">
      <c r="A3652" t="s">
        <v>25</v>
      </c>
      <c r="B3652">
        <v>108</v>
      </c>
      <c r="C3652" t="s">
        <v>72</v>
      </c>
      <c r="D3652" t="s">
        <v>75</v>
      </c>
      <c r="E3652" t="s">
        <v>74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75</v>
      </c>
    </row>
    <row r="3653" spans="1:20" x14ac:dyDescent="0.3">
      <c r="A3653" t="s">
        <v>55</v>
      </c>
      <c r="B3653">
        <v>129</v>
      </c>
      <c r="C3653" t="s">
        <v>72</v>
      </c>
      <c r="D3653" t="s">
        <v>74</v>
      </c>
      <c r="E3653" t="s">
        <v>75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74</v>
      </c>
    </row>
    <row r="3654" spans="1:20" x14ac:dyDescent="0.3">
      <c r="A3654" t="s">
        <v>41</v>
      </c>
      <c r="B3654">
        <v>73</v>
      </c>
      <c r="C3654" t="s">
        <v>72</v>
      </c>
      <c r="D3654" t="s">
        <v>75</v>
      </c>
      <c r="E3654" t="s">
        <v>74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74</v>
      </c>
    </row>
    <row r="3655" spans="1:20" x14ac:dyDescent="0.3">
      <c r="A3655" t="s">
        <v>45</v>
      </c>
      <c r="B3655">
        <v>90</v>
      </c>
      <c r="C3655" t="s">
        <v>71</v>
      </c>
      <c r="D3655" t="s">
        <v>74</v>
      </c>
      <c r="E3655" t="s">
        <v>74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74</v>
      </c>
    </row>
    <row r="3656" spans="1:20" x14ac:dyDescent="0.3">
      <c r="A3656" t="s">
        <v>68</v>
      </c>
      <c r="B3656">
        <v>105</v>
      </c>
      <c r="C3656" t="s">
        <v>73</v>
      </c>
      <c r="D3656" t="s">
        <v>74</v>
      </c>
      <c r="E3656" t="s">
        <v>74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74</v>
      </c>
    </row>
    <row r="3657" spans="1:20" x14ac:dyDescent="0.3">
      <c r="A3657" t="s">
        <v>37</v>
      </c>
      <c r="B3657">
        <v>115</v>
      </c>
      <c r="C3657" t="s">
        <v>73</v>
      </c>
      <c r="D3657" t="s">
        <v>74</v>
      </c>
      <c r="E3657" t="s">
        <v>74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74</v>
      </c>
    </row>
    <row r="3658" spans="1:20" x14ac:dyDescent="0.3">
      <c r="A3658" t="s">
        <v>61</v>
      </c>
      <c r="B3658">
        <v>82</v>
      </c>
      <c r="C3658" t="s">
        <v>71</v>
      </c>
      <c r="D3658" t="s">
        <v>74</v>
      </c>
      <c r="E3658" t="s">
        <v>74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74</v>
      </c>
    </row>
    <row r="3659" spans="1:20" x14ac:dyDescent="0.3">
      <c r="A3659" t="s">
        <v>59</v>
      </c>
      <c r="B3659">
        <v>77</v>
      </c>
      <c r="C3659" t="s">
        <v>71</v>
      </c>
      <c r="D3659" t="s">
        <v>74</v>
      </c>
      <c r="E3659" t="s">
        <v>74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74</v>
      </c>
    </row>
    <row r="3660" spans="1:20" x14ac:dyDescent="0.3">
      <c r="A3660" t="s">
        <v>46</v>
      </c>
      <c r="B3660">
        <v>201</v>
      </c>
      <c r="C3660" t="s">
        <v>72</v>
      </c>
      <c r="D3660" t="s">
        <v>74</v>
      </c>
      <c r="E3660" t="s">
        <v>74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74</v>
      </c>
    </row>
    <row r="3661" spans="1:20" x14ac:dyDescent="0.3">
      <c r="A3661" t="s">
        <v>66</v>
      </c>
      <c r="B3661">
        <v>139</v>
      </c>
      <c r="C3661" t="s">
        <v>71</v>
      </c>
      <c r="D3661" t="s">
        <v>75</v>
      </c>
      <c r="E3661" t="s">
        <v>74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74</v>
      </c>
    </row>
    <row r="3662" spans="1:20" x14ac:dyDescent="0.3">
      <c r="A3662" t="s">
        <v>70</v>
      </c>
      <c r="B3662">
        <v>94</v>
      </c>
      <c r="C3662" t="s">
        <v>73</v>
      </c>
      <c r="D3662" t="s">
        <v>74</v>
      </c>
      <c r="E3662" t="s">
        <v>74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74</v>
      </c>
    </row>
    <row r="3663" spans="1:20" x14ac:dyDescent="0.3">
      <c r="A3663" t="s">
        <v>42</v>
      </c>
      <c r="B3663">
        <v>95</v>
      </c>
      <c r="C3663" t="s">
        <v>71</v>
      </c>
      <c r="D3663" t="s">
        <v>74</v>
      </c>
      <c r="E3663" t="s">
        <v>74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74</v>
      </c>
    </row>
    <row r="3664" spans="1:20" x14ac:dyDescent="0.3">
      <c r="A3664" t="s">
        <v>68</v>
      </c>
      <c r="B3664">
        <v>138</v>
      </c>
      <c r="C3664" t="s">
        <v>73</v>
      </c>
      <c r="D3664" t="s">
        <v>74</v>
      </c>
      <c r="E3664" t="s">
        <v>74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74</v>
      </c>
    </row>
    <row r="3665" spans="1:20" x14ac:dyDescent="0.3">
      <c r="A3665" t="s">
        <v>23</v>
      </c>
      <c r="B3665">
        <v>105</v>
      </c>
      <c r="C3665" t="s">
        <v>71</v>
      </c>
      <c r="D3665" t="s">
        <v>74</v>
      </c>
      <c r="E3665" t="s">
        <v>74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74</v>
      </c>
    </row>
    <row r="3666" spans="1:20" x14ac:dyDescent="0.3">
      <c r="A3666" t="s">
        <v>59</v>
      </c>
      <c r="B3666">
        <v>81</v>
      </c>
      <c r="C3666" t="s">
        <v>71</v>
      </c>
      <c r="D3666" t="s">
        <v>75</v>
      </c>
      <c r="E3666" t="s">
        <v>74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75</v>
      </c>
    </row>
    <row r="3667" spans="1:20" x14ac:dyDescent="0.3">
      <c r="A3667" t="s">
        <v>59</v>
      </c>
      <c r="B3667">
        <v>127</v>
      </c>
      <c r="C3667" t="s">
        <v>72</v>
      </c>
      <c r="D3667" t="s">
        <v>74</v>
      </c>
      <c r="E3667" t="s">
        <v>74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74</v>
      </c>
    </row>
    <row r="3668" spans="1:20" x14ac:dyDescent="0.3">
      <c r="A3668" t="s">
        <v>47</v>
      </c>
      <c r="B3668">
        <v>84</v>
      </c>
      <c r="C3668" t="s">
        <v>71</v>
      </c>
      <c r="D3668" t="s">
        <v>74</v>
      </c>
      <c r="E3668" t="s">
        <v>74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74</v>
      </c>
    </row>
    <row r="3669" spans="1:20" x14ac:dyDescent="0.3">
      <c r="A3669" t="s">
        <v>40</v>
      </c>
      <c r="B3669">
        <v>47</v>
      </c>
      <c r="C3669" t="s">
        <v>72</v>
      </c>
      <c r="D3669" t="s">
        <v>74</v>
      </c>
      <c r="E3669" t="s">
        <v>75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74</v>
      </c>
    </row>
    <row r="3670" spans="1:20" x14ac:dyDescent="0.3">
      <c r="A3670" t="s">
        <v>32</v>
      </c>
      <c r="B3670">
        <v>128</v>
      </c>
      <c r="C3670" t="s">
        <v>72</v>
      </c>
      <c r="D3670" t="s">
        <v>75</v>
      </c>
      <c r="E3670" t="s">
        <v>74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75</v>
      </c>
    </row>
    <row r="3671" spans="1:20" x14ac:dyDescent="0.3">
      <c r="A3671" t="s">
        <v>70</v>
      </c>
      <c r="B3671">
        <v>76</v>
      </c>
      <c r="C3671" t="s">
        <v>72</v>
      </c>
      <c r="D3671" t="s">
        <v>74</v>
      </c>
      <c r="E3671" t="s">
        <v>74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75</v>
      </c>
    </row>
    <row r="3672" spans="1:20" x14ac:dyDescent="0.3">
      <c r="A3672" t="s">
        <v>70</v>
      </c>
      <c r="B3672">
        <v>167</v>
      </c>
      <c r="C3672" t="s">
        <v>73</v>
      </c>
      <c r="D3672" t="s">
        <v>74</v>
      </c>
      <c r="E3672" t="s">
        <v>74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74</v>
      </c>
    </row>
    <row r="3673" spans="1:20" x14ac:dyDescent="0.3">
      <c r="A3673" t="s">
        <v>47</v>
      </c>
      <c r="B3673">
        <v>104</v>
      </c>
      <c r="C3673" t="s">
        <v>71</v>
      </c>
      <c r="D3673" t="s">
        <v>74</v>
      </c>
      <c r="E3673" t="s">
        <v>74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74</v>
      </c>
    </row>
    <row r="3674" spans="1:20" x14ac:dyDescent="0.3">
      <c r="A3674" t="s">
        <v>50</v>
      </c>
      <c r="B3674">
        <v>136</v>
      </c>
      <c r="C3674" t="s">
        <v>71</v>
      </c>
      <c r="D3674" t="s">
        <v>74</v>
      </c>
      <c r="E3674" t="s">
        <v>74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74</v>
      </c>
    </row>
    <row r="3675" spans="1:20" x14ac:dyDescent="0.3">
      <c r="A3675" t="s">
        <v>42</v>
      </c>
      <c r="B3675">
        <v>83</v>
      </c>
      <c r="C3675" t="s">
        <v>72</v>
      </c>
      <c r="D3675" t="s">
        <v>74</v>
      </c>
      <c r="E3675" t="s">
        <v>75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74</v>
      </c>
    </row>
    <row r="3676" spans="1:20" x14ac:dyDescent="0.3">
      <c r="A3676" t="s">
        <v>63</v>
      </c>
      <c r="B3676">
        <v>78</v>
      </c>
      <c r="C3676" t="s">
        <v>71</v>
      </c>
      <c r="D3676" t="s">
        <v>75</v>
      </c>
      <c r="E3676" t="s">
        <v>74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75</v>
      </c>
    </row>
    <row r="3677" spans="1:20" x14ac:dyDescent="0.3">
      <c r="A3677" t="s">
        <v>36</v>
      </c>
      <c r="B3677">
        <v>135</v>
      </c>
      <c r="C3677" t="s">
        <v>71</v>
      </c>
      <c r="D3677" t="s">
        <v>74</v>
      </c>
      <c r="E3677" t="s">
        <v>75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74</v>
      </c>
    </row>
    <row r="3678" spans="1:20" x14ac:dyDescent="0.3">
      <c r="A3678" t="s">
        <v>26</v>
      </c>
      <c r="B3678">
        <v>79</v>
      </c>
      <c r="C3678" t="s">
        <v>73</v>
      </c>
      <c r="D3678" t="s">
        <v>74</v>
      </c>
      <c r="E3678" t="s">
        <v>74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74</v>
      </c>
    </row>
    <row r="3679" spans="1:20" x14ac:dyDescent="0.3">
      <c r="A3679" t="s">
        <v>50</v>
      </c>
      <c r="B3679">
        <v>133</v>
      </c>
      <c r="C3679" t="s">
        <v>71</v>
      </c>
      <c r="D3679" t="s">
        <v>74</v>
      </c>
      <c r="E3679" t="s">
        <v>74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74</v>
      </c>
    </row>
    <row r="3680" spans="1:20" x14ac:dyDescent="0.3">
      <c r="A3680" t="s">
        <v>40</v>
      </c>
      <c r="B3680">
        <v>76</v>
      </c>
      <c r="C3680" t="s">
        <v>71</v>
      </c>
      <c r="D3680" t="s">
        <v>74</v>
      </c>
      <c r="E3680" t="s">
        <v>75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74</v>
      </c>
    </row>
    <row r="3681" spans="1:20" x14ac:dyDescent="0.3">
      <c r="A3681" t="s">
        <v>40</v>
      </c>
      <c r="B3681">
        <v>216</v>
      </c>
      <c r="C3681" t="s">
        <v>73</v>
      </c>
      <c r="D3681" t="s">
        <v>74</v>
      </c>
      <c r="E3681" t="s">
        <v>74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74</v>
      </c>
    </row>
    <row r="3682" spans="1:20" x14ac:dyDescent="0.3">
      <c r="A3682" t="s">
        <v>54</v>
      </c>
      <c r="B3682">
        <v>73</v>
      </c>
      <c r="C3682" t="s">
        <v>72</v>
      </c>
      <c r="D3682" t="s">
        <v>74</v>
      </c>
      <c r="E3682" t="s">
        <v>74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74</v>
      </c>
    </row>
    <row r="3683" spans="1:20" x14ac:dyDescent="0.3">
      <c r="A3683" t="s">
        <v>46</v>
      </c>
      <c r="B3683">
        <v>183</v>
      </c>
      <c r="C3683" t="s">
        <v>73</v>
      </c>
      <c r="D3683" t="s">
        <v>74</v>
      </c>
      <c r="E3683" t="s">
        <v>75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74</v>
      </c>
    </row>
    <row r="3684" spans="1:20" x14ac:dyDescent="0.3">
      <c r="A3684" t="s">
        <v>21</v>
      </c>
      <c r="B3684">
        <v>106</v>
      </c>
      <c r="C3684" t="s">
        <v>71</v>
      </c>
      <c r="D3684" t="s">
        <v>74</v>
      </c>
      <c r="E3684" t="s">
        <v>74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74</v>
      </c>
    </row>
    <row r="3685" spans="1:20" x14ac:dyDescent="0.3">
      <c r="A3685" t="s">
        <v>55</v>
      </c>
      <c r="B3685">
        <v>90</v>
      </c>
      <c r="C3685" t="s">
        <v>72</v>
      </c>
      <c r="D3685" t="s">
        <v>74</v>
      </c>
      <c r="E3685" t="s">
        <v>74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74</v>
      </c>
    </row>
    <row r="3686" spans="1:20" x14ac:dyDescent="0.3">
      <c r="A3686" t="s">
        <v>38</v>
      </c>
      <c r="B3686">
        <v>112</v>
      </c>
      <c r="C3686" t="s">
        <v>71</v>
      </c>
      <c r="D3686" t="s">
        <v>74</v>
      </c>
      <c r="E3686" t="s">
        <v>75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74</v>
      </c>
    </row>
    <row r="3687" spans="1:20" x14ac:dyDescent="0.3">
      <c r="A3687" t="s">
        <v>61</v>
      </c>
      <c r="B3687">
        <v>92</v>
      </c>
      <c r="C3687" t="s">
        <v>71</v>
      </c>
      <c r="D3687" t="s">
        <v>74</v>
      </c>
      <c r="E3687" t="s">
        <v>74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74</v>
      </c>
    </row>
    <row r="3688" spans="1:20" x14ac:dyDescent="0.3">
      <c r="A3688" t="s">
        <v>65</v>
      </c>
      <c r="B3688">
        <v>35</v>
      </c>
      <c r="C3688" t="s">
        <v>73</v>
      </c>
      <c r="D3688" t="s">
        <v>74</v>
      </c>
      <c r="E3688" t="s">
        <v>74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74</v>
      </c>
    </row>
    <row r="3689" spans="1:20" x14ac:dyDescent="0.3">
      <c r="A3689" t="s">
        <v>44</v>
      </c>
      <c r="B3689">
        <v>28</v>
      </c>
      <c r="C3689" t="s">
        <v>73</v>
      </c>
      <c r="D3689" t="s">
        <v>74</v>
      </c>
      <c r="E3689" t="s">
        <v>74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74</v>
      </c>
    </row>
    <row r="3690" spans="1:20" x14ac:dyDescent="0.3">
      <c r="A3690" t="s">
        <v>31</v>
      </c>
      <c r="B3690">
        <v>93</v>
      </c>
      <c r="C3690" t="s">
        <v>71</v>
      </c>
      <c r="D3690" t="s">
        <v>74</v>
      </c>
      <c r="E3690" t="s">
        <v>74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74</v>
      </c>
    </row>
    <row r="3691" spans="1:20" x14ac:dyDescent="0.3">
      <c r="A3691" t="s">
        <v>61</v>
      </c>
      <c r="B3691">
        <v>26</v>
      </c>
      <c r="C3691" t="s">
        <v>72</v>
      </c>
      <c r="D3691" t="s">
        <v>74</v>
      </c>
      <c r="E3691" t="s">
        <v>74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74</v>
      </c>
    </row>
    <row r="3692" spans="1:20" x14ac:dyDescent="0.3">
      <c r="A3692" t="s">
        <v>44</v>
      </c>
      <c r="B3692">
        <v>33</v>
      </c>
      <c r="C3692" t="s">
        <v>71</v>
      </c>
      <c r="D3692" t="s">
        <v>75</v>
      </c>
      <c r="E3692" t="s">
        <v>74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75</v>
      </c>
    </row>
    <row r="3693" spans="1:20" x14ac:dyDescent="0.3">
      <c r="A3693" t="s">
        <v>47</v>
      </c>
      <c r="B3693">
        <v>120</v>
      </c>
      <c r="C3693" t="s">
        <v>73</v>
      </c>
      <c r="D3693" t="s">
        <v>74</v>
      </c>
      <c r="E3693" t="s">
        <v>74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74</v>
      </c>
    </row>
    <row r="3694" spans="1:20" x14ac:dyDescent="0.3">
      <c r="A3694" t="s">
        <v>20</v>
      </c>
      <c r="B3694">
        <v>124</v>
      </c>
      <c r="C3694" t="s">
        <v>71</v>
      </c>
      <c r="D3694" t="s">
        <v>74</v>
      </c>
      <c r="E3694" t="s">
        <v>74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74</v>
      </c>
    </row>
    <row r="3695" spans="1:20" x14ac:dyDescent="0.3">
      <c r="A3695" t="s">
        <v>56</v>
      </c>
      <c r="B3695">
        <v>56</v>
      </c>
      <c r="C3695" t="s">
        <v>71</v>
      </c>
      <c r="D3695" t="s">
        <v>74</v>
      </c>
      <c r="E3695" t="s">
        <v>74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74</v>
      </c>
    </row>
    <row r="3696" spans="1:20" x14ac:dyDescent="0.3">
      <c r="A3696" t="s">
        <v>42</v>
      </c>
      <c r="B3696">
        <v>39</v>
      </c>
      <c r="C3696" t="s">
        <v>73</v>
      </c>
      <c r="D3696" t="s">
        <v>74</v>
      </c>
      <c r="E3696" t="s">
        <v>74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74</v>
      </c>
    </row>
    <row r="3697" spans="1:20" x14ac:dyDescent="0.3">
      <c r="A3697" t="s">
        <v>51</v>
      </c>
      <c r="B3697">
        <v>158</v>
      </c>
      <c r="C3697" t="s">
        <v>73</v>
      </c>
      <c r="D3697" t="s">
        <v>74</v>
      </c>
      <c r="E3697" t="s">
        <v>74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74</v>
      </c>
    </row>
    <row r="3698" spans="1:20" x14ac:dyDescent="0.3">
      <c r="A3698" t="s">
        <v>22</v>
      </c>
      <c r="B3698">
        <v>52</v>
      </c>
      <c r="C3698" t="s">
        <v>72</v>
      </c>
      <c r="D3698" t="s">
        <v>74</v>
      </c>
      <c r="E3698" t="s">
        <v>75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74</v>
      </c>
    </row>
    <row r="3699" spans="1:20" x14ac:dyDescent="0.3">
      <c r="A3699" t="s">
        <v>41</v>
      </c>
      <c r="B3699">
        <v>112</v>
      </c>
      <c r="C3699" t="s">
        <v>73</v>
      </c>
      <c r="D3699" t="s">
        <v>74</v>
      </c>
      <c r="E3699" t="s">
        <v>74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74</v>
      </c>
    </row>
    <row r="3700" spans="1:20" x14ac:dyDescent="0.3">
      <c r="A3700" t="s">
        <v>21</v>
      </c>
      <c r="B3700">
        <v>12</v>
      </c>
      <c r="C3700" t="s">
        <v>73</v>
      </c>
      <c r="D3700" t="s">
        <v>74</v>
      </c>
      <c r="E3700" t="s">
        <v>74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74</v>
      </c>
    </row>
    <row r="3701" spans="1:20" x14ac:dyDescent="0.3">
      <c r="A3701" t="s">
        <v>34</v>
      </c>
      <c r="B3701">
        <v>109</v>
      </c>
      <c r="C3701" t="s">
        <v>72</v>
      </c>
      <c r="D3701" t="s">
        <v>75</v>
      </c>
      <c r="E3701" t="s">
        <v>74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75</v>
      </c>
    </row>
    <row r="3702" spans="1:20" x14ac:dyDescent="0.3">
      <c r="A3702" t="s">
        <v>54</v>
      </c>
      <c r="B3702">
        <v>142</v>
      </c>
      <c r="C3702" t="s">
        <v>72</v>
      </c>
      <c r="D3702" t="s">
        <v>74</v>
      </c>
      <c r="E3702" t="s">
        <v>75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74</v>
      </c>
    </row>
    <row r="3703" spans="1:20" x14ac:dyDescent="0.3">
      <c r="A3703" t="s">
        <v>58</v>
      </c>
      <c r="B3703">
        <v>60</v>
      </c>
      <c r="C3703" t="s">
        <v>72</v>
      </c>
      <c r="D3703" t="s">
        <v>74</v>
      </c>
      <c r="E3703" t="s">
        <v>74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74</v>
      </c>
    </row>
    <row r="3704" spans="1:20" x14ac:dyDescent="0.3">
      <c r="A3704" t="s">
        <v>51</v>
      </c>
      <c r="B3704">
        <v>168</v>
      </c>
      <c r="C3704" t="s">
        <v>71</v>
      </c>
      <c r="D3704" t="s">
        <v>74</v>
      </c>
      <c r="E3704" t="s">
        <v>74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75</v>
      </c>
    </row>
    <row r="3705" spans="1:20" x14ac:dyDescent="0.3">
      <c r="A3705" t="s">
        <v>38</v>
      </c>
      <c r="B3705">
        <v>138</v>
      </c>
      <c r="C3705" t="s">
        <v>71</v>
      </c>
      <c r="D3705" t="s">
        <v>75</v>
      </c>
      <c r="E3705" t="s">
        <v>74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75</v>
      </c>
    </row>
    <row r="3706" spans="1:20" x14ac:dyDescent="0.3">
      <c r="A3706" t="s">
        <v>30</v>
      </c>
      <c r="B3706">
        <v>88</v>
      </c>
      <c r="C3706" t="s">
        <v>71</v>
      </c>
      <c r="D3706" t="s">
        <v>74</v>
      </c>
      <c r="E3706" t="s">
        <v>74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74</v>
      </c>
    </row>
    <row r="3707" spans="1:20" x14ac:dyDescent="0.3">
      <c r="A3707" t="s">
        <v>31</v>
      </c>
      <c r="B3707">
        <v>119</v>
      </c>
      <c r="C3707" t="s">
        <v>71</v>
      </c>
      <c r="D3707" t="s">
        <v>74</v>
      </c>
      <c r="E3707" t="s">
        <v>74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74</v>
      </c>
    </row>
    <row r="3708" spans="1:20" x14ac:dyDescent="0.3">
      <c r="A3708" t="s">
        <v>45</v>
      </c>
      <c r="B3708">
        <v>31</v>
      </c>
      <c r="C3708" t="s">
        <v>73</v>
      </c>
      <c r="D3708" t="s">
        <v>74</v>
      </c>
      <c r="E3708" t="s">
        <v>74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74</v>
      </c>
    </row>
    <row r="3709" spans="1:20" x14ac:dyDescent="0.3">
      <c r="A3709" t="s">
        <v>69</v>
      </c>
      <c r="B3709">
        <v>102</v>
      </c>
      <c r="C3709" t="s">
        <v>73</v>
      </c>
      <c r="D3709" t="s">
        <v>74</v>
      </c>
      <c r="E3709" t="s">
        <v>74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74</v>
      </c>
    </row>
    <row r="3710" spans="1:20" x14ac:dyDescent="0.3">
      <c r="A3710" t="s">
        <v>63</v>
      </c>
      <c r="B3710">
        <v>149</v>
      </c>
      <c r="C3710" t="s">
        <v>71</v>
      </c>
      <c r="D3710" t="s">
        <v>74</v>
      </c>
      <c r="E3710" t="s">
        <v>75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75</v>
      </c>
    </row>
    <row r="3711" spans="1:20" x14ac:dyDescent="0.3">
      <c r="A3711" t="s">
        <v>34</v>
      </c>
      <c r="B3711">
        <v>138</v>
      </c>
      <c r="C3711" t="s">
        <v>71</v>
      </c>
      <c r="D3711" t="s">
        <v>74</v>
      </c>
      <c r="E3711" t="s">
        <v>74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74</v>
      </c>
    </row>
    <row r="3712" spans="1:20" x14ac:dyDescent="0.3">
      <c r="A3712" t="s">
        <v>63</v>
      </c>
      <c r="B3712">
        <v>118</v>
      </c>
      <c r="C3712" t="s">
        <v>71</v>
      </c>
      <c r="D3712" t="s">
        <v>74</v>
      </c>
      <c r="E3712" t="s">
        <v>74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74</v>
      </c>
    </row>
    <row r="3713" spans="1:20" x14ac:dyDescent="0.3">
      <c r="A3713" t="s">
        <v>69</v>
      </c>
      <c r="B3713">
        <v>222</v>
      </c>
      <c r="C3713" t="s">
        <v>73</v>
      </c>
      <c r="D3713" t="s">
        <v>74</v>
      </c>
      <c r="E3713" t="s">
        <v>75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74</v>
      </c>
    </row>
    <row r="3714" spans="1:20" x14ac:dyDescent="0.3">
      <c r="A3714" t="s">
        <v>40</v>
      </c>
      <c r="B3714">
        <v>130</v>
      </c>
      <c r="C3714" t="s">
        <v>71</v>
      </c>
      <c r="D3714" t="s">
        <v>74</v>
      </c>
      <c r="E3714" t="s">
        <v>74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74</v>
      </c>
    </row>
    <row r="3715" spans="1:20" x14ac:dyDescent="0.3">
      <c r="A3715" t="s">
        <v>45</v>
      </c>
      <c r="B3715">
        <v>140</v>
      </c>
      <c r="C3715" t="s">
        <v>71</v>
      </c>
      <c r="D3715" t="s">
        <v>74</v>
      </c>
      <c r="E3715" t="s">
        <v>74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75</v>
      </c>
    </row>
    <row r="3716" spans="1:20" x14ac:dyDescent="0.3">
      <c r="A3716" t="s">
        <v>33</v>
      </c>
      <c r="B3716">
        <v>101</v>
      </c>
      <c r="C3716" t="s">
        <v>71</v>
      </c>
      <c r="D3716" t="s">
        <v>74</v>
      </c>
      <c r="E3716" t="s">
        <v>75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74</v>
      </c>
    </row>
    <row r="3717" spans="1:20" x14ac:dyDescent="0.3">
      <c r="A3717" t="s">
        <v>28</v>
      </c>
      <c r="B3717">
        <v>134</v>
      </c>
      <c r="C3717" t="s">
        <v>71</v>
      </c>
      <c r="D3717" t="s">
        <v>74</v>
      </c>
      <c r="E3717" t="s">
        <v>75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74</v>
      </c>
    </row>
    <row r="3718" spans="1:20" x14ac:dyDescent="0.3">
      <c r="A3718" t="s">
        <v>44</v>
      </c>
      <c r="B3718">
        <v>88</v>
      </c>
      <c r="C3718" t="s">
        <v>73</v>
      </c>
      <c r="D3718" t="s">
        <v>75</v>
      </c>
      <c r="E3718" t="s">
        <v>74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75</v>
      </c>
    </row>
    <row r="3719" spans="1:20" x14ac:dyDescent="0.3">
      <c r="A3719" t="s">
        <v>50</v>
      </c>
      <c r="B3719">
        <v>118</v>
      </c>
      <c r="C3719" t="s">
        <v>73</v>
      </c>
      <c r="D3719" t="s">
        <v>74</v>
      </c>
      <c r="E3719" t="s">
        <v>74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74</v>
      </c>
    </row>
    <row r="3720" spans="1:20" x14ac:dyDescent="0.3">
      <c r="A3720" t="s">
        <v>69</v>
      </c>
      <c r="B3720">
        <v>93</v>
      </c>
      <c r="C3720" t="s">
        <v>71</v>
      </c>
      <c r="D3720" t="s">
        <v>74</v>
      </c>
      <c r="E3720" t="s">
        <v>75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74</v>
      </c>
    </row>
    <row r="3721" spans="1:20" x14ac:dyDescent="0.3">
      <c r="A3721" t="s">
        <v>67</v>
      </c>
      <c r="B3721">
        <v>232</v>
      </c>
      <c r="C3721" t="s">
        <v>71</v>
      </c>
      <c r="D3721" t="s">
        <v>74</v>
      </c>
      <c r="E3721" t="s">
        <v>74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74</v>
      </c>
    </row>
    <row r="3722" spans="1:20" x14ac:dyDescent="0.3">
      <c r="A3722" t="s">
        <v>47</v>
      </c>
      <c r="B3722">
        <v>137</v>
      </c>
      <c r="C3722" t="s">
        <v>71</v>
      </c>
      <c r="D3722" t="s">
        <v>74</v>
      </c>
      <c r="E3722" t="s">
        <v>75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74</v>
      </c>
    </row>
    <row r="3723" spans="1:20" x14ac:dyDescent="0.3">
      <c r="A3723" t="s">
        <v>30</v>
      </c>
      <c r="B3723">
        <v>3</v>
      </c>
      <c r="C3723" t="s">
        <v>71</v>
      </c>
      <c r="D3723" t="s">
        <v>74</v>
      </c>
      <c r="E3723" t="s">
        <v>75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74</v>
      </c>
    </row>
    <row r="3724" spans="1:20" x14ac:dyDescent="0.3">
      <c r="A3724" t="s">
        <v>55</v>
      </c>
      <c r="B3724">
        <v>137</v>
      </c>
      <c r="C3724" t="s">
        <v>71</v>
      </c>
      <c r="D3724" t="s">
        <v>74</v>
      </c>
      <c r="E3724" t="s">
        <v>74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74</v>
      </c>
    </row>
    <row r="3725" spans="1:20" x14ac:dyDescent="0.3">
      <c r="A3725" t="s">
        <v>55</v>
      </c>
      <c r="B3725">
        <v>42</v>
      </c>
      <c r="C3725" t="s">
        <v>71</v>
      </c>
      <c r="D3725" t="s">
        <v>74</v>
      </c>
      <c r="E3725" t="s">
        <v>74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74</v>
      </c>
    </row>
    <row r="3726" spans="1:20" x14ac:dyDescent="0.3">
      <c r="A3726" t="s">
        <v>49</v>
      </c>
      <c r="B3726">
        <v>58</v>
      </c>
      <c r="C3726" t="s">
        <v>73</v>
      </c>
      <c r="D3726" t="s">
        <v>74</v>
      </c>
      <c r="E3726" t="s">
        <v>74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74</v>
      </c>
    </row>
    <row r="3727" spans="1:20" x14ac:dyDescent="0.3">
      <c r="A3727" t="s">
        <v>70</v>
      </c>
      <c r="B3727">
        <v>55</v>
      </c>
      <c r="C3727" t="s">
        <v>71</v>
      </c>
      <c r="D3727" t="s">
        <v>74</v>
      </c>
      <c r="E3727" t="s">
        <v>75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74</v>
      </c>
    </row>
    <row r="3728" spans="1:20" x14ac:dyDescent="0.3">
      <c r="A3728" t="s">
        <v>61</v>
      </c>
      <c r="B3728">
        <v>69</v>
      </c>
      <c r="C3728" t="s">
        <v>72</v>
      </c>
      <c r="D3728" t="s">
        <v>74</v>
      </c>
      <c r="E3728" t="s">
        <v>74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74</v>
      </c>
    </row>
    <row r="3729" spans="1:20" x14ac:dyDescent="0.3">
      <c r="A3729" t="s">
        <v>50</v>
      </c>
      <c r="B3729">
        <v>100</v>
      </c>
      <c r="C3729" t="s">
        <v>71</v>
      </c>
      <c r="D3729" t="s">
        <v>74</v>
      </c>
      <c r="E3729" t="s">
        <v>74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74</v>
      </c>
    </row>
    <row r="3730" spans="1:20" x14ac:dyDescent="0.3">
      <c r="A3730" t="s">
        <v>47</v>
      </c>
      <c r="B3730">
        <v>86</v>
      </c>
      <c r="C3730" t="s">
        <v>72</v>
      </c>
      <c r="D3730" t="s">
        <v>74</v>
      </c>
      <c r="E3730" t="s">
        <v>74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74</v>
      </c>
    </row>
    <row r="3731" spans="1:20" x14ac:dyDescent="0.3">
      <c r="A3731" t="s">
        <v>24</v>
      </c>
      <c r="B3731">
        <v>105</v>
      </c>
      <c r="C3731" t="s">
        <v>72</v>
      </c>
      <c r="D3731" t="s">
        <v>74</v>
      </c>
      <c r="E3731" t="s">
        <v>74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74</v>
      </c>
    </row>
    <row r="3732" spans="1:20" x14ac:dyDescent="0.3">
      <c r="A3732" t="s">
        <v>27</v>
      </c>
      <c r="B3732">
        <v>111</v>
      </c>
      <c r="C3732" t="s">
        <v>73</v>
      </c>
      <c r="D3732" t="s">
        <v>75</v>
      </c>
      <c r="E3732" t="s">
        <v>74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74</v>
      </c>
    </row>
    <row r="3733" spans="1:20" x14ac:dyDescent="0.3">
      <c r="A3733" t="s">
        <v>59</v>
      </c>
      <c r="B3733">
        <v>75</v>
      </c>
      <c r="C3733" t="s">
        <v>73</v>
      </c>
      <c r="D3733" t="s">
        <v>74</v>
      </c>
      <c r="E3733" t="s">
        <v>74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74</v>
      </c>
    </row>
    <row r="3734" spans="1:20" x14ac:dyDescent="0.3">
      <c r="A3734" t="s">
        <v>61</v>
      </c>
      <c r="B3734">
        <v>95</v>
      </c>
      <c r="C3734" t="s">
        <v>72</v>
      </c>
      <c r="D3734" t="s">
        <v>74</v>
      </c>
      <c r="E3734" t="s">
        <v>75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75</v>
      </c>
    </row>
    <row r="3735" spans="1:20" x14ac:dyDescent="0.3">
      <c r="A3735" t="s">
        <v>29</v>
      </c>
      <c r="B3735">
        <v>137</v>
      </c>
      <c r="C3735" t="s">
        <v>72</v>
      </c>
      <c r="D3735" t="s">
        <v>74</v>
      </c>
      <c r="E3735" t="s">
        <v>74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74</v>
      </c>
    </row>
    <row r="3736" spans="1:20" x14ac:dyDescent="0.3">
      <c r="A3736" t="s">
        <v>20</v>
      </c>
      <c r="B3736">
        <v>116</v>
      </c>
      <c r="C3736" t="s">
        <v>73</v>
      </c>
      <c r="D3736" t="s">
        <v>75</v>
      </c>
      <c r="E3736" t="s">
        <v>74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75</v>
      </c>
    </row>
    <row r="3737" spans="1:20" x14ac:dyDescent="0.3">
      <c r="A3737" t="s">
        <v>69</v>
      </c>
      <c r="B3737">
        <v>125</v>
      </c>
      <c r="C3737" t="s">
        <v>71</v>
      </c>
      <c r="D3737" t="s">
        <v>74</v>
      </c>
      <c r="E3737" t="s">
        <v>74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74</v>
      </c>
    </row>
    <row r="3738" spans="1:20" x14ac:dyDescent="0.3">
      <c r="A3738" t="s">
        <v>41</v>
      </c>
      <c r="B3738">
        <v>65</v>
      </c>
      <c r="C3738" t="s">
        <v>71</v>
      </c>
      <c r="D3738" t="s">
        <v>74</v>
      </c>
      <c r="E3738" t="s">
        <v>74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74</v>
      </c>
    </row>
    <row r="3739" spans="1:20" x14ac:dyDescent="0.3">
      <c r="A3739" t="s">
        <v>23</v>
      </c>
      <c r="B3739">
        <v>100</v>
      </c>
      <c r="C3739" t="s">
        <v>72</v>
      </c>
      <c r="D3739" t="s">
        <v>74</v>
      </c>
      <c r="E3739" t="s">
        <v>74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75</v>
      </c>
    </row>
    <row r="3740" spans="1:20" x14ac:dyDescent="0.3">
      <c r="A3740" t="s">
        <v>25</v>
      </c>
      <c r="B3740">
        <v>70</v>
      </c>
      <c r="C3740" t="s">
        <v>73</v>
      </c>
      <c r="D3740" t="s">
        <v>74</v>
      </c>
      <c r="E3740" t="s">
        <v>74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74</v>
      </c>
    </row>
    <row r="3741" spans="1:20" x14ac:dyDescent="0.3">
      <c r="A3741" t="s">
        <v>29</v>
      </c>
      <c r="B3741">
        <v>67</v>
      </c>
      <c r="C3741" t="s">
        <v>71</v>
      </c>
      <c r="D3741" t="s">
        <v>74</v>
      </c>
      <c r="E3741" t="s">
        <v>74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74</v>
      </c>
    </row>
    <row r="3742" spans="1:20" x14ac:dyDescent="0.3">
      <c r="A3742" t="s">
        <v>45</v>
      </c>
      <c r="B3742">
        <v>50</v>
      </c>
      <c r="C3742" t="s">
        <v>72</v>
      </c>
      <c r="D3742" t="s">
        <v>74</v>
      </c>
      <c r="E3742" t="s">
        <v>75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74</v>
      </c>
    </row>
    <row r="3743" spans="1:20" x14ac:dyDescent="0.3">
      <c r="A3743" t="s">
        <v>35</v>
      </c>
      <c r="B3743">
        <v>42</v>
      </c>
      <c r="C3743" t="s">
        <v>71</v>
      </c>
      <c r="D3743" t="s">
        <v>74</v>
      </c>
      <c r="E3743" t="s">
        <v>74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74</v>
      </c>
    </row>
    <row r="3744" spans="1:20" x14ac:dyDescent="0.3">
      <c r="A3744" t="s">
        <v>37</v>
      </c>
      <c r="B3744">
        <v>103</v>
      </c>
      <c r="C3744" t="s">
        <v>71</v>
      </c>
      <c r="D3744" t="s">
        <v>74</v>
      </c>
      <c r="E3744" t="s">
        <v>75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74</v>
      </c>
    </row>
    <row r="3745" spans="1:20" x14ac:dyDescent="0.3">
      <c r="A3745" t="s">
        <v>24</v>
      </c>
      <c r="B3745">
        <v>90</v>
      </c>
      <c r="C3745" t="s">
        <v>71</v>
      </c>
      <c r="D3745" t="s">
        <v>74</v>
      </c>
      <c r="E3745" t="s">
        <v>74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74</v>
      </c>
    </row>
    <row r="3746" spans="1:20" x14ac:dyDescent="0.3">
      <c r="A3746" t="s">
        <v>39</v>
      </c>
      <c r="B3746">
        <v>66</v>
      </c>
      <c r="C3746" t="s">
        <v>72</v>
      </c>
      <c r="D3746" t="s">
        <v>74</v>
      </c>
      <c r="E3746" t="s">
        <v>74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74</v>
      </c>
    </row>
    <row r="3747" spans="1:20" x14ac:dyDescent="0.3">
      <c r="A3747" t="s">
        <v>40</v>
      </c>
      <c r="B3747">
        <v>22</v>
      </c>
      <c r="C3747" t="s">
        <v>73</v>
      </c>
      <c r="D3747" t="s">
        <v>74</v>
      </c>
      <c r="E3747" t="s">
        <v>74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74</v>
      </c>
    </row>
    <row r="3748" spans="1:20" x14ac:dyDescent="0.3">
      <c r="A3748" t="s">
        <v>47</v>
      </c>
      <c r="B3748">
        <v>147</v>
      </c>
      <c r="C3748" t="s">
        <v>72</v>
      </c>
      <c r="D3748" t="s">
        <v>74</v>
      </c>
      <c r="E3748" t="s">
        <v>75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74</v>
      </c>
    </row>
    <row r="3749" spans="1:20" x14ac:dyDescent="0.3">
      <c r="A3749" t="s">
        <v>62</v>
      </c>
      <c r="B3749">
        <v>57</v>
      </c>
      <c r="C3749" t="s">
        <v>71</v>
      </c>
      <c r="D3749" t="s">
        <v>74</v>
      </c>
      <c r="E3749" t="s">
        <v>75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74</v>
      </c>
    </row>
    <row r="3750" spans="1:20" x14ac:dyDescent="0.3">
      <c r="A3750" t="s">
        <v>70</v>
      </c>
      <c r="B3750">
        <v>7</v>
      </c>
      <c r="C3750" t="s">
        <v>72</v>
      </c>
      <c r="D3750" t="s">
        <v>74</v>
      </c>
      <c r="E3750" t="s">
        <v>75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74</v>
      </c>
    </row>
    <row r="3751" spans="1:20" x14ac:dyDescent="0.3">
      <c r="A3751" t="s">
        <v>32</v>
      </c>
      <c r="B3751">
        <v>85</v>
      </c>
      <c r="C3751" t="s">
        <v>71</v>
      </c>
      <c r="D3751" t="s">
        <v>74</v>
      </c>
      <c r="E3751" t="s">
        <v>74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74</v>
      </c>
    </row>
    <row r="3752" spans="1:20" x14ac:dyDescent="0.3">
      <c r="A3752" t="s">
        <v>34</v>
      </c>
      <c r="B3752">
        <v>92</v>
      </c>
      <c r="C3752" t="s">
        <v>72</v>
      </c>
      <c r="D3752" t="s">
        <v>74</v>
      </c>
      <c r="E3752" t="s">
        <v>74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74</v>
      </c>
    </row>
    <row r="3753" spans="1:20" x14ac:dyDescent="0.3">
      <c r="A3753" t="s">
        <v>67</v>
      </c>
      <c r="B3753">
        <v>92</v>
      </c>
      <c r="C3753" t="s">
        <v>72</v>
      </c>
      <c r="D3753" t="s">
        <v>74</v>
      </c>
      <c r="E3753" t="s">
        <v>74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74</v>
      </c>
    </row>
    <row r="3754" spans="1:20" x14ac:dyDescent="0.3">
      <c r="A3754" t="s">
        <v>31</v>
      </c>
      <c r="B3754">
        <v>133</v>
      </c>
      <c r="C3754" t="s">
        <v>71</v>
      </c>
      <c r="D3754" t="s">
        <v>74</v>
      </c>
      <c r="E3754" t="s">
        <v>74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74</v>
      </c>
    </row>
    <row r="3755" spans="1:20" x14ac:dyDescent="0.3">
      <c r="A3755" t="s">
        <v>68</v>
      </c>
      <c r="B3755">
        <v>134</v>
      </c>
      <c r="C3755" t="s">
        <v>73</v>
      </c>
      <c r="D3755" t="s">
        <v>74</v>
      </c>
      <c r="E3755" t="s">
        <v>74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74</v>
      </c>
    </row>
    <row r="3756" spans="1:20" x14ac:dyDescent="0.3">
      <c r="A3756" t="s">
        <v>25</v>
      </c>
      <c r="B3756">
        <v>66</v>
      </c>
      <c r="C3756" t="s">
        <v>71</v>
      </c>
      <c r="D3756" t="s">
        <v>74</v>
      </c>
      <c r="E3756" t="s">
        <v>75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74</v>
      </c>
    </row>
    <row r="3757" spans="1:20" x14ac:dyDescent="0.3">
      <c r="A3757" t="s">
        <v>53</v>
      </c>
      <c r="B3757">
        <v>65</v>
      </c>
      <c r="C3757" t="s">
        <v>72</v>
      </c>
      <c r="D3757" t="s">
        <v>74</v>
      </c>
      <c r="E3757" t="s">
        <v>74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74</v>
      </c>
    </row>
    <row r="3758" spans="1:20" x14ac:dyDescent="0.3">
      <c r="A3758" t="s">
        <v>36</v>
      </c>
      <c r="B3758">
        <v>102</v>
      </c>
      <c r="C3758" t="s">
        <v>72</v>
      </c>
      <c r="D3758" t="s">
        <v>74</v>
      </c>
      <c r="E3758" t="s">
        <v>74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74</v>
      </c>
    </row>
    <row r="3759" spans="1:20" x14ac:dyDescent="0.3">
      <c r="A3759" t="s">
        <v>58</v>
      </c>
      <c r="B3759">
        <v>101</v>
      </c>
      <c r="C3759" t="s">
        <v>71</v>
      </c>
      <c r="D3759" t="s">
        <v>75</v>
      </c>
      <c r="E3759" t="s">
        <v>74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75</v>
      </c>
    </row>
    <row r="3760" spans="1:20" x14ac:dyDescent="0.3">
      <c r="A3760" t="s">
        <v>62</v>
      </c>
      <c r="B3760">
        <v>115</v>
      </c>
      <c r="C3760" t="s">
        <v>71</v>
      </c>
      <c r="D3760" t="s">
        <v>74</v>
      </c>
      <c r="E3760" t="s">
        <v>75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74</v>
      </c>
    </row>
    <row r="3761" spans="1:20" x14ac:dyDescent="0.3">
      <c r="A3761" t="s">
        <v>26</v>
      </c>
      <c r="B3761">
        <v>111</v>
      </c>
      <c r="C3761" t="s">
        <v>73</v>
      </c>
      <c r="D3761" t="s">
        <v>74</v>
      </c>
      <c r="E3761" t="s">
        <v>75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74</v>
      </c>
    </row>
    <row r="3762" spans="1:20" x14ac:dyDescent="0.3">
      <c r="A3762" t="s">
        <v>28</v>
      </c>
      <c r="B3762">
        <v>121</v>
      </c>
      <c r="C3762" t="s">
        <v>71</v>
      </c>
      <c r="D3762" t="s">
        <v>74</v>
      </c>
      <c r="E3762" t="s">
        <v>74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74</v>
      </c>
    </row>
    <row r="3763" spans="1:20" x14ac:dyDescent="0.3">
      <c r="A3763" t="s">
        <v>57</v>
      </c>
      <c r="B3763">
        <v>108</v>
      </c>
      <c r="C3763" t="s">
        <v>71</v>
      </c>
      <c r="D3763" t="s">
        <v>74</v>
      </c>
      <c r="E3763" t="s">
        <v>74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74</v>
      </c>
    </row>
    <row r="3764" spans="1:20" x14ac:dyDescent="0.3">
      <c r="A3764" t="s">
        <v>49</v>
      </c>
      <c r="B3764">
        <v>63</v>
      </c>
      <c r="C3764" t="s">
        <v>71</v>
      </c>
      <c r="D3764" t="s">
        <v>74</v>
      </c>
      <c r="E3764" t="s">
        <v>75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74</v>
      </c>
    </row>
    <row r="3765" spans="1:20" x14ac:dyDescent="0.3">
      <c r="A3765" t="s">
        <v>54</v>
      </c>
      <c r="B3765">
        <v>59</v>
      </c>
      <c r="C3765" t="s">
        <v>71</v>
      </c>
      <c r="D3765" t="s">
        <v>74</v>
      </c>
      <c r="E3765" t="s">
        <v>75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74</v>
      </c>
    </row>
    <row r="3766" spans="1:20" x14ac:dyDescent="0.3">
      <c r="A3766" t="s">
        <v>61</v>
      </c>
      <c r="B3766">
        <v>82</v>
      </c>
      <c r="C3766" t="s">
        <v>71</v>
      </c>
      <c r="D3766" t="s">
        <v>74</v>
      </c>
      <c r="E3766" t="s">
        <v>74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74</v>
      </c>
    </row>
    <row r="3767" spans="1:20" x14ac:dyDescent="0.3">
      <c r="A3767" t="s">
        <v>68</v>
      </c>
      <c r="B3767">
        <v>110</v>
      </c>
      <c r="C3767" t="s">
        <v>72</v>
      </c>
      <c r="D3767" t="s">
        <v>74</v>
      </c>
      <c r="E3767" t="s">
        <v>74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74</v>
      </c>
    </row>
    <row r="3768" spans="1:20" x14ac:dyDescent="0.3">
      <c r="A3768" t="s">
        <v>20</v>
      </c>
      <c r="B3768">
        <v>85</v>
      </c>
      <c r="C3768" t="s">
        <v>73</v>
      </c>
      <c r="D3768" t="s">
        <v>74</v>
      </c>
      <c r="E3768" t="s">
        <v>74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74</v>
      </c>
    </row>
    <row r="3769" spans="1:20" x14ac:dyDescent="0.3">
      <c r="A3769" t="s">
        <v>34</v>
      </c>
      <c r="B3769">
        <v>46</v>
      </c>
      <c r="C3769" t="s">
        <v>71</v>
      </c>
      <c r="D3769" t="s">
        <v>74</v>
      </c>
      <c r="E3769" t="s">
        <v>74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74</v>
      </c>
    </row>
    <row r="3770" spans="1:20" x14ac:dyDescent="0.3">
      <c r="A3770" t="s">
        <v>32</v>
      </c>
      <c r="B3770">
        <v>44</v>
      </c>
      <c r="C3770" t="s">
        <v>73</v>
      </c>
      <c r="D3770" t="s">
        <v>74</v>
      </c>
      <c r="E3770" t="s">
        <v>74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74</v>
      </c>
    </row>
    <row r="3771" spans="1:20" x14ac:dyDescent="0.3">
      <c r="A3771" t="s">
        <v>57</v>
      </c>
      <c r="B3771">
        <v>171</v>
      </c>
      <c r="C3771" t="s">
        <v>73</v>
      </c>
      <c r="D3771" t="s">
        <v>74</v>
      </c>
      <c r="E3771" t="s">
        <v>74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74</v>
      </c>
    </row>
    <row r="3772" spans="1:20" x14ac:dyDescent="0.3">
      <c r="A3772" t="s">
        <v>35</v>
      </c>
      <c r="B3772">
        <v>88</v>
      </c>
      <c r="C3772" t="s">
        <v>71</v>
      </c>
      <c r="D3772" t="s">
        <v>74</v>
      </c>
      <c r="E3772" t="s">
        <v>75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74</v>
      </c>
    </row>
    <row r="3773" spans="1:20" x14ac:dyDescent="0.3">
      <c r="A3773" t="s">
        <v>67</v>
      </c>
      <c r="B3773">
        <v>169</v>
      </c>
      <c r="C3773" t="s">
        <v>73</v>
      </c>
      <c r="D3773" t="s">
        <v>74</v>
      </c>
      <c r="E3773" t="s">
        <v>74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74</v>
      </c>
    </row>
    <row r="3774" spans="1:20" x14ac:dyDescent="0.3">
      <c r="A3774" t="s">
        <v>34</v>
      </c>
      <c r="B3774">
        <v>48</v>
      </c>
      <c r="C3774" t="s">
        <v>72</v>
      </c>
      <c r="D3774" t="s">
        <v>74</v>
      </c>
      <c r="E3774" t="s">
        <v>74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74</v>
      </c>
    </row>
    <row r="3775" spans="1:20" x14ac:dyDescent="0.3">
      <c r="A3775" t="s">
        <v>29</v>
      </c>
      <c r="B3775">
        <v>65</v>
      </c>
      <c r="C3775" t="s">
        <v>73</v>
      </c>
      <c r="D3775" t="s">
        <v>74</v>
      </c>
      <c r="E3775" t="s">
        <v>74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74</v>
      </c>
    </row>
    <row r="3776" spans="1:20" x14ac:dyDescent="0.3">
      <c r="A3776" t="s">
        <v>70</v>
      </c>
      <c r="B3776">
        <v>53</v>
      </c>
      <c r="C3776" t="s">
        <v>72</v>
      </c>
      <c r="D3776" t="s">
        <v>74</v>
      </c>
      <c r="E3776" t="s">
        <v>74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74</v>
      </c>
    </row>
    <row r="3777" spans="1:20" x14ac:dyDescent="0.3">
      <c r="A3777" t="s">
        <v>62</v>
      </c>
      <c r="B3777">
        <v>72</v>
      </c>
      <c r="C3777" t="s">
        <v>71</v>
      </c>
      <c r="D3777" t="s">
        <v>74</v>
      </c>
      <c r="E3777" t="s">
        <v>75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74</v>
      </c>
    </row>
    <row r="3778" spans="1:20" x14ac:dyDescent="0.3">
      <c r="A3778" t="s">
        <v>58</v>
      </c>
      <c r="B3778">
        <v>100</v>
      </c>
      <c r="C3778" t="s">
        <v>72</v>
      </c>
      <c r="D3778" t="s">
        <v>74</v>
      </c>
      <c r="E3778" t="s">
        <v>74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74</v>
      </c>
    </row>
    <row r="3779" spans="1:20" x14ac:dyDescent="0.3">
      <c r="A3779" t="s">
        <v>32</v>
      </c>
      <c r="B3779">
        <v>82</v>
      </c>
      <c r="C3779" t="s">
        <v>71</v>
      </c>
      <c r="D3779" t="s">
        <v>74</v>
      </c>
      <c r="E3779" t="s">
        <v>74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74</v>
      </c>
    </row>
    <row r="3780" spans="1:20" x14ac:dyDescent="0.3">
      <c r="A3780" t="s">
        <v>67</v>
      </c>
      <c r="B3780">
        <v>71</v>
      </c>
      <c r="C3780" t="s">
        <v>71</v>
      </c>
      <c r="D3780" t="s">
        <v>74</v>
      </c>
      <c r="E3780" t="s">
        <v>74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74</v>
      </c>
    </row>
    <row r="3781" spans="1:20" x14ac:dyDescent="0.3">
      <c r="A3781" t="s">
        <v>26</v>
      </c>
      <c r="B3781">
        <v>103</v>
      </c>
      <c r="C3781" t="s">
        <v>71</v>
      </c>
      <c r="D3781" t="s">
        <v>74</v>
      </c>
      <c r="E3781" t="s">
        <v>74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74</v>
      </c>
    </row>
    <row r="3782" spans="1:20" x14ac:dyDescent="0.3">
      <c r="A3782" t="s">
        <v>55</v>
      </c>
      <c r="B3782">
        <v>87</v>
      </c>
      <c r="C3782" t="s">
        <v>71</v>
      </c>
      <c r="D3782" t="s">
        <v>74</v>
      </c>
      <c r="E3782" t="s">
        <v>74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74</v>
      </c>
    </row>
    <row r="3783" spans="1:20" x14ac:dyDescent="0.3">
      <c r="A3783" t="s">
        <v>49</v>
      </c>
      <c r="B3783">
        <v>116</v>
      </c>
      <c r="C3783" t="s">
        <v>73</v>
      </c>
      <c r="D3783" t="s">
        <v>74</v>
      </c>
      <c r="E3783" t="s">
        <v>74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75</v>
      </c>
    </row>
    <row r="3784" spans="1:20" x14ac:dyDescent="0.3">
      <c r="A3784" t="s">
        <v>53</v>
      </c>
      <c r="B3784">
        <v>140</v>
      </c>
      <c r="C3784" t="s">
        <v>71</v>
      </c>
      <c r="D3784" t="s">
        <v>74</v>
      </c>
      <c r="E3784" t="s">
        <v>74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74</v>
      </c>
    </row>
    <row r="3785" spans="1:20" x14ac:dyDescent="0.3">
      <c r="A3785" t="s">
        <v>69</v>
      </c>
      <c r="B3785">
        <v>93</v>
      </c>
      <c r="C3785" t="s">
        <v>73</v>
      </c>
      <c r="D3785" t="s">
        <v>74</v>
      </c>
      <c r="E3785" t="s">
        <v>74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74</v>
      </c>
    </row>
    <row r="3786" spans="1:20" x14ac:dyDescent="0.3">
      <c r="A3786" t="s">
        <v>29</v>
      </c>
      <c r="B3786">
        <v>90</v>
      </c>
      <c r="C3786" t="s">
        <v>71</v>
      </c>
      <c r="D3786" t="s">
        <v>74</v>
      </c>
      <c r="E3786" t="s">
        <v>74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74</v>
      </c>
    </row>
    <row r="3787" spans="1:20" x14ac:dyDescent="0.3">
      <c r="A3787" t="s">
        <v>27</v>
      </c>
      <c r="B3787">
        <v>130</v>
      </c>
      <c r="C3787" t="s">
        <v>71</v>
      </c>
      <c r="D3787" t="s">
        <v>74</v>
      </c>
      <c r="E3787" t="s">
        <v>74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74</v>
      </c>
    </row>
    <row r="3788" spans="1:20" x14ac:dyDescent="0.3">
      <c r="A3788" t="s">
        <v>20</v>
      </c>
      <c r="B3788">
        <v>121</v>
      </c>
      <c r="C3788" t="s">
        <v>73</v>
      </c>
      <c r="D3788" t="s">
        <v>75</v>
      </c>
      <c r="E3788" t="s">
        <v>74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74</v>
      </c>
    </row>
    <row r="3789" spans="1:20" x14ac:dyDescent="0.3">
      <c r="A3789" t="s">
        <v>65</v>
      </c>
      <c r="B3789">
        <v>94</v>
      </c>
      <c r="C3789" t="s">
        <v>71</v>
      </c>
      <c r="D3789" t="s">
        <v>75</v>
      </c>
      <c r="E3789" t="s">
        <v>75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74</v>
      </c>
    </row>
    <row r="3790" spans="1:20" x14ac:dyDescent="0.3">
      <c r="A3790" t="s">
        <v>53</v>
      </c>
      <c r="B3790">
        <v>76</v>
      </c>
      <c r="C3790" t="s">
        <v>73</v>
      </c>
      <c r="D3790" t="s">
        <v>74</v>
      </c>
      <c r="E3790" t="s">
        <v>74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74</v>
      </c>
    </row>
    <row r="3791" spans="1:20" x14ac:dyDescent="0.3">
      <c r="A3791" t="s">
        <v>53</v>
      </c>
      <c r="B3791">
        <v>69</v>
      </c>
      <c r="C3791" t="s">
        <v>72</v>
      </c>
      <c r="D3791" t="s">
        <v>74</v>
      </c>
      <c r="E3791" t="s">
        <v>74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74</v>
      </c>
    </row>
    <row r="3792" spans="1:20" x14ac:dyDescent="0.3">
      <c r="A3792" t="s">
        <v>43</v>
      </c>
      <c r="B3792">
        <v>117</v>
      </c>
      <c r="C3792" t="s">
        <v>71</v>
      </c>
      <c r="D3792" t="s">
        <v>74</v>
      </c>
      <c r="E3792" t="s">
        <v>75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74</v>
      </c>
    </row>
    <row r="3793" spans="1:20" x14ac:dyDescent="0.3">
      <c r="A3793" t="s">
        <v>20</v>
      </c>
      <c r="B3793">
        <v>70</v>
      </c>
      <c r="C3793" t="s">
        <v>71</v>
      </c>
      <c r="D3793" t="s">
        <v>74</v>
      </c>
      <c r="E3793" t="s">
        <v>74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75</v>
      </c>
    </row>
    <row r="3794" spans="1:20" x14ac:dyDescent="0.3">
      <c r="A3794" t="s">
        <v>29</v>
      </c>
      <c r="B3794">
        <v>130</v>
      </c>
      <c r="C3794" t="s">
        <v>71</v>
      </c>
      <c r="D3794" t="s">
        <v>74</v>
      </c>
      <c r="E3794" t="s">
        <v>74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74</v>
      </c>
    </row>
    <row r="3795" spans="1:20" x14ac:dyDescent="0.3">
      <c r="A3795" t="s">
        <v>35</v>
      </c>
      <c r="B3795">
        <v>109</v>
      </c>
      <c r="C3795" t="s">
        <v>71</v>
      </c>
      <c r="D3795" t="s">
        <v>74</v>
      </c>
      <c r="E3795" t="s">
        <v>75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74</v>
      </c>
    </row>
    <row r="3796" spans="1:20" x14ac:dyDescent="0.3">
      <c r="A3796" t="s">
        <v>53</v>
      </c>
      <c r="B3796">
        <v>115</v>
      </c>
      <c r="C3796" t="s">
        <v>71</v>
      </c>
      <c r="D3796" t="s">
        <v>74</v>
      </c>
      <c r="E3796" t="s">
        <v>74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74</v>
      </c>
    </row>
    <row r="3797" spans="1:20" x14ac:dyDescent="0.3">
      <c r="A3797" t="s">
        <v>38</v>
      </c>
      <c r="B3797">
        <v>114</v>
      </c>
      <c r="C3797" t="s">
        <v>73</v>
      </c>
      <c r="D3797" t="s">
        <v>74</v>
      </c>
      <c r="E3797" t="s">
        <v>74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74</v>
      </c>
    </row>
    <row r="3798" spans="1:20" x14ac:dyDescent="0.3">
      <c r="A3798" t="s">
        <v>61</v>
      </c>
      <c r="B3798">
        <v>135</v>
      </c>
      <c r="C3798" t="s">
        <v>72</v>
      </c>
      <c r="D3798" t="s">
        <v>74</v>
      </c>
      <c r="E3798" t="s">
        <v>74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74</v>
      </c>
    </row>
    <row r="3799" spans="1:20" x14ac:dyDescent="0.3">
      <c r="A3799" t="s">
        <v>45</v>
      </c>
      <c r="B3799">
        <v>79</v>
      </c>
      <c r="C3799" t="s">
        <v>71</v>
      </c>
      <c r="D3799" t="s">
        <v>74</v>
      </c>
      <c r="E3799" t="s">
        <v>75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74</v>
      </c>
    </row>
    <row r="3800" spans="1:20" x14ac:dyDescent="0.3">
      <c r="A3800" t="s">
        <v>55</v>
      </c>
      <c r="B3800">
        <v>123</v>
      </c>
      <c r="C3800" t="s">
        <v>73</v>
      </c>
      <c r="D3800" t="s">
        <v>74</v>
      </c>
      <c r="E3800" t="s">
        <v>74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74</v>
      </c>
    </row>
    <row r="3801" spans="1:20" x14ac:dyDescent="0.3">
      <c r="A3801" t="s">
        <v>24</v>
      </c>
      <c r="B3801">
        <v>112</v>
      </c>
      <c r="C3801" t="s">
        <v>71</v>
      </c>
      <c r="D3801" t="s">
        <v>75</v>
      </c>
      <c r="E3801" t="s">
        <v>74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74</v>
      </c>
    </row>
    <row r="3802" spans="1:20" x14ac:dyDescent="0.3">
      <c r="A3802" t="s">
        <v>67</v>
      </c>
      <c r="B3802">
        <v>57</v>
      </c>
      <c r="C3802" t="s">
        <v>71</v>
      </c>
      <c r="D3802" t="s">
        <v>74</v>
      </c>
      <c r="E3802" t="s">
        <v>74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74</v>
      </c>
    </row>
    <row r="3803" spans="1:20" x14ac:dyDescent="0.3">
      <c r="A3803" t="s">
        <v>52</v>
      </c>
      <c r="B3803">
        <v>143</v>
      </c>
      <c r="C3803" t="s">
        <v>71</v>
      </c>
      <c r="D3803" t="s">
        <v>74</v>
      </c>
      <c r="E3803" t="s">
        <v>74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74</v>
      </c>
    </row>
    <row r="3804" spans="1:20" x14ac:dyDescent="0.3">
      <c r="A3804" t="s">
        <v>42</v>
      </c>
      <c r="B3804">
        <v>107</v>
      </c>
      <c r="C3804" t="s">
        <v>72</v>
      </c>
      <c r="D3804" t="s">
        <v>74</v>
      </c>
      <c r="E3804" t="s">
        <v>74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74</v>
      </c>
    </row>
    <row r="3805" spans="1:20" x14ac:dyDescent="0.3">
      <c r="A3805" t="s">
        <v>49</v>
      </c>
      <c r="B3805">
        <v>103</v>
      </c>
      <c r="C3805" t="s">
        <v>71</v>
      </c>
      <c r="D3805" t="s">
        <v>75</v>
      </c>
      <c r="E3805" t="s">
        <v>74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75</v>
      </c>
    </row>
    <row r="3806" spans="1:20" x14ac:dyDescent="0.3">
      <c r="A3806" t="s">
        <v>22</v>
      </c>
      <c r="B3806">
        <v>157</v>
      </c>
      <c r="C3806" t="s">
        <v>71</v>
      </c>
      <c r="D3806" t="s">
        <v>74</v>
      </c>
      <c r="E3806" t="s">
        <v>74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75</v>
      </c>
    </row>
    <row r="3807" spans="1:20" x14ac:dyDescent="0.3">
      <c r="A3807" t="s">
        <v>70</v>
      </c>
      <c r="B3807">
        <v>120</v>
      </c>
      <c r="C3807" t="s">
        <v>73</v>
      </c>
      <c r="D3807" t="s">
        <v>74</v>
      </c>
      <c r="E3807" t="s">
        <v>74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74</v>
      </c>
    </row>
    <row r="3808" spans="1:20" x14ac:dyDescent="0.3">
      <c r="A3808" t="s">
        <v>23</v>
      </c>
      <c r="B3808">
        <v>81</v>
      </c>
      <c r="C3808" t="s">
        <v>71</v>
      </c>
      <c r="D3808" t="s">
        <v>75</v>
      </c>
      <c r="E3808" t="s">
        <v>75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74</v>
      </c>
    </row>
    <row r="3809" spans="1:20" x14ac:dyDescent="0.3">
      <c r="A3809" t="s">
        <v>52</v>
      </c>
      <c r="B3809">
        <v>136</v>
      </c>
      <c r="C3809" t="s">
        <v>73</v>
      </c>
      <c r="D3809" t="s">
        <v>74</v>
      </c>
      <c r="E3809" t="s">
        <v>74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75</v>
      </c>
    </row>
    <row r="3810" spans="1:20" x14ac:dyDescent="0.3">
      <c r="A3810" t="s">
        <v>23</v>
      </c>
      <c r="B3810">
        <v>83</v>
      </c>
      <c r="C3810" t="s">
        <v>72</v>
      </c>
      <c r="D3810" t="s">
        <v>74</v>
      </c>
      <c r="E3810" t="s">
        <v>75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74</v>
      </c>
    </row>
    <row r="3811" spans="1:20" x14ac:dyDescent="0.3">
      <c r="A3811" t="s">
        <v>47</v>
      </c>
      <c r="B3811">
        <v>137</v>
      </c>
      <c r="C3811" t="s">
        <v>71</v>
      </c>
      <c r="D3811" t="s">
        <v>74</v>
      </c>
      <c r="E3811" t="s">
        <v>74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74</v>
      </c>
    </row>
    <row r="3812" spans="1:20" x14ac:dyDescent="0.3">
      <c r="A3812" t="s">
        <v>23</v>
      </c>
      <c r="B3812">
        <v>93</v>
      </c>
      <c r="C3812" t="s">
        <v>71</v>
      </c>
      <c r="D3812" t="s">
        <v>74</v>
      </c>
      <c r="E3812" t="s">
        <v>75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74</v>
      </c>
    </row>
    <row r="3813" spans="1:20" x14ac:dyDescent="0.3">
      <c r="A3813" t="s">
        <v>58</v>
      </c>
      <c r="B3813">
        <v>103</v>
      </c>
      <c r="C3813" t="s">
        <v>73</v>
      </c>
      <c r="D3813" t="s">
        <v>74</v>
      </c>
      <c r="E3813" t="s">
        <v>74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74</v>
      </c>
    </row>
    <row r="3814" spans="1:20" x14ac:dyDescent="0.3">
      <c r="A3814" t="s">
        <v>60</v>
      </c>
      <c r="B3814">
        <v>96</v>
      </c>
      <c r="C3814" t="s">
        <v>71</v>
      </c>
      <c r="D3814" t="s">
        <v>74</v>
      </c>
      <c r="E3814" t="s">
        <v>74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74</v>
      </c>
    </row>
    <row r="3815" spans="1:20" x14ac:dyDescent="0.3">
      <c r="A3815" t="s">
        <v>38</v>
      </c>
      <c r="B3815">
        <v>77</v>
      </c>
      <c r="C3815" t="s">
        <v>71</v>
      </c>
      <c r="D3815" t="s">
        <v>75</v>
      </c>
      <c r="E3815" t="s">
        <v>74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74</v>
      </c>
    </row>
    <row r="3816" spans="1:20" x14ac:dyDescent="0.3">
      <c r="A3816" t="s">
        <v>52</v>
      </c>
      <c r="B3816">
        <v>116</v>
      </c>
      <c r="C3816" t="s">
        <v>72</v>
      </c>
      <c r="D3816" t="s">
        <v>74</v>
      </c>
      <c r="E3816" t="s">
        <v>74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74</v>
      </c>
    </row>
    <row r="3817" spans="1:20" x14ac:dyDescent="0.3">
      <c r="A3817" t="s">
        <v>32</v>
      </c>
      <c r="B3817">
        <v>96</v>
      </c>
      <c r="C3817" t="s">
        <v>73</v>
      </c>
      <c r="D3817" t="s">
        <v>75</v>
      </c>
      <c r="E3817" t="s">
        <v>74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74</v>
      </c>
    </row>
    <row r="3818" spans="1:20" x14ac:dyDescent="0.3">
      <c r="A3818" t="s">
        <v>54</v>
      </c>
      <c r="B3818">
        <v>60</v>
      </c>
      <c r="C3818" t="s">
        <v>71</v>
      </c>
      <c r="D3818" t="s">
        <v>75</v>
      </c>
      <c r="E3818" t="s">
        <v>75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75</v>
      </c>
    </row>
    <row r="3819" spans="1:20" x14ac:dyDescent="0.3">
      <c r="A3819" t="s">
        <v>22</v>
      </c>
      <c r="B3819">
        <v>105</v>
      </c>
      <c r="C3819" t="s">
        <v>73</v>
      </c>
      <c r="D3819" t="s">
        <v>75</v>
      </c>
      <c r="E3819" t="s">
        <v>75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74</v>
      </c>
    </row>
    <row r="3820" spans="1:20" x14ac:dyDescent="0.3">
      <c r="A3820" t="s">
        <v>28</v>
      </c>
      <c r="B3820">
        <v>107</v>
      </c>
      <c r="C3820" t="s">
        <v>72</v>
      </c>
      <c r="D3820" t="s">
        <v>74</v>
      </c>
      <c r="E3820" t="s">
        <v>74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74</v>
      </c>
    </row>
    <row r="3821" spans="1:20" x14ac:dyDescent="0.3">
      <c r="A3821" t="s">
        <v>60</v>
      </c>
      <c r="B3821">
        <v>86</v>
      </c>
      <c r="C3821" t="s">
        <v>71</v>
      </c>
      <c r="D3821" t="s">
        <v>74</v>
      </c>
      <c r="E3821" t="s">
        <v>74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75</v>
      </c>
    </row>
    <row r="3822" spans="1:20" x14ac:dyDescent="0.3">
      <c r="A3822" t="s">
        <v>23</v>
      </c>
      <c r="B3822">
        <v>115</v>
      </c>
      <c r="C3822" t="s">
        <v>71</v>
      </c>
      <c r="D3822" t="s">
        <v>74</v>
      </c>
      <c r="E3822" t="s">
        <v>74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74</v>
      </c>
    </row>
    <row r="3823" spans="1:20" x14ac:dyDescent="0.3">
      <c r="A3823" t="s">
        <v>69</v>
      </c>
      <c r="B3823">
        <v>128</v>
      </c>
      <c r="C3823" t="s">
        <v>72</v>
      </c>
      <c r="D3823" t="s">
        <v>74</v>
      </c>
      <c r="E3823" t="s">
        <v>75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74</v>
      </c>
    </row>
    <row r="3824" spans="1:20" x14ac:dyDescent="0.3">
      <c r="A3824" t="s">
        <v>56</v>
      </c>
      <c r="B3824">
        <v>97</v>
      </c>
      <c r="C3824" t="s">
        <v>71</v>
      </c>
      <c r="D3824" t="s">
        <v>74</v>
      </c>
      <c r="E3824" t="s">
        <v>74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74</v>
      </c>
    </row>
    <row r="3825" spans="1:20" x14ac:dyDescent="0.3">
      <c r="A3825" t="s">
        <v>33</v>
      </c>
      <c r="B3825">
        <v>90</v>
      </c>
      <c r="C3825" t="s">
        <v>71</v>
      </c>
      <c r="D3825" t="s">
        <v>74</v>
      </c>
      <c r="E3825" t="s">
        <v>74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74</v>
      </c>
    </row>
    <row r="3826" spans="1:20" x14ac:dyDescent="0.3">
      <c r="A3826" t="s">
        <v>70</v>
      </c>
      <c r="B3826">
        <v>22</v>
      </c>
      <c r="C3826" t="s">
        <v>71</v>
      </c>
      <c r="D3826" t="s">
        <v>74</v>
      </c>
      <c r="E3826" t="s">
        <v>74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74</v>
      </c>
    </row>
    <row r="3827" spans="1:20" x14ac:dyDescent="0.3">
      <c r="A3827" t="s">
        <v>22</v>
      </c>
      <c r="B3827">
        <v>121</v>
      </c>
      <c r="C3827" t="s">
        <v>71</v>
      </c>
      <c r="D3827" t="s">
        <v>74</v>
      </c>
      <c r="E3827" t="s">
        <v>74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75</v>
      </c>
    </row>
    <row r="3828" spans="1:20" x14ac:dyDescent="0.3">
      <c r="A3828" t="s">
        <v>54</v>
      </c>
      <c r="B3828">
        <v>169</v>
      </c>
      <c r="C3828" t="s">
        <v>72</v>
      </c>
      <c r="D3828" t="s">
        <v>74</v>
      </c>
      <c r="E3828" t="s">
        <v>74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74</v>
      </c>
    </row>
    <row r="3829" spans="1:20" x14ac:dyDescent="0.3">
      <c r="A3829" t="s">
        <v>36</v>
      </c>
      <c r="B3829">
        <v>83</v>
      </c>
      <c r="C3829" t="s">
        <v>72</v>
      </c>
      <c r="D3829" t="s">
        <v>74</v>
      </c>
      <c r="E3829" t="s">
        <v>74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74</v>
      </c>
    </row>
    <row r="3830" spans="1:20" x14ac:dyDescent="0.3">
      <c r="A3830" t="s">
        <v>68</v>
      </c>
      <c r="B3830">
        <v>87</v>
      </c>
      <c r="C3830" t="s">
        <v>73</v>
      </c>
      <c r="D3830" t="s">
        <v>74</v>
      </c>
      <c r="E3830" t="s">
        <v>75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74</v>
      </c>
    </row>
    <row r="3831" spans="1:20" x14ac:dyDescent="0.3">
      <c r="A3831" t="s">
        <v>50</v>
      </c>
      <c r="B3831">
        <v>126</v>
      </c>
      <c r="C3831" t="s">
        <v>71</v>
      </c>
      <c r="D3831" t="s">
        <v>74</v>
      </c>
      <c r="E3831" t="s">
        <v>75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74</v>
      </c>
    </row>
    <row r="3832" spans="1:20" x14ac:dyDescent="0.3">
      <c r="A3832" t="s">
        <v>38</v>
      </c>
      <c r="B3832">
        <v>61</v>
      </c>
      <c r="C3832" t="s">
        <v>71</v>
      </c>
      <c r="D3832" t="s">
        <v>74</v>
      </c>
      <c r="E3832" t="s">
        <v>75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74</v>
      </c>
    </row>
    <row r="3833" spans="1:20" x14ac:dyDescent="0.3">
      <c r="A3833" t="s">
        <v>37</v>
      </c>
      <c r="B3833">
        <v>90</v>
      </c>
      <c r="C3833" t="s">
        <v>73</v>
      </c>
      <c r="D3833" t="s">
        <v>75</v>
      </c>
      <c r="E3833" t="s">
        <v>74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74</v>
      </c>
    </row>
    <row r="3834" spans="1:20" x14ac:dyDescent="0.3">
      <c r="A3834" t="s">
        <v>39</v>
      </c>
      <c r="B3834">
        <v>131</v>
      </c>
      <c r="C3834" t="s">
        <v>73</v>
      </c>
      <c r="D3834" t="s">
        <v>74</v>
      </c>
      <c r="E3834" t="s">
        <v>74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74</v>
      </c>
    </row>
    <row r="3835" spans="1:20" x14ac:dyDescent="0.3">
      <c r="A3835" t="s">
        <v>43</v>
      </c>
      <c r="B3835">
        <v>89</v>
      </c>
      <c r="C3835" t="s">
        <v>71</v>
      </c>
      <c r="D3835" t="s">
        <v>74</v>
      </c>
      <c r="E3835" t="s">
        <v>74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74</v>
      </c>
    </row>
    <row r="3836" spans="1:20" x14ac:dyDescent="0.3">
      <c r="A3836" t="s">
        <v>25</v>
      </c>
      <c r="B3836">
        <v>71</v>
      </c>
      <c r="C3836" t="s">
        <v>71</v>
      </c>
      <c r="D3836" t="s">
        <v>74</v>
      </c>
      <c r="E3836" t="s">
        <v>74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74</v>
      </c>
    </row>
    <row r="3837" spans="1:20" x14ac:dyDescent="0.3">
      <c r="A3837" t="s">
        <v>24</v>
      </c>
      <c r="B3837">
        <v>166</v>
      </c>
      <c r="C3837" t="s">
        <v>71</v>
      </c>
      <c r="D3837" t="s">
        <v>74</v>
      </c>
      <c r="E3837" t="s">
        <v>74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74</v>
      </c>
    </row>
    <row r="3838" spans="1:20" x14ac:dyDescent="0.3">
      <c r="A3838" t="s">
        <v>35</v>
      </c>
      <c r="B3838">
        <v>146</v>
      </c>
      <c r="C3838" t="s">
        <v>72</v>
      </c>
      <c r="D3838" t="s">
        <v>75</v>
      </c>
      <c r="E3838" t="s">
        <v>74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74</v>
      </c>
    </row>
    <row r="3839" spans="1:20" x14ac:dyDescent="0.3">
      <c r="A3839" t="s">
        <v>69</v>
      </c>
      <c r="B3839">
        <v>90</v>
      </c>
      <c r="C3839" t="s">
        <v>73</v>
      </c>
      <c r="D3839" t="s">
        <v>75</v>
      </c>
      <c r="E3839" t="s">
        <v>74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74</v>
      </c>
    </row>
    <row r="3840" spans="1:20" x14ac:dyDescent="0.3">
      <c r="A3840" t="s">
        <v>52</v>
      </c>
      <c r="B3840">
        <v>59</v>
      </c>
      <c r="C3840" t="s">
        <v>73</v>
      </c>
      <c r="D3840" t="s">
        <v>74</v>
      </c>
      <c r="E3840" t="s">
        <v>74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74</v>
      </c>
    </row>
    <row r="3841" spans="1:20" x14ac:dyDescent="0.3">
      <c r="A3841" t="s">
        <v>68</v>
      </c>
      <c r="B3841">
        <v>25</v>
      </c>
      <c r="C3841" t="s">
        <v>71</v>
      </c>
      <c r="D3841" t="s">
        <v>74</v>
      </c>
      <c r="E3841" t="s">
        <v>74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74</v>
      </c>
    </row>
    <row r="3842" spans="1:20" x14ac:dyDescent="0.3">
      <c r="A3842" t="s">
        <v>65</v>
      </c>
      <c r="B3842">
        <v>105</v>
      </c>
      <c r="C3842" t="s">
        <v>72</v>
      </c>
      <c r="D3842" t="s">
        <v>74</v>
      </c>
      <c r="E3842" t="s">
        <v>74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74</v>
      </c>
    </row>
    <row r="3843" spans="1:20" x14ac:dyDescent="0.3">
      <c r="A3843" t="s">
        <v>25</v>
      </c>
      <c r="B3843">
        <v>143</v>
      </c>
      <c r="C3843" t="s">
        <v>71</v>
      </c>
      <c r="D3843" t="s">
        <v>74</v>
      </c>
      <c r="E3843" t="s">
        <v>75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74</v>
      </c>
    </row>
    <row r="3844" spans="1:20" x14ac:dyDescent="0.3">
      <c r="A3844" t="s">
        <v>67</v>
      </c>
      <c r="B3844">
        <v>56</v>
      </c>
      <c r="C3844" t="s">
        <v>71</v>
      </c>
      <c r="D3844" t="s">
        <v>74</v>
      </c>
      <c r="E3844" t="s">
        <v>74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74</v>
      </c>
    </row>
    <row r="3845" spans="1:20" x14ac:dyDescent="0.3">
      <c r="A3845" t="s">
        <v>63</v>
      </c>
      <c r="B3845">
        <v>105</v>
      </c>
      <c r="C3845" t="s">
        <v>72</v>
      </c>
      <c r="D3845" t="s">
        <v>74</v>
      </c>
      <c r="E3845" t="s">
        <v>74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74</v>
      </c>
    </row>
    <row r="3846" spans="1:20" x14ac:dyDescent="0.3">
      <c r="A3846" t="s">
        <v>29</v>
      </c>
      <c r="B3846">
        <v>73</v>
      </c>
      <c r="C3846" t="s">
        <v>72</v>
      </c>
      <c r="D3846" t="s">
        <v>74</v>
      </c>
      <c r="E3846" t="s">
        <v>75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74</v>
      </c>
    </row>
    <row r="3847" spans="1:20" x14ac:dyDescent="0.3">
      <c r="A3847" t="s">
        <v>66</v>
      </c>
      <c r="B3847">
        <v>54</v>
      </c>
      <c r="C3847" t="s">
        <v>73</v>
      </c>
      <c r="D3847" t="s">
        <v>74</v>
      </c>
      <c r="E3847" t="s">
        <v>74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74</v>
      </c>
    </row>
    <row r="3848" spans="1:20" x14ac:dyDescent="0.3">
      <c r="A3848" t="s">
        <v>21</v>
      </c>
      <c r="B3848">
        <v>98</v>
      </c>
      <c r="C3848" t="s">
        <v>72</v>
      </c>
      <c r="D3848" t="s">
        <v>74</v>
      </c>
      <c r="E3848" t="s">
        <v>74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74</v>
      </c>
    </row>
    <row r="3849" spans="1:20" x14ac:dyDescent="0.3">
      <c r="A3849" t="s">
        <v>58</v>
      </c>
      <c r="B3849">
        <v>100</v>
      </c>
      <c r="C3849" t="s">
        <v>71</v>
      </c>
      <c r="D3849" t="s">
        <v>74</v>
      </c>
      <c r="E3849" t="s">
        <v>75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75</v>
      </c>
    </row>
    <row r="3850" spans="1:20" x14ac:dyDescent="0.3">
      <c r="A3850" t="s">
        <v>25</v>
      </c>
      <c r="B3850">
        <v>107</v>
      </c>
      <c r="C3850" t="s">
        <v>73</v>
      </c>
      <c r="D3850" t="s">
        <v>74</v>
      </c>
      <c r="E3850" t="s">
        <v>74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74</v>
      </c>
    </row>
    <row r="3851" spans="1:20" x14ac:dyDescent="0.3">
      <c r="A3851" t="s">
        <v>65</v>
      </c>
      <c r="B3851">
        <v>167</v>
      </c>
      <c r="C3851" t="s">
        <v>72</v>
      </c>
      <c r="D3851" t="s">
        <v>74</v>
      </c>
      <c r="E3851" t="s">
        <v>74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74</v>
      </c>
    </row>
    <row r="3852" spans="1:20" x14ac:dyDescent="0.3">
      <c r="A3852" t="s">
        <v>32</v>
      </c>
      <c r="B3852">
        <v>49</v>
      </c>
      <c r="C3852" t="s">
        <v>71</v>
      </c>
      <c r="D3852" t="s">
        <v>74</v>
      </c>
      <c r="E3852" t="s">
        <v>74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74</v>
      </c>
    </row>
    <row r="3853" spans="1:20" x14ac:dyDescent="0.3">
      <c r="A3853" t="s">
        <v>26</v>
      </c>
      <c r="B3853">
        <v>34</v>
      </c>
      <c r="C3853" t="s">
        <v>73</v>
      </c>
      <c r="D3853" t="s">
        <v>74</v>
      </c>
      <c r="E3853" t="s">
        <v>74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74</v>
      </c>
    </row>
    <row r="3854" spans="1:20" x14ac:dyDescent="0.3">
      <c r="A3854" t="s">
        <v>23</v>
      </c>
      <c r="B3854">
        <v>109</v>
      </c>
      <c r="C3854" t="s">
        <v>71</v>
      </c>
      <c r="D3854" t="s">
        <v>74</v>
      </c>
      <c r="E3854" t="s">
        <v>74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74</v>
      </c>
    </row>
    <row r="3855" spans="1:20" x14ac:dyDescent="0.3">
      <c r="A3855" t="s">
        <v>25</v>
      </c>
      <c r="B3855">
        <v>109</v>
      </c>
      <c r="C3855" t="s">
        <v>72</v>
      </c>
      <c r="D3855" t="s">
        <v>74</v>
      </c>
      <c r="E3855" t="s">
        <v>74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74</v>
      </c>
    </row>
    <row r="3856" spans="1:20" x14ac:dyDescent="0.3">
      <c r="A3856" t="s">
        <v>20</v>
      </c>
      <c r="B3856">
        <v>39</v>
      </c>
      <c r="C3856" t="s">
        <v>73</v>
      </c>
      <c r="D3856" t="s">
        <v>74</v>
      </c>
      <c r="E3856" t="s">
        <v>74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74</v>
      </c>
    </row>
    <row r="3857" spans="1:20" x14ac:dyDescent="0.3">
      <c r="A3857" t="s">
        <v>42</v>
      </c>
      <c r="B3857">
        <v>90</v>
      </c>
      <c r="C3857" t="s">
        <v>71</v>
      </c>
      <c r="D3857" t="s">
        <v>74</v>
      </c>
      <c r="E3857" t="s">
        <v>74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74</v>
      </c>
    </row>
    <row r="3858" spans="1:20" x14ac:dyDescent="0.3">
      <c r="A3858" t="s">
        <v>70</v>
      </c>
      <c r="B3858">
        <v>114</v>
      </c>
      <c r="C3858" t="s">
        <v>73</v>
      </c>
      <c r="D3858" t="s">
        <v>74</v>
      </c>
      <c r="E3858" t="s">
        <v>74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74</v>
      </c>
    </row>
    <row r="3859" spans="1:20" x14ac:dyDescent="0.3">
      <c r="A3859" t="s">
        <v>57</v>
      </c>
      <c r="B3859">
        <v>113</v>
      </c>
      <c r="C3859" t="s">
        <v>71</v>
      </c>
      <c r="D3859" t="s">
        <v>74</v>
      </c>
      <c r="E3859" t="s">
        <v>74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74</v>
      </c>
    </row>
    <row r="3860" spans="1:20" x14ac:dyDescent="0.3">
      <c r="A3860" t="s">
        <v>36</v>
      </c>
      <c r="B3860">
        <v>19</v>
      </c>
      <c r="C3860" t="s">
        <v>71</v>
      </c>
      <c r="D3860" t="s">
        <v>74</v>
      </c>
      <c r="E3860" t="s">
        <v>75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74</v>
      </c>
    </row>
    <row r="3861" spans="1:20" x14ac:dyDescent="0.3">
      <c r="A3861" t="s">
        <v>28</v>
      </c>
      <c r="B3861">
        <v>94</v>
      </c>
      <c r="C3861" t="s">
        <v>71</v>
      </c>
      <c r="D3861" t="s">
        <v>74</v>
      </c>
      <c r="E3861" t="s">
        <v>74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74</v>
      </c>
    </row>
    <row r="3862" spans="1:20" x14ac:dyDescent="0.3">
      <c r="A3862" t="s">
        <v>30</v>
      </c>
      <c r="B3862">
        <v>69</v>
      </c>
      <c r="C3862" t="s">
        <v>71</v>
      </c>
      <c r="D3862" t="s">
        <v>74</v>
      </c>
      <c r="E3862" t="s">
        <v>74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74</v>
      </c>
    </row>
    <row r="3863" spans="1:20" x14ac:dyDescent="0.3">
      <c r="A3863" t="s">
        <v>23</v>
      </c>
      <c r="B3863">
        <v>90</v>
      </c>
      <c r="C3863" t="s">
        <v>71</v>
      </c>
      <c r="D3863" t="s">
        <v>74</v>
      </c>
      <c r="E3863" t="s">
        <v>74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74</v>
      </c>
    </row>
    <row r="3864" spans="1:20" x14ac:dyDescent="0.3">
      <c r="A3864" t="s">
        <v>21</v>
      </c>
      <c r="B3864">
        <v>48</v>
      </c>
      <c r="C3864" t="s">
        <v>73</v>
      </c>
      <c r="D3864" t="s">
        <v>74</v>
      </c>
      <c r="E3864" t="s">
        <v>74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74</v>
      </c>
    </row>
    <row r="3865" spans="1:20" x14ac:dyDescent="0.3">
      <c r="A3865" t="s">
        <v>45</v>
      </c>
      <c r="B3865">
        <v>122</v>
      </c>
      <c r="C3865" t="s">
        <v>71</v>
      </c>
      <c r="D3865" t="s">
        <v>74</v>
      </c>
      <c r="E3865" t="s">
        <v>75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74</v>
      </c>
    </row>
    <row r="3866" spans="1:20" x14ac:dyDescent="0.3">
      <c r="A3866" t="s">
        <v>65</v>
      </c>
      <c r="B3866">
        <v>123</v>
      </c>
      <c r="C3866" t="s">
        <v>73</v>
      </c>
      <c r="D3866" t="s">
        <v>74</v>
      </c>
      <c r="E3866" t="s">
        <v>75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74</v>
      </c>
    </row>
    <row r="3867" spans="1:20" x14ac:dyDescent="0.3">
      <c r="A3867" t="s">
        <v>22</v>
      </c>
      <c r="B3867">
        <v>81</v>
      </c>
      <c r="C3867" t="s">
        <v>72</v>
      </c>
      <c r="D3867" t="s">
        <v>74</v>
      </c>
      <c r="E3867" t="s">
        <v>74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74</v>
      </c>
    </row>
    <row r="3868" spans="1:20" x14ac:dyDescent="0.3">
      <c r="A3868" t="s">
        <v>47</v>
      </c>
      <c r="B3868">
        <v>43</v>
      </c>
      <c r="C3868" t="s">
        <v>73</v>
      </c>
      <c r="D3868" t="s">
        <v>74</v>
      </c>
      <c r="E3868" t="s">
        <v>74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74</v>
      </c>
    </row>
    <row r="3869" spans="1:20" x14ac:dyDescent="0.3">
      <c r="A3869" t="s">
        <v>69</v>
      </c>
      <c r="B3869">
        <v>25</v>
      </c>
      <c r="C3869" t="s">
        <v>71</v>
      </c>
      <c r="D3869" t="s">
        <v>74</v>
      </c>
      <c r="E3869" t="s">
        <v>74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74</v>
      </c>
    </row>
    <row r="3870" spans="1:20" x14ac:dyDescent="0.3">
      <c r="A3870" t="s">
        <v>46</v>
      </c>
      <c r="B3870">
        <v>170</v>
      </c>
      <c r="C3870" t="s">
        <v>71</v>
      </c>
      <c r="D3870" t="s">
        <v>74</v>
      </c>
      <c r="E3870" t="s">
        <v>74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74</v>
      </c>
    </row>
    <row r="3871" spans="1:20" x14ac:dyDescent="0.3">
      <c r="A3871" t="s">
        <v>70</v>
      </c>
      <c r="B3871">
        <v>129</v>
      </c>
      <c r="C3871" t="s">
        <v>71</v>
      </c>
      <c r="D3871" t="s">
        <v>74</v>
      </c>
      <c r="E3871" t="s">
        <v>74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74</v>
      </c>
    </row>
    <row r="3872" spans="1:20" x14ac:dyDescent="0.3">
      <c r="A3872" t="s">
        <v>32</v>
      </c>
      <c r="B3872">
        <v>132</v>
      </c>
      <c r="C3872" t="s">
        <v>72</v>
      </c>
      <c r="D3872" t="s">
        <v>74</v>
      </c>
      <c r="E3872" t="s">
        <v>75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74</v>
      </c>
    </row>
    <row r="3873" spans="1:20" x14ac:dyDescent="0.3">
      <c r="A3873" t="s">
        <v>52</v>
      </c>
      <c r="B3873">
        <v>42</v>
      </c>
      <c r="C3873" t="s">
        <v>71</v>
      </c>
      <c r="D3873" t="s">
        <v>74</v>
      </c>
      <c r="E3873" t="s">
        <v>74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75</v>
      </c>
    </row>
    <row r="3874" spans="1:20" x14ac:dyDescent="0.3">
      <c r="A3874" t="s">
        <v>46</v>
      </c>
      <c r="B3874">
        <v>8</v>
      </c>
      <c r="C3874" t="s">
        <v>71</v>
      </c>
      <c r="D3874" t="s">
        <v>74</v>
      </c>
      <c r="E3874" t="s">
        <v>74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74</v>
      </c>
    </row>
    <row r="3875" spans="1:20" x14ac:dyDescent="0.3">
      <c r="A3875" t="s">
        <v>34</v>
      </c>
      <c r="B3875">
        <v>145</v>
      </c>
      <c r="C3875" t="s">
        <v>72</v>
      </c>
      <c r="D3875" t="s">
        <v>74</v>
      </c>
      <c r="E3875" t="s">
        <v>74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74</v>
      </c>
    </row>
    <row r="3876" spans="1:20" x14ac:dyDescent="0.3">
      <c r="A3876" t="s">
        <v>21</v>
      </c>
      <c r="B3876">
        <v>131</v>
      </c>
      <c r="C3876" t="s">
        <v>71</v>
      </c>
      <c r="D3876" t="s">
        <v>74</v>
      </c>
      <c r="E3876" t="s">
        <v>74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74</v>
      </c>
    </row>
    <row r="3877" spans="1:20" x14ac:dyDescent="0.3">
      <c r="A3877" t="s">
        <v>41</v>
      </c>
      <c r="B3877">
        <v>105</v>
      </c>
      <c r="C3877" t="s">
        <v>71</v>
      </c>
      <c r="D3877" t="s">
        <v>74</v>
      </c>
      <c r="E3877" t="s">
        <v>74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74</v>
      </c>
    </row>
    <row r="3878" spans="1:20" x14ac:dyDescent="0.3">
      <c r="A3878" t="s">
        <v>32</v>
      </c>
      <c r="B3878">
        <v>90</v>
      </c>
      <c r="C3878" t="s">
        <v>73</v>
      </c>
      <c r="D3878" t="s">
        <v>74</v>
      </c>
      <c r="E3878" t="s">
        <v>75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74</v>
      </c>
    </row>
    <row r="3879" spans="1:20" x14ac:dyDescent="0.3">
      <c r="A3879" t="s">
        <v>28</v>
      </c>
      <c r="B3879">
        <v>124</v>
      </c>
      <c r="C3879" t="s">
        <v>71</v>
      </c>
      <c r="D3879" t="s">
        <v>74</v>
      </c>
      <c r="E3879" t="s">
        <v>74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75</v>
      </c>
    </row>
    <row r="3880" spans="1:20" x14ac:dyDescent="0.3">
      <c r="A3880" t="s">
        <v>46</v>
      </c>
      <c r="B3880">
        <v>82</v>
      </c>
      <c r="C3880" t="s">
        <v>73</v>
      </c>
      <c r="D3880" t="s">
        <v>74</v>
      </c>
      <c r="E3880" t="s">
        <v>74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74</v>
      </c>
    </row>
    <row r="3881" spans="1:20" x14ac:dyDescent="0.3">
      <c r="A3881" t="s">
        <v>23</v>
      </c>
      <c r="B3881">
        <v>76</v>
      </c>
      <c r="C3881" t="s">
        <v>73</v>
      </c>
      <c r="D3881" t="s">
        <v>74</v>
      </c>
      <c r="E3881" t="s">
        <v>74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74</v>
      </c>
    </row>
    <row r="3882" spans="1:20" x14ac:dyDescent="0.3">
      <c r="A3882" t="s">
        <v>46</v>
      </c>
      <c r="B3882">
        <v>98</v>
      </c>
      <c r="C3882" t="s">
        <v>71</v>
      </c>
      <c r="D3882" t="s">
        <v>74</v>
      </c>
      <c r="E3882" t="s">
        <v>74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74</v>
      </c>
    </row>
    <row r="3883" spans="1:20" x14ac:dyDescent="0.3">
      <c r="A3883" t="s">
        <v>49</v>
      </c>
      <c r="B3883">
        <v>80</v>
      </c>
      <c r="C3883" t="s">
        <v>72</v>
      </c>
      <c r="D3883" t="s">
        <v>75</v>
      </c>
      <c r="E3883" t="s">
        <v>74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75</v>
      </c>
    </row>
    <row r="3884" spans="1:20" x14ac:dyDescent="0.3">
      <c r="A3884" t="s">
        <v>26</v>
      </c>
      <c r="B3884">
        <v>57</v>
      </c>
      <c r="C3884" t="s">
        <v>71</v>
      </c>
      <c r="D3884" t="s">
        <v>74</v>
      </c>
      <c r="E3884" t="s">
        <v>74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74</v>
      </c>
    </row>
    <row r="3885" spans="1:20" x14ac:dyDescent="0.3">
      <c r="A3885" t="s">
        <v>43</v>
      </c>
      <c r="B3885">
        <v>137</v>
      </c>
      <c r="C3885" t="s">
        <v>72</v>
      </c>
      <c r="D3885" t="s">
        <v>74</v>
      </c>
      <c r="E3885" t="s">
        <v>74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74</v>
      </c>
    </row>
    <row r="3886" spans="1:20" x14ac:dyDescent="0.3">
      <c r="A3886" t="s">
        <v>62</v>
      </c>
      <c r="B3886">
        <v>87</v>
      </c>
      <c r="C3886" t="s">
        <v>72</v>
      </c>
      <c r="D3886" t="s">
        <v>74</v>
      </c>
      <c r="E3886" t="s">
        <v>74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74</v>
      </c>
    </row>
    <row r="3887" spans="1:20" x14ac:dyDescent="0.3">
      <c r="A3887" t="s">
        <v>65</v>
      </c>
      <c r="B3887">
        <v>131</v>
      </c>
      <c r="C3887" t="s">
        <v>72</v>
      </c>
      <c r="D3887" t="s">
        <v>74</v>
      </c>
      <c r="E3887" t="s">
        <v>74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75</v>
      </c>
    </row>
    <row r="3888" spans="1:20" x14ac:dyDescent="0.3">
      <c r="A3888" t="s">
        <v>62</v>
      </c>
      <c r="B3888">
        <v>116</v>
      </c>
      <c r="C3888" t="s">
        <v>73</v>
      </c>
      <c r="D3888" t="s">
        <v>74</v>
      </c>
      <c r="E3888" t="s">
        <v>74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74</v>
      </c>
    </row>
    <row r="3889" spans="1:20" x14ac:dyDescent="0.3">
      <c r="A3889" t="s">
        <v>46</v>
      </c>
      <c r="B3889">
        <v>136</v>
      </c>
      <c r="C3889" t="s">
        <v>72</v>
      </c>
      <c r="D3889" t="s">
        <v>74</v>
      </c>
      <c r="E3889" t="s">
        <v>75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74</v>
      </c>
    </row>
    <row r="3890" spans="1:20" x14ac:dyDescent="0.3">
      <c r="A3890" t="s">
        <v>34</v>
      </c>
      <c r="B3890">
        <v>149</v>
      </c>
      <c r="C3890" t="s">
        <v>72</v>
      </c>
      <c r="D3890" t="s">
        <v>74</v>
      </c>
      <c r="E3890" t="s">
        <v>74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74</v>
      </c>
    </row>
    <row r="3891" spans="1:20" x14ac:dyDescent="0.3">
      <c r="A3891" t="s">
        <v>34</v>
      </c>
      <c r="B3891">
        <v>108</v>
      </c>
      <c r="C3891" t="s">
        <v>71</v>
      </c>
      <c r="D3891" t="s">
        <v>74</v>
      </c>
      <c r="E3891" t="s">
        <v>74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74</v>
      </c>
    </row>
    <row r="3892" spans="1:20" x14ac:dyDescent="0.3">
      <c r="A3892" t="s">
        <v>47</v>
      </c>
      <c r="B3892">
        <v>25</v>
      </c>
      <c r="C3892" t="s">
        <v>71</v>
      </c>
      <c r="D3892" t="s">
        <v>74</v>
      </c>
      <c r="E3892" t="s">
        <v>74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74</v>
      </c>
    </row>
    <row r="3893" spans="1:20" x14ac:dyDescent="0.3">
      <c r="A3893" t="s">
        <v>59</v>
      </c>
      <c r="B3893">
        <v>104</v>
      </c>
      <c r="C3893" t="s">
        <v>71</v>
      </c>
      <c r="D3893" t="s">
        <v>74</v>
      </c>
      <c r="E3893" t="s">
        <v>74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74</v>
      </c>
    </row>
    <row r="3894" spans="1:20" x14ac:dyDescent="0.3">
      <c r="A3894" t="s">
        <v>30</v>
      </c>
      <c r="B3894">
        <v>25</v>
      </c>
      <c r="C3894" t="s">
        <v>73</v>
      </c>
      <c r="D3894" t="s">
        <v>74</v>
      </c>
      <c r="E3894" t="s">
        <v>74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74</v>
      </c>
    </row>
    <row r="3895" spans="1:20" x14ac:dyDescent="0.3">
      <c r="A3895" t="s">
        <v>70</v>
      </c>
      <c r="B3895">
        <v>140</v>
      </c>
      <c r="C3895" t="s">
        <v>73</v>
      </c>
      <c r="D3895" t="s">
        <v>74</v>
      </c>
      <c r="E3895" t="s">
        <v>75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74</v>
      </c>
    </row>
    <row r="3896" spans="1:20" x14ac:dyDescent="0.3">
      <c r="A3896" t="s">
        <v>55</v>
      </c>
      <c r="B3896">
        <v>106</v>
      </c>
      <c r="C3896" t="s">
        <v>71</v>
      </c>
      <c r="D3896" t="s">
        <v>74</v>
      </c>
      <c r="E3896" t="s">
        <v>74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74</v>
      </c>
    </row>
    <row r="3897" spans="1:20" x14ac:dyDescent="0.3">
      <c r="A3897" t="s">
        <v>26</v>
      </c>
      <c r="B3897">
        <v>81</v>
      </c>
      <c r="C3897" t="s">
        <v>71</v>
      </c>
      <c r="D3897" t="s">
        <v>74</v>
      </c>
      <c r="E3897" t="s">
        <v>75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74</v>
      </c>
    </row>
    <row r="3898" spans="1:20" x14ac:dyDescent="0.3">
      <c r="A3898" t="s">
        <v>70</v>
      </c>
      <c r="B3898">
        <v>77</v>
      </c>
      <c r="C3898" t="s">
        <v>71</v>
      </c>
      <c r="D3898" t="s">
        <v>74</v>
      </c>
      <c r="E3898" t="s">
        <v>75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74</v>
      </c>
    </row>
    <row r="3899" spans="1:20" x14ac:dyDescent="0.3">
      <c r="A3899" t="s">
        <v>45</v>
      </c>
      <c r="B3899">
        <v>87</v>
      </c>
      <c r="C3899" t="s">
        <v>71</v>
      </c>
      <c r="D3899" t="s">
        <v>74</v>
      </c>
      <c r="E3899" t="s">
        <v>75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74</v>
      </c>
    </row>
    <row r="3900" spans="1:20" x14ac:dyDescent="0.3">
      <c r="A3900" t="s">
        <v>56</v>
      </c>
      <c r="B3900">
        <v>72</v>
      </c>
      <c r="C3900" t="s">
        <v>71</v>
      </c>
      <c r="D3900" t="s">
        <v>74</v>
      </c>
      <c r="E3900" t="s">
        <v>75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75</v>
      </c>
    </row>
    <row r="3901" spans="1:20" x14ac:dyDescent="0.3">
      <c r="A3901" t="s">
        <v>53</v>
      </c>
      <c r="B3901">
        <v>45</v>
      </c>
      <c r="C3901" t="s">
        <v>71</v>
      </c>
      <c r="D3901" t="s">
        <v>74</v>
      </c>
      <c r="E3901" t="s">
        <v>75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74</v>
      </c>
    </row>
    <row r="3902" spans="1:20" x14ac:dyDescent="0.3">
      <c r="A3902" t="s">
        <v>31</v>
      </c>
      <c r="B3902">
        <v>41</v>
      </c>
      <c r="C3902" t="s">
        <v>73</v>
      </c>
      <c r="D3902" t="s">
        <v>75</v>
      </c>
      <c r="E3902" t="s">
        <v>75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74</v>
      </c>
    </row>
    <row r="3903" spans="1:20" x14ac:dyDescent="0.3">
      <c r="A3903" t="s">
        <v>23</v>
      </c>
      <c r="B3903">
        <v>122</v>
      </c>
      <c r="C3903" t="s">
        <v>73</v>
      </c>
      <c r="D3903" t="s">
        <v>74</v>
      </c>
      <c r="E3903" t="s">
        <v>74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74</v>
      </c>
    </row>
    <row r="3904" spans="1:20" x14ac:dyDescent="0.3">
      <c r="A3904" t="s">
        <v>36</v>
      </c>
      <c r="B3904">
        <v>92</v>
      </c>
      <c r="C3904" t="s">
        <v>73</v>
      </c>
      <c r="D3904" t="s">
        <v>74</v>
      </c>
      <c r="E3904" t="s">
        <v>75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74</v>
      </c>
    </row>
    <row r="3905" spans="1:20" x14ac:dyDescent="0.3">
      <c r="A3905" t="s">
        <v>58</v>
      </c>
      <c r="B3905">
        <v>65</v>
      </c>
      <c r="C3905" t="s">
        <v>73</v>
      </c>
      <c r="D3905" t="s">
        <v>75</v>
      </c>
      <c r="E3905" t="s">
        <v>74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75</v>
      </c>
    </row>
    <row r="3906" spans="1:20" x14ac:dyDescent="0.3">
      <c r="A3906" t="s">
        <v>36</v>
      </c>
      <c r="B3906">
        <v>57</v>
      </c>
      <c r="C3906" t="s">
        <v>71</v>
      </c>
      <c r="D3906" t="s">
        <v>74</v>
      </c>
      <c r="E3906" t="s">
        <v>75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74</v>
      </c>
    </row>
    <row r="3907" spans="1:20" x14ac:dyDescent="0.3">
      <c r="A3907" t="s">
        <v>57</v>
      </c>
      <c r="B3907">
        <v>127</v>
      </c>
      <c r="C3907" t="s">
        <v>73</v>
      </c>
      <c r="D3907" t="s">
        <v>74</v>
      </c>
      <c r="E3907" t="s">
        <v>74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75</v>
      </c>
    </row>
    <row r="3908" spans="1:20" x14ac:dyDescent="0.3">
      <c r="A3908" t="s">
        <v>35</v>
      </c>
      <c r="B3908">
        <v>121</v>
      </c>
      <c r="C3908" t="s">
        <v>71</v>
      </c>
      <c r="D3908" t="s">
        <v>74</v>
      </c>
      <c r="E3908" t="s">
        <v>74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74</v>
      </c>
    </row>
    <row r="3909" spans="1:20" x14ac:dyDescent="0.3">
      <c r="A3909" t="s">
        <v>53</v>
      </c>
      <c r="B3909">
        <v>117</v>
      </c>
      <c r="C3909" t="s">
        <v>71</v>
      </c>
      <c r="D3909" t="s">
        <v>74</v>
      </c>
      <c r="E3909" t="s">
        <v>74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74</v>
      </c>
    </row>
    <row r="3910" spans="1:20" x14ac:dyDescent="0.3">
      <c r="A3910" t="s">
        <v>58</v>
      </c>
      <c r="B3910">
        <v>37</v>
      </c>
      <c r="C3910" t="s">
        <v>73</v>
      </c>
      <c r="D3910" t="s">
        <v>74</v>
      </c>
      <c r="E3910" t="s">
        <v>74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74</v>
      </c>
    </row>
    <row r="3911" spans="1:20" x14ac:dyDescent="0.3">
      <c r="A3911" t="s">
        <v>50</v>
      </c>
      <c r="B3911">
        <v>162</v>
      </c>
      <c r="C3911" t="s">
        <v>72</v>
      </c>
      <c r="D3911" t="s">
        <v>74</v>
      </c>
      <c r="E3911" t="s">
        <v>74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74</v>
      </c>
    </row>
    <row r="3912" spans="1:20" x14ac:dyDescent="0.3">
      <c r="A3912" t="s">
        <v>48</v>
      </c>
      <c r="B3912">
        <v>193</v>
      </c>
      <c r="C3912" t="s">
        <v>71</v>
      </c>
      <c r="D3912" t="s">
        <v>74</v>
      </c>
      <c r="E3912" t="s">
        <v>74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74</v>
      </c>
    </row>
    <row r="3913" spans="1:20" x14ac:dyDescent="0.3">
      <c r="A3913" t="s">
        <v>42</v>
      </c>
      <c r="B3913">
        <v>80</v>
      </c>
      <c r="C3913" t="s">
        <v>71</v>
      </c>
      <c r="D3913" t="s">
        <v>74</v>
      </c>
      <c r="E3913" t="s">
        <v>74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74</v>
      </c>
    </row>
    <row r="3914" spans="1:20" x14ac:dyDescent="0.3">
      <c r="A3914" t="s">
        <v>65</v>
      </c>
      <c r="B3914">
        <v>176</v>
      </c>
      <c r="C3914" t="s">
        <v>71</v>
      </c>
      <c r="D3914" t="s">
        <v>74</v>
      </c>
      <c r="E3914" t="s">
        <v>74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74</v>
      </c>
    </row>
    <row r="3915" spans="1:20" x14ac:dyDescent="0.3">
      <c r="A3915" t="s">
        <v>48</v>
      </c>
      <c r="B3915">
        <v>89</v>
      </c>
      <c r="C3915" t="s">
        <v>72</v>
      </c>
      <c r="D3915" t="s">
        <v>74</v>
      </c>
      <c r="E3915" t="s">
        <v>75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74</v>
      </c>
    </row>
    <row r="3916" spans="1:20" x14ac:dyDescent="0.3">
      <c r="A3916" t="s">
        <v>55</v>
      </c>
      <c r="B3916">
        <v>128</v>
      </c>
      <c r="C3916" t="s">
        <v>72</v>
      </c>
      <c r="D3916" t="s">
        <v>74</v>
      </c>
      <c r="E3916" t="s">
        <v>74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74</v>
      </c>
    </row>
    <row r="3917" spans="1:20" x14ac:dyDescent="0.3">
      <c r="A3917" t="s">
        <v>52</v>
      </c>
      <c r="B3917">
        <v>138</v>
      </c>
      <c r="C3917" t="s">
        <v>73</v>
      </c>
      <c r="D3917" t="s">
        <v>74</v>
      </c>
      <c r="E3917" t="s">
        <v>74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74</v>
      </c>
    </row>
    <row r="3918" spans="1:20" x14ac:dyDescent="0.3">
      <c r="A3918" t="s">
        <v>67</v>
      </c>
      <c r="B3918">
        <v>90</v>
      </c>
      <c r="C3918" t="s">
        <v>73</v>
      </c>
      <c r="D3918" t="s">
        <v>74</v>
      </c>
      <c r="E3918" t="s">
        <v>74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74</v>
      </c>
    </row>
    <row r="3919" spans="1:20" x14ac:dyDescent="0.3">
      <c r="A3919" t="s">
        <v>38</v>
      </c>
      <c r="B3919">
        <v>57</v>
      </c>
      <c r="C3919" t="s">
        <v>72</v>
      </c>
      <c r="D3919" t="s">
        <v>74</v>
      </c>
      <c r="E3919" t="s">
        <v>75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74</v>
      </c>
    </row>
    <row r="3920" spans="1:20" x14ac:dyDescent="0.3">
      <c r="A3920" t="s">
        <v>52</v>
      </c>
      <c r="B3920">
        <v>177</v>
      </c>
      <c r="C3920" t="s">
        <v>73</v>
      </c>
      <c r="D3920" t="s">
        <v>74</v>
      </c>
      <c r="E3920" t="s">
        <v>75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74</v>
      </c>
    </row>
    <row r="3921" spans="1:20" x14ac:dyDescent="0.3">
      <c r="A3921" t="s">
        <v>40</v>
      </c>
      <c r="B3921">
        <v>98</v>
      </c>
      <c r="C3921" t="s">
        <v>71</v>
      </c>
      <c r="D3921" t="s">
        <v>74</v>
      </c>
      <c r="E3921" t="s">
        <v>75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74</v>
      </c>
    </row>
    <row r="3922" spans="1:20" x14ac:dyDescent="0.3">
      <c r="A3922" t="s">
        <v>51</v>
      </c>
      <c r="B3922">
        <v>140</v>
      </c>
      <c r="C3922" t="s">
        <v>71</v>
      </c>
      <c r="D3922" t="s">
        <v>74</v>
      </c>
      <c r="E3922" t="s">
        <v>74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74</v>
      </c>
    </row>
    <row r="3923" spans="1:20" x14ac:dyDescent="0.3">
      <c r="A3923" t="s">
        <v>70</v>
      </c>
      <c r="B3923">
        <v>133</v>
      </c>
      <c r="C3923" t="s">
        <v>71</v>
      </c>
      <c r="D3923" t="s">
        <v>74</v>
      </c>
      <c r="E3923" t="s">
        <v>74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74</v>
      </c>
    </row>
    <row r="3924" spans="1:20" x14ac:dyDescent="0.3">
      <c r="A3924" t="s">
        <v>66</v>
      </c>
      <c r="B3924">
        <v>166</v>
      </c>
      <c r="C3924" t="s">
        <v>71</v>
      </c>
      <c r="D3924" t="s">
        <v>74</v>
      </c>
      <c r="E3924" t="s">
        <v>75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74</v>
      </c>
    </row>
    <row r="3925" spans="1:20" x14ac:dyDescent="0.3">
      <c r="A3925" t="s">
        <v>70</v>
      </c>
      <c r="B3925">
        <v>86</v>
      </c>
      <c r="C3925" t="s">
        <v>73</v>
      </c>
      <c r="D3925" t="s">
        <v>74</v>
      </c>
      <c r="E3925" t="s">
        <v>74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74</v>
      </c>
    </row>
    <row r="3926" spans="1:20" x14ac:dyDescent="0.3">
      <c r="A3926" t="s">
        <v>30</v>
      </c>
      <c r="B3926">
        <v>117</v>
      </c>
      <c r="C3926" t="s">
        <v>73</v>
      </c>
      <c r="D3926" t="s">
        <v>74</v>
      </c>
      <c r="E3926" t="s">
        <v>74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74</v>
      </c>
    </row>
    <row r="3927" spans="1:20" x14ac:dyDescent="0.3">
      <c r="A3927" t="s">
        <v>50</v>
      </c>
      <c r="B3927">
        <v>86</v>
      </c>
      <c r="C3927" t="s">
        <v>71</v>
      </c>
      <c r="D3927" t="s">
        <v>74</v>
      </c>
      <c r="E3927" t="s">
        <v>74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74</v>
      </c>
    </row>
    <row r="3928" spans="1:20" x14ac:dyDescent="0.3">
      <c r="A3928" t="s">
        <v>21</v>
      </c>
      <c r="B3928">
        <v>74</v>
      </c>
      <c r="C3928" t="s">
        <v>71</v>
      </c>
      <c r="D3928" t="s">
        <v>74</v>
      </c>
      <c r="E3928" t="s">
        <v>74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74</v>
      </c>
    </row>
    <row r="3929" spans="1:20" x14ac:dyDescent="0.3">
      <c r="A3929" t="s">
        <v>32</v>
      </c>
      <c r="B3929">
        <v>178</v>
      </c>
      <c r="C3929" t="s">
        <v>72</v>
      </c>
      <c r="D3929" t="s">
        <v>74</v>
      </c>
      <c r="E3929" t="s">
        <v>74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75</v>
      </c>
    </row>
    <row r="3930" spans="1:20" x14ac:dyDescent="0.3">
      <c r="A3930" t="s">
        <v>39</v>
      </c>
      <c r="B3930">
        <v>95</v>
      </c>
      <c r="C3930" t="s">
        <v>73</v>
      </c>
      <c r="D3930" t="s">
        <v>74</v>
      </c>
      <c r="E3930" t="s">
        <v>75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74</v>
      </c>
    </row>
    <row r="3931" spans="1:20" x14ac:dyDescent="0.3">
      <c r="A3931" t="s">
        <v>60</v>
      </c>
      <c r="B3931">
        <v>85</v>
      </c>
      <c r="C3931" t="s">
        <v>71</v>
      </c>
      <c r="D3931" t="s">
        <v>74</v>
      </c>
      <c r="E3931" t="s">
        <v>74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74</v>
      </c>
    </row>
    <row r="3932" spans="1:20" x14ac:dyDescent="0.3">
      <c r="A3932" t="s">
        <v>70</v>
      </c>
      <c r="B3932">
        <v>81</v>
      </c>
      <c r="C3932" t="s">
        <v>72</v>
      </c>
      <c r="D3932" t="s">
        <v>74</v>
      </c>
      <c r="E3932" t="s">
        <v>74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74</v>
      </c>
    </row>
    <row r="3933" spans="1:20" x14ac:dyDescent="0.3">
      <c r="A3933" t="s">
        <v>62</v>
      </c>
      <c r="B3933">
        <v>41</v>
      </c>
      <c r="C3933" t="s">
        <v>71</v>
      </c>
      <c r="D3933" t="s">
        <v>74</v>
      </c>
      <c r="E3933" t="s">
        <v>74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75</v>
      </c>
    </row>
    <row r="3934" spans="1:20" x14ac:dyDescent="0.3">
      <c r="A3934" t="s">
        <v>23</v>
      </c>
      <c r="B3934">
        <v>217</v>
      </c>
      <c r="C3934" t="s">
        <v>72</v>
      </c>
      <c r="D3934" t="s">
        <v>74</v>
      </c>
      <c r="E3934" t="s">
        <v>74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74</v>
      </c>
    </row>
    <row r="3935" spans="1:20" x14ac:dyDescent="0.3">
      <c r="A3935" t="s">
        <v>49</v>
      </c>
      <c r="B3935">
        <v>79</v>
      </c>
      <c r="C3935" t="s">
        <v>71</v>
      </c>
      <c r="D3935" t="s">
        <v>74</v>
      </c>
      <c r="E3935" t="s">
        <v>74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74</v>
      </c>
    </row>
    <row r="3936" spans="1:20" x14ac:dyDescent="0.3">
      <c r="A3936" t="s">
        <v>54</v>
      </c>
      <c r="B3936">
        <v>15</v>
      </c>
      <c r="C3936" t="s">
        <v>71</v>
      </c>
      <c r="D3936" t="s">
        <v>74</v>
      </c>
      <c r="E3936" t="s">
        <v>74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74</v>
      </c>
    </row>
    <row r="3937" spans="1:20" x14ac:dyDescent="0.3">
      <c r="A3937" t="s">
        <v>40</v>
      </c>
      <c r="B3937">
        <v>96</v>
      </c>
      <c r="C3937" t="s">
        <v>71</v>
      </c>
      <c r="D3937" t="s">
        <v>74</v>
      </c>
      <c r="E3937" t="s">
        <v>74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74</v>
      </c>
    </row>
    <row r="3938" spans="1:20" x14ac:dyDescent="0.3">
      <c r="A3938" t="s">
        <v>47</v>
      </c>
      <c r="B3938">
        <v>140</v>
      </c>
      <c r="C3938" t="s">
        <v>71</v>
      </c>
      <c r="D3938" t="s">
        <v>74</v>
      </c>
      <c r="E3938" t="s">
        <v>74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74</v>
      </c>
    </row>
    <row r="3939" spans="1:20" x14ac:dyDescent="0.3">
      <c r="A3939" t="s">
        <v>60</v>
      </c>
      <c r="B3939">
        <v>67</v>
      </c>
      <c r="C3939" t="s">
        <v>72</v>
      </c>
      <c r="D3939" t="s">
        <v>74</v>
      </c>
      <c r="E3939" t="s">
        <v>74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74</v>
      </c>
    </row>
    <row r="3940" spans="1:20" x14ac:dyDescent="0.3">
      <c r="A3940" t="s">
        <v>70</v>
      </c>
      <c r="B3940">
        <v>105</v>
      </c>
      <c r="C3940" t="s">
        <v>71</v>
      </c>
      <c r="D3940" t="s">
        <v>74</v>
      </c>
      <c r="E3940" t="s">
        <v>74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74</v>
      </c>
    </row>
    <row r="3941" spans="1:20" x14ac:dyDescent="0.3">
      <c r="A3941" t="s">
        <v>37</v>
      </c>
      <c r="B3941">
        <v>38</v>
      </c>
      <c r="C3941" t="s">
        <v>72</v>
      </c>
      <c r="D3941" t="s">
        <v>74</v>
      </c>
      <c r="E3941" t="s">
        <v>74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75</v>
      </c>
    </row>
    <row r="3942" spans="1:20" x14ac:dyDescent="0.3">
      <c r="A3942" t="s">
        <v>54</v>
      </c>
      <c r="B3942">
        <v>110</v>
      </c>
      <c r="C3942" t="s">
        <v>71</v>
      </c>
      <c r="D3942" t="s">
        <v>74</v>
      </c>
      <c r="E3942" t="s">
        <v>74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75</v>
      </c>
    </row>
    <row r="3943" spans="1:20" x14ac:dyDescent="0.3">
      <c r="A3943" t="s">
        <v>25</v>
      </c>
      <c r="B3943">
        <v>74</v>
      </c>
      <c r="C3943" t="s">
        <v>73</v>
      </c>
      <c r="D3943" t="s">
        <v>74</v>
      </c>
      <c r="E3943" t="s">
        <v>74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74</v>
      </c>
    </row>
    <row r="3944" spans="1:20" x14ac:dyDescent="0.3">
      <c r="A3944" t="s">
        <v>55</v>
      </c>
      <c r="B3944">
        <v>79</v>
      </c>
      <c r="C3944" t="s">
        <v>71</v>
      </c>
      <c r="D3944" t="s">
        <v>74</v>
      </c>
      <c r="E3944" t="s">
        <v>75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74</v>
      </c>
    </row>
    <row r="3945" spans="1:20" x14ac:dyDescent="0.3">
      <c r="A3945" t="s">
        <v>69</v>
      </c>
      <c r="B3945">
        <v>114</v>
      </c>
      <c r="C3945" t="s">
        <v>71</v>
      </c>
      <c r="D3945" t="s">
        <v>75</v>
      </c>
      <c r="E3945" t="s">
        <v>74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75</v>
      </c>
    </row>
    <row r="3946" spans="1:20" x14ac:dyDescent="0.3">
      <c r="A3946" t="s">
        <v>65</v>
      </c>
      <c r="B3946">
        <v>44</v>
      </c>
      <c r="C3946" t="s">
        <v>72</v>
      </c>
      <c r="D3946" t="s">
        <v>74</v>
      </c>
      <c r="E3946" t="s">
        <v>74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74</v>
      </c>
    </row>
    <row r="3947" spans="1:20" x14ac:dyDescent="0.3">
      <c r="A3947" t="s">
        <v>53</v>
      </c>
      <c r="B3947">
        <v>107</v>
      </c>
      <c r="C3947" t="s">
        <v>71</v>
      </c>
      <c r="D3947" t="s">
        <v>74</v>
      </c>
      <c r="E3947" t="s">
        <v>74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74</v>
      </c>
    </row>
    <row r="3948" spans="1:20" x14ac:dyDescent="0.3">
      <c r="A3948" t="s">
        <v>31</v>
      </c>
      <c r="B3948">
        <v>104</v>
      </c>
      <c r="C3948" t="s">
        <v>72</v>
      </c>
      <c r="D3948" t="s">
        <v>74</v>
      </c>
      <c r="E3948" t="s">
        <v>75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74</v>
      </c>
    </row>
    <row r="3949" spans="1:20" x14ac:dyDescent="0.3">
      <c r="A3949" t="s">
        <v>43</v>
      </c>
      <c r="B3949">
        <v>98</v>
      </c>
      <c r="C3949" t="s">
        <v>71</v>
      </c>
      <c r="D3949" t="s">
        <v>74</v>
      </c>
      <c r="E3949" t="s">
        <v>74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74</v>
      </c>
    </row>
    <row r="3950" spans="1:20" x14ac:dyDescent="0.3">
      <c r="A3950" t="s">
        <v>55</v>
      </c>
      <c r="B3950">
        <v>60</v>
      </c>
      <c r="C3950" t="s">
        <v>73</v>
      </c>
      <c r="D3950" t="s">
        <v>74</v>
      </c>
      <c r="E3950" t="s">
        <v>74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74</v>
      </c>
    </row>
    <row r="3951" spans="1:20" x14ac:dyDescent="0.3">
      <c r="A3951" t="s">
        <v>62</v>
      </c>
      <c r="B3951">
        <v>138</v>
      </c>
      <c r="C3951" t="s">
        <v>73</v>
      </c>
      <c r="D3951" t="s">
        <v>74</v>
      </c>
      <c r="E3951" t="s">
        <v>75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74</v>
      </c>
    </row>
    <row r="3952" spans="1:20" x14ac:dyDescent="0.3">
      <c r="A3952" t="s">
        <v>52</v>
      </c>
      <c r="B3952">
        <v>89</v>
      </c>
      <c r="C3952" t="s">
        <v>73</v>
      </c>
      <c r="D3952" t="s">
        <v>74</v>
      </c>
      <c r="E3952" t="s">
        <v>74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75</v>
      </c>
    </row>
    <row r="3953" spans="1:20" x14ac:dyDescent="0.3">
      <c r="A3953" t="s">
        <v>46</v>
      </c>
      <c r="B3953">
        <v>22</v>
      </c>
      <c r="C3953" t="s">
        <v>73</v>
      </c>
      <c r="D3953" t="s">
        <v>74</v>
      </c>
      <c r="E3953" t="s">
        <v>75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74</v>
      </c>
    </row>
    <row r="3954" spans="1:20" x14ac:dyDescent="0.3">
      <c r="A3954" t="s">
        <v>52</v>
      </c>
      <c r="B3954">
        <v>69</v>
      </c>
      <c r="C3954" t="s">
        <v>71</v>
      </c>
      <c r="D3954" t="s">
        <v>74</v>
      </c>
      <c r="E3954" t="s">
        <v>74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74</v>
      </c>
    </row>
    <row r="3955" spans="1:20" x14ac:dyDescent="0.3">
      <c r="A3955" t="s">
        <v>48</v>
      </c>
      <c r="B3955">
        <v>106</v>
      </c>
      <c r="C3955" t="s">
        <v>73</v>
      </c>
      <c r="D3955" t="s">
        <v>74</v>
      </c>
      <c r="E3955" t="s">
        <v>74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74</v>
      </c>
    </row>
    <row r="3956" spans="1:20" x14ac:dyDescent="0.3">
      <c r="A3956" t="s">
        <v>69</v>
      </c>
      <c r="B3956">
        <v>104</v>
      </c>
      <c r="C3956" t="s">
        <v>72</v>
      </c>
      <c r="D3956" t="s">
        <v>74</v>
      </c>
      <c r="E3956" t="s">
        <v>74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74</v>
      </c>
    </row>
    <row r="3957" spans="1:20" x14ac:dyDescent="0.3">
      <c r="A3957" t="s">
        <v>44</v>
      </c>
      <c r="B3957">
        <v>174</v>
      </c>
      <c r="C3957" t="s">
        <v>73</v>
      </c>
      <c r="D3957" t="s">
        <v>74</v>
      </c>
      <c r="E3957" t="s">
        <v>74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74</v>
      </c>
    </row>
    <row r="3958" spans="1:20" x14ac:dyDescent="0.3">
      <c r="A3958" t="s">
        <v>43</v>
      </c>
      <c r="B3958">
        <v>127</v>
      </c>
      <c r="C3958" t="s">
        <v>72</v>
      </c>
      <c r="D3958" t="s">
        <v>74</v>
      </c>
      <c r="E3958" t="s">
        <v>75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74</v>
      </c>
    </row>
    <row r="3959" spans="1:20" x14ac:dyDescent="0.3">
      <c r="A3959" t="s">
        <v>30</v>
      </c>
      <c r="B3959">
        <v>2</v>
      </c>
      <c r="C3959" t="s">
        <v>71</v>
      </c>
      <c r="D3959" t="s">
        <v>74</v>
      </c>
      <c r="E3959" t="s">
        <v>75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74</v>
      </c>
    </row>
    <row r="3960" spans="1:20" x14ac:dyDescent="0.3">
      <c r="A3960" t="s">
        <v>51</v>
      </c>
      <c r="B3960">
        <v>91</v>
      </c>
      <c r="C3960" t="s">
        <v>71</v>
      </c>
      <c r="D3960" t="s">
        <v>74</v>
      </c>
      <c r="E3960" t="s">
        <v>74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75</v>
      </c>
    </row>
    <row r="3961" spans="1:20" x14ac:dyDescent="0.3">
      <c r="A3961" t="s">
        <v>54</v>
      </c>
      <c r="B3961">
        <v>34</v>
      </c>
      <c r="C3961" t="s">
        <v>72</v>
      </c>
      <c r="D3961" t="s">
        <v>74</v>
      </c>
      <c r="E3961" t="s">
        <v>75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74</v>
      </c>
    </row>
    <row r="3962" spans="1:20" x14ac:dyDescent="0.3">
      <c r="A3962" t="s">
        <v>38</v>
      </c>
      <c r="B3962">
        <v>111</v>
      </c>
      <c r="C3962" t="s">
        <v>72</v>
      </c>
      <c r="D3962" t="s">
        <v>74</v>
      </c>
      <c r="E3962" t="s">
        <v>74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74</v>
      </c>
    </row>
    <row r="3963" spans="1:20" x14ac:dyDescent="0.3">
      <c r="A3963" t="s">
        <v>34</v>
      </c>
      <c r="B3963">
        <v>110</v>
      </c>
      <c r="C3963" t="s">
        <v>71</v>
      </c>
      <c r="D3963" t="s">
        <v>74</v>
      </c>
      <c r="E3963" t="s">
        <v>75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74</v>
      </c>
    </row>
    <row r="3964" spans="1:20" x14ac:dyDescent="0.3">
      <c r="A3964" t="s">
        <v>25</v>
      </c>
      <c r="B3964">
        <v>65</v>
      </c>
      <c r="C3964" t="s">
        <v>71</v>
      </c>
      <c r="D3964" t="s">
        <v>74</v>
      </c>
      <c r="E3964" t="s">
        <v>74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74</v>
      </c>
    </row>
    <row r="3965" spans="1:20" x14ac:dyDescent="0.3">
      <c r="A3965" t="s">
        <v>26</v>
      </c>
      <c r="B3965">
        <v>51</v>
      </c>
      <c r="C3965" t="s">
        <v>72</v>
      </c>
      <c r="D3965" t="s">
        <v>74</v>
      </c>
      <c r="E3965" t="s">
        <v>75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74</v>
      </c>
    </row>
    <row r="3966" spans="1:20" x14ac:dyDescent="0.3">
      <c r="A3966" t="s">
        <v>41</v>
      </c>
      <c r="B3966">
        <v>64</v>
      </c>
      <c r="C3966" t="s">
        <v>72</v>
      </c>
      <c r="D3966" t="s">
        <v>74</v>
      </c>
      <c r="E3966" t="s">
        <v>74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74</v>
      </c>
    </row>
    <row r="3967" spans="1:20" x14ac:dyDescent="0.3">
      <c r="A3967" t="s">
        <v>49</v>
      </c>
      <c r="B3967">
        <v>117</v>
      </c>
      <c r="C3967" t="s">
        <v>71</v>
      </c>
      <c r="D3967" t="s">
        <v>74</v>
      </c>
      <c r="E3967" t="s">
        <v>74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74</v>
      </c>
    </row>
    <row r="3968" spans="1:20" x14ac:dyDescent="0.3">
      <c r="A3968" t="s">
        <v>70</v>
      </c>
      <c r="B3968">
        <v>38</v>
      </c>
      <c r="C3968" t="s">
        <v>71</v>
      </c>
      <c r="D3968" t="s">
        <v>74</v>
      </c>
      <c r="E3968" t="s">
        <v>74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74</v>
      </c>
    </row>
    <row r="3969" spans="1:20" x14ac:dyDescent="0.3">
      <c r="A3969" t="s">
        <v>63</v>
      </c>
      <c r="B3969">
        <v>112</v>
      </c>
      <c r="C3969" t="s">
        <v>71</v>
      </c>
      <c r="D3969" t="s">
        <v>75</v>
      </c>
      <c r="E3969" t="s">
        <v>74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74</v>
      </c>
    </row>
    <row r="3970" spans="1:20" x14ac:dyDescent="0.3">
      <c r="A3970" t="s">
        <v>25</v>
      </c>
      <c r="B3970">
        <v>48</v>
      </c>
      <c r="C3970" t="s">
        <v>71</v>
      </c>
      <c r="D3970" t="s">
        <v>74</v>
      </c>
      <c r="E3970" t="s">
        <v>75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74</v>
      </c>
    </row>
    <row r="3971" spans="1:20" x14ac:dyDescent="0.3">
      <c r="A3971" t="s">
        <v>30</v>
      </c>
      <c r="B3971">
        <v>105</v>
      </c>
      <c r="C3971" t="s">
        <v>73</v>
      </c>
      <c r="D3971" t="s">
        <v>74</v>
      </c>
      <c r="E3971" t="s">
        <v>74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74</v>
      </c>
    </row>
    <row r="3972" spans="1:20" x14ac:dyDescent="0.3">
      <c r="A3972" t="s">
        <v>56</v>
      </c>
      <c r="B3972">
        <v>140</v>
      </c>
      <c r="C3972" t="s">
        <v>71</v>
      </c>
      <c r="D3972" t="s">
        <v>74</v>
      </c>
      <c r="E3972" t="s">
        <v>74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74</v>
      </c>
    </row>
    <row r="3973" spans="1:20" x14ac:dyDescent="0.3">
      <c r="A3973" t="s">
        <v>56</v>
      </c>
      <c r="B3973">
        <v>185</v>
      </c>
      <c r="C3973" t="s">
        <v>73</v>
      </c>
      <c r="D3973" t="s">
        <v>74</v>
      </c>
      <c r="E3973" t="s">
        <v>75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74</v>
      </c>
    </row>
    <row r="3974" spans="1:20" x14ac:dyDescent="0.3">
      <c r="A3974" t="s">
        <v>27</v>
      </c>
      <c r="B3974">
        <v>99</v>
      </c>
      <c r="C3974" t="s">
        <v>72</v>
      </c>
      <c r="D3974" t="s">
        <v>74</v>
      </c>
      <c r="E3974" t="s">
        <v>74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74</v>
      </c>
    </row>
    <row r="3975" spans="1:20" x14ac:dyDescent="0.3">
      <c r="A3975" t="s">
        <v>51</v>
      </c>
      <c r="B3975">
        <v>52</v>
      </c>
      <c r="C3975" t="s">
        <v>71</v>
      </c>
      <c r="D3975" t="s">
        <v>74</v>
      </c>
      <c r="E3975" t="s">
        <v>74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74</v>
      </c>
    </row>
    <row r="3976" spans="1:20" x14ac:dyDescent="0.3">
      <c r="A3976" t="s">
        <v>22</v>
      </c>
      <c r="B3976">
        <v>200</v>
      </c>
      <c r="C3976" t="s">
        <v>71</v>
      </c>
      <c r="D3976" t="s">
        <v>75</v>
      </c>
      <c r="E3976" t="s">
        <v>75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75</v>
      </c>
    </row>
    <row r="3977" spans="1:20" x14ac:dyDescent="0.3">
      <c r="A3977" t="s">
        <v>44</v>
      </c>
      <c r="B3977">
        <v>82</v>
      </c>
      <c r="C3977" t="s">
        <v>73</v>
      </c>
      <c r="D3977" t="s">
        <v>74</v>
      </c>
      <c r="E3977" t="s">
        <v>74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74</v>
      </c>
    </row>
    <row r="3978" spans="1:20" x14ac:dyDescent="0.3">
      <c r="A3978" t="s">
        <v>41</v>
      </c>
      <c r="B3978">
        <v>143</v>
      </c>
      <c r="C3978" t="s">
        <v>71</v>
      </c>
      <c r="D3978" t="s">
        <v>74</v>
      </c>
      <c r="E3978" t="s">
        <v>74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75</v>
      </c>
    </row>
    <row r="3979" spans="1:20" x14ac:dyDescent="0.3">
      <c r="A3979" t="s">
        <v>46</v>
      </c>
      <c r="B3979">
        <v>97</v>
      </c>
      <c r="C3979" t="s">
        <v>71</v>
      </c>
      <c r="D3979" t="s">
        <v>74</v>
      </c>
      <c r="E3979" t="s">
        <v>74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74</v>
      </c>
    </row>
    <row r="3980" spans="1:20" x14ac:dyDescent="0.3">
      <c r="A3980" t="s">
        <v>37</v>
      </c>
      <c r="B3980">
        <v>83</v>
      </c>
      <c r="C3980" t="s">
        <v>71</v>
      </c>
      <c r="D3980" t="s">
        <v>74</v>
      </c>
      <c r="E3980" t="s">
        <v>74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74</v>
      </c>
    </row>
    <row r="3981" spans="1:20" x14ac:dyDescent="0.3">
      <c r="A3981" t="s">
        <v>58</v>
      </c>
      <c r="B3981">
        <v>92</v>
      </c>
      <c r="C3981" t="s">
        <v>71</v>
      </c>
      <c r="D3981" t="s">
        <v>74</v>
      </c>
      <c r="E3981" t="s">
        <v>74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74</v>
      </c>
    </row>
    <row r="3982" spans="1:20" x14ac:dyDescent="0.3">
      <c r="A3982" t="s">
        <v>32</v>
      </c>
      <c r="B3982">
        <v>130</v>
      </c>
      <c r="C3982" t="s">
        <v>71</v>
      </c>
      <c r="D3982" t="s">
        <v>74</v>
      </c>
      <c r="E3982" t="s">
        <v>74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74</v>
      </c>
    </row>
    <row r="3983" spans="1:20" x14ac:dyDescent="0.3">
      <c r="A3983" t="s">
        <v>36</v>
      </c>
      <c r="B3983">
        <v>97</v>
      </c>
      <c r="C3983" t="s">
        <v>72</v>
      </c>
      <c r="D3983" t="s">
        <v>75</v>
      </c>
      <c r="E3983" t="s">
        <v>74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75</v>
      </c>
    </row>
    <row r="3984" spans="1:20" x14ac:dyDescent="0.3">
      <c r="A3984" t="s">
        <v>59</v>
      </c>
      <c r="B3984">
        <v>53</v>
      </c>
      <c r="C3984" t="s">
        <v>72</v>
      </c>
      <c r="D3984" t="s">
        <v>74</v>
      </c>
      <c r="E3984" t="s">
        <v>75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74</v>
      </c>
    </row>
    <row r="3985" spans="1:20" x14ac:dyDescent="0.3">
      <c r="A3985" t="s">
        <v>37</v>
      </c>
      <c r="B3985">
        <v>87</v>
      </c>
      <c r="C3985" t="s">
        <v>71</v>
      </c>
      <c r="D3985" t="s">
        <v>75</v>
      </c>
      <c r="E3985" t="s">
        <v>74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74</v>
      </c>
    </row>
    <row r="3986" spans="1:20" x14ac:dyDescent="0.3">
      <c r="A3986" t="s">
        <v>32</v>
      </c>
      <c r="B3986">
        <v>138</v>
      </c>
      <c r="C3986" t="s">
        <v>72</v>
      </c>
      <c r="D3986" t="s">
        <v>74</v>
      </c>
      <c r="E3986" t="s">
        <v>74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74</v>
      </c>
    </row>
    <row r="3987" spans="1:20" x14ac:dyDescent="0.3">
      <c r="A3987" t="s">
        <v>24</v>
      </c>
      <c r="B3987">
        <v>136</v>
      </c>
      <c r="C3987" t="s">
        <v>71</v>
      </c>
      <c r="D3987" t="s">
        <v>74</v>
      </c>
      <c r="E3987" t="s">
        <v>74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74</v>
      </c>
    </row>
    <row r="3988" spans="1:20" x14ac:dyDescent="0.3">
      <c r="A3988" t="s">
        <v>36</v>
      </c>
      <c r="B3988">
        <v>98</v>
      </c>
      <c r="C3988" t="s">
        <v>71</v>
      </c>
      <c r="D3988" t="s">
        <v>74</v>
      </c>
      <c r="E3988" t="s">
        <v>74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75</v>
      </c>
    </row>
    <row r="3989" spans="1:20" x14ac:dyDescent="0.3">
      <c r="A3989" t="s">
        <v>26</v>
      </c>
      <c r="B3989">
        <v>109</v>
      </c>
      <c r="C3989" t="s">
        <v>73</v>
      </c>
      <c r="D3989" t="s">
        <v>74</v>
      </c>
      <c r="E3989" t="s">
        <v>74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74</v>
      </c>
    </row>
    <row r="3990" spans="1:20" x14ac:dyDescent="0.3">
      <c r="A3990" t="s">
        <v>22</v>
      </c>
      <c r="B3990">
        <v>84</v>
      </c>
      <c r="C3990" t="s">
        <v>71</v>
      </c>
      <c r="D3990" t="s">
        <v>74</v>
      </c>
      <c r="E3990" t="s">
        <v>74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74</v>
      </c>
    </row>
    <row r="3991" spans="1:20" x14ac:dyDescent="0.3">
      <c r="A3991" t="s">
        <v>59</v>
      </c>
      <c r="B3991">
        <v>157</v>
      </c>
      <c r="C3991" t="s">
        <v>73</v>
      </c>
      <c r="D3991" t="s">
        <v>74</v>
      </c>
      <c r="E3991" t="s">
        <v>75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74</v>
      </c>
    </row>
    <row r="3992" spans="1:20" x14ac:dyDescent="0.3">
      <c r="A3992" t="s">
        <v>23</v>
      </c>
      <c r="B3992">
        <v>74</v>
      </c>
      <c r="C3992" t="s">
        <v>71</v>
      </c>
      <c r="D3992" t="s">
        <v>74</v>
      </c>
      <c r="E3992" t="s">
        <v>75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74</v>
      </c>
    </row>
    <row r="3993" spans="1:20" x14ac:dyDescent="0.3">
      <c r="A3993" t="s">
        <v>36</v>
      </c>
      <c r="B3993">
        <v>66</v>
      </c>
      <c r="C3993" t="s">
        <v>73</v>
      </c>
      <c r="D3993" t="s">
        <v>74</v>
      </c>
      <c r="E3993" t="s">
        <v>74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74</v>
      </c>
    </row>
    <row r="3994" spans="1:20" x14ac:dyDescent="0.3">
      <c r="A3994" t="s">
        <v>56</v>
      </c>
      <c r="B3994">
        <v>142</v>
      </c>
      <c r="C3994" t="s">
        <v>73</v>
      </c>
      <c r="D3994" t="s">
        <v>74</v>
      </c>
      <c r="E3994" t="s">
        <v>75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74</v>
      </c>
    </row>
    <row r="3995" spans="1:20" x14ac:dyDescent="0.3">
      <c r="A3995" t="s">
        <v>41</v>
      </c>
      <c r="B3995">
        <v>136</v>
      </c>
      <c r="C3995" t="s">
        <v>71</v>
      </c>
      <c r="D3995" t="s">
        <v>74</v>
      </c>
      <c r="E3995" t="s">
        <v>75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74</v>
      </c>
    </row>
    <row r="3996" spans="1:20" x14ac:dyDescent="0.3">
      <c r="A3996" t="s">
        <v>51</v>
      </c>
      <c r="B3996">
        <v>75</v>
      </c>
      <c r="C3996" t="s">
        <v>72</v>
      </c>
      <c r="D3996" t="s">
        <v>74</v>
      </c>
      <c r="E3996" t="s">
        <v>75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74</v>
      </c>
    </row>
    <row r="3997" spans="1:20" x14ac:dyDescent="0.3">
      <c r="A3997" t="s">
        <v>32</v>
      </c>
      <c r="B3997">
        <v>59</v>
      </c>
      <c r="C3997" t="s">
        <v>71</v>
      </c>
      <c r="D3997" t="s">
        <v>74</v>
      </c>
      <c r="E3997" t="s">
        <v>74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74</v>
      </c>
    </row>
    <row r="3998" spans="1:20" x14ac:dyDescent="0.3">
      <c r="A3998" t="s">
        <v>58</v>
      </c>
      <c r="B3998">
        <v>45</v>
      </c>
      <c r="C3998" t="s">
        <v>71</v>
      </c>
      <c r="D3998" t="s">
        <v>74</v>
      </c>
      <c r="E3998" t="s">
        <v>75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74</v>
      </c>
    </row>
    <row r="3999" spans="1:20" x14ac:dyDescent="0.3">
      <c r="A3999" t="s">
        <v>65</v>
      </c>
      <c r="B3999">
        <v>48</v>
      </c>
      <c r="C3999" t="s">
        <v>73</v>
      </c>
      <c r="D3999" t="s">
        <v>74</v>
      </c>
      <c r="E3999" t="s">
        <v>74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74</v>
      </c>
    </row>
    <row r="4000" spans="1:20" x14ac:dyDescent="0.3">
      <c r="A4000" t="s">
        <v>37</v>
      </c>
      <c r="B4000">
        <v>16</v>
      </c>
      <c r="C4000" t="s">
        <v>72</v>
      </c>
      <c r="D4000" t="s">
        <v>74</v>
      </c>
      <c r="E4000" t="s">
        <v>74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74</v>
      </c>
    </row>
    <row r="4001" spans="1:20" x14ac:dyDescent="0.3">
      <c r="A4001" t="s">
        <v>42</v>
      </c>
      <c r="B4001">
        <v>140</v>
      </c>
      <c r="C4001" t="s">
        <v>71</v>
      </c>
      <c r="D4001" t="s">
        <v>74</v>
      </c>
      <c r="E4001" t="s">
        <v>74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74</v>
      </c>
    </row>
    <row r="4002" spans="1:20" x14ac:dyDescent="0.3">
      <c r="A4002" t="s">
        <v>59</v>
      </c>
      <c r="B4002">
        <v>108</v>
      </c>
      <c r="C4002" t="s">
        <v>72</v>
      </c>
      <c r="D4002" t="s">
        <v>74</v>
      </c>
      <c r="E4002" t="s">
        <v>75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74</v>
      </c>
    </row>
    <row r="4003" spans="1:20" x14ac:dyDescent="0.3">
      <c r="A4003" t="s">
        <v>25</v>
      </c>
      <c r="B4003">
        <v>53</v>
      </c>
      <c r="C4003" t="s">
        <v>71</v>
      </c>
      <c r="D4003" t="s">
        <v>74</v>
      </c>
      <c r="E4003" t="s">
        <v>74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74</v>
      </c>
    </row>
    <row r="4004" spans="1:20" x14ac:dyDescent="0.3">
      <c r="A4004" t="s">
        <v>58</v>
      </c>
      <c r="B4004">
        <v>91</v>
      </c>
      <c r="C4004" t="s">
        <v>73</v>
      </c>
      <c r="D4004" t="s">
        <v>74</v>
      </c>
      <c r="E4004" t="s">
        <v>74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74</v>
      </c>
    </row>
    <row r="4005" spans="1:20" x14ac:dyDescent="0.3">
      <c r="A4005" t="s">
        <v>34</v>
      </c>
      <c r="B4005">
        <v>26</v>
      </c>
      <c r="C4005" t="s">
        <v>71</v>
      </c>
      <c r="D4005" t="s">
        <v>75</v>
      </c>
      <c r="E4005" t="s">
        <v>74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74</v>
      </c>
    </row>
    <row r="4006" spans="1:20" x14ac:dyDescent="0.3">
      <c r="A4006" t="s">
        <v>70</v>
      </c>
      <c r="B4006">
        <v>129</v>
      </c>
      <c r="C4006" t="s">
        <v>71</v>
      </c>
      <c r="D4006" t="s">
        <v>74</v>
      </c>
      <c r="E4006" t="s">
        <v>74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74</v>
      </c>
    </row>
    <row r="4007" spans="1:20" x14ac:dyDescent="0.3">
      <c r="A4007" t="s">
        <v>42</v>
      </c>
      <c r="B4007">
        <v>118</v>
      </c>
      <c r="C4007" t="s">
        <v>73</v>
      </c>
      <c r="D4007" t="s">
        <v>75</v>
      </c>
      <c r="E4007" t="s">
        <v>75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74</v>
      </c>
    </row>
    <row r="4008" spans="1:20" x14ac:dyDescent="0.3">
      <c r="A4008" t="s">
        <v>25</v>
      </c>
      <c r="B4008">
        <v>51</v>
      </c>
      <c r="C4008" t="s">
        <v>72</v>
      </c>
      <c r="D4008" t="s">
        <v>74</v>
      </c>
      <c r="E4008" t="s">
        <v>75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74</v>
      </c>
    </row>
    <row r="4009" spans="1:20" x14ac:dyDescent="0.3">
      <c r="A4009" t="s">
        <v>48</v>
      </c>
      <c r="B4009">
        <v>57</v>
      </c>
      <c r="C4009" t="s">
        <v>71</v>
      </c>
      <c r="D4009" t="s">
        <v>74</v>
      </c>
      <c r="E4009" t="s">
        <v>75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74</v>
      </c>
    </row>
    <row r="4010" spans="1:20" x14ac:dyDescent="0.3">
      <c r="A4010" t="s">
        <v>50</v>
      </c>
      <c r="B4010">
        <v>103</v>
      </c>
      <c r="C4010" t="s">
        <v>71</v>
      </c>
      <c r="D4010" t="s">
        <v>74</v>
      </c>
      <c r="E4010" t="s">
        <v>74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74</v>
      </c>
    </row>
    <row r="4011" spans="1:20" x14ac:dyDescent="0.3">
      <c r="A4011" t="s">
        <v>42</v>
      </c>
      <c r="B4011">
        <v>57</v>
      </c>
      <c r="C4011" t="s">
        <v>71</v>
      </c>
      <c r="D4011" t="s">
        <v>74</v>
      </c>
      <c r="E4011" t="s">
        <v>74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74</v>
      </c>
    </row>
    <row r="4012" spans="1:20" x14ac:dyDescent="0.3">
      <c r="A4012" t="s">
        <v>33</v>
      </c>
      <c r="B4012">
        <v>84</v>
      </c>
      <c r="C4012" t="s">
        <v>71</v>
      </c>
      <c r="D4012" t="s">
        <v>74</v>
      </c>
      <c r="E4012" t="s">
        <v>74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74</v>
      </c>
    </row>
    <row r="4013" spans="1:20" x14ac:dyDescent="0.3">
      <c r="A4013" t="s">
        <v>21</v>
      </c>
      <c r="B4013">
        <v>166</v>
      </c>
      <c r="C4013" t="s">
        <v>71</v>
      </c>
      <c r="D4013" t="s">
        <v>75</v>
      </c>
      <c r="E4013" t="s">
        <v>74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75</v>
      </c>
    </row>
    <row r="4014" spans="1:20" x14ac:dyDescent="0.3">
      <c r="A4014" t="s">
        <v>34</v>
      </c>
      <c r="B4014">
        <v>130</v>
      </c>
      <c r="C4014" t="s">
        <v>71</v>
      </c>
      <c r="D4014" t="s">
        <v>74</v>
      </c>
      <c r="E4014" t="s">
        <v>74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74</v>
      </c>
    </row>
    <row r="4015" spans="1:20" x14ac:dyDescent="0.3">
      <c r="A4015" t="s">
        <v>48</v>
      </c>
      <c r="B4015">
        <v>116</v>
      </c>
      <c r="C4015" t="s">
        <v>71</v>
      </c>
      <c r="D4015" t="s">
        <v>75</v>
      </c>
      <c r="E4015" t="s">
        <v>74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74</v>
      </c>
    </row>
    <row r="4016" spans="1:20" x14ac:dyDescent="0.3">
      <c r="A4016" t="s">
        <v>54</v>
      </c>
      <c r="B4016">
        <v>161</v>
      </c>
      <c r="C4016" t="s">
        <v>72</v>
      </c>
      <c r="D4016" t="s">
        <v>74</v>
      </c>
      <c r="E4016" t="s">
        <v>74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74</v>
      </c>
    </row>
    <row r="4017" spans="1:20" x14ac:dyDescent="0.3">
      <c r="A4017" t="s">
        <v>62</v>
      </c>
      <c r="B4017">
        <v>130</v>
      </c>
      <c r="C4017" t="s">
        <v>71</v>
      </c>
      <c r="D4017" t="s">
        <v>74</v>
      </c>
      <c r="E4017" t="s">
        <v>74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74</v>
      </c>
    </row>
    <row r="4018" spans="1:20" x14ac:dyDescent="0.3">
      <c r="A4018" t="s">
        <v>62</v>
      </c>
      <c r="B4018">
        <v>42</v>
      </c>
      <c r="C4018" t="s">
        <v>72</v>
      </c>
      <c r="D4018" t="s">
        <v>74</v>
      </c>
      <c r="E4018" t="s">
        <v>74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74</v>
      </c>
    </row>
    <row r="4019" spans="1:20" x14ac:dyDescent="0.3">
      <c r="A4019" t="s">
        <v>33</v>
      </c>
      <c r="B4019">
        <v>97</v>
      </c>
      <c r="C4019" t="s">
        <v>71</v>
      </c>
      <c r="D4019" t="s">
        <v>74</v>
      </c>
      <c r="E4019" t="s">
        <v>75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74</v>
      </c>
    </row>
    <row r="4020" spans="1:20" x14ac:dyDescent="0.3">
      <c r="A4020" t="s">
        <v>48</v>
      </c>
      <c r="B4020">
        <v>127</v>
      </c>
      <c r="C4020" t="s">
        <v>71</v>
      </c>
      <c r="D4020" t="s">
        <v>74</v>
      </c>
      <c r="E4020" t="s">
        <v>75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74</v>
      </c>
    </row>
    <row r="4021" spans="1:20" x14ac:dyDescent="0.3">
      <c r="A4021" t="s">
        <v>42</v>
      </c>
      <c r="B4021">
        <v>34</v>
      </c>
      <c r="C4021" t="s">
        <v>71</v>
      </c>
      <c r="D4021" t="s">
        <v>74</v>
      </c>
      <c r="E4021" t="s">
        <v>75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74</v>
      </c>
    </row>
    <row r="4022" spans="1:20" x14ac:dyDescent="0.3">
      <c r="A4022" t="s">
        <v>40</v>
      </c>
      <c r="B4022">
        <v>116</v>
      </c>
      <c r="C4022" t="s">
        <v>71</v>
      </c>
      <c r="D4022" t="s">
        <v>74</v>
      </c>
      <c r="E4022" t="s">
        <v>74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74</v>
      </c>
    </row>
    <row r="4023" spans="1:20" x14ac:dyDescent="0.3">
      <c r="A4023" t="s">
        <v>56</v>
      </c>
      <c r="B4023">
        <v>158</v>
      </c>
      <c r="C4023" t="s">
        <v>71</v>
      </c>
      <c r="D4023" t="s">
        <v>74</v>
      </c>
      <c r="E4023" t="s">
        <v>74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74</v>
      </c>
    </row>
    <row r="4024" spans="1:20" x14ac:dyDescent="0.3">
      <c r="A4024" t="s">
        <v>47</v>
      </c>
      <c r="B4024">
        <v>86</v>
      </c>
      <c r="C4024" t="s">
        <v>71</v>
      </c>
      <c r="D4024" t="s">
        <v>74</v>
      </c>
      <c r="E4024" t="s">
        <v>75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74</v>
      </c>
    </row>
    <row r="4025" spans="1:20" x14ac:dyDescent="0.3">
      <c r="A4025" t="s">
        <v>57</v>
      </c>
      <c r="B4025">
        <v>21</v>
      </c>
      <c r="C4025" t="s">
        <v>71</v>
      </c>
      <c r="D4025" t="s">
        <v>74</v>
      </c>
      <c r="E4025" t="s">
        <v>74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75</v>
      </c>
    </row>
    <row r="4026" spans="1:20" x14ac:dyDescent="0.3">
      <c r="A4026" t="s">
        <v>32</v>
      </c>
      <c r="B4026">
        <v>78</v>
      </c>
      <c r="C4026" t="s">
        <v>71</v>
      </c>
      <c r="D4026" t="s">
        <v>74</v>
      </c>
      <c r="E4026" t="s">
        <v>74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74</v>
      </c>
    </row>
    <row r="4027" spans="1:20" x14ac:dyDescent="0.3">
      <c r="A4027" t="s">
        <v>49</v>
      </c>
      <c r="B4027">
        <v>137</v>
      </c>
      <c r="C4027" t="s">
        <v>72</v>
      </c>
      <c r="D4027" t="s">
        <v>74</v>
      </c>
      <c r="E4027" t="s">
        <v>74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75</v>
      </c>
    </row>
    <row r="4028" spans="1:20" x14ac:dyDescent="0.3">
      <c r="A4028" t="s">
        <v>51</v>
      </c>
      <c r="B4028">
        <v>84</v>
      </c>
      <c r="C4028" t="s">
        <v>73</v>
      </c>
      <c r="D4028" t="s">
        <v>74</v>
      </c>
      <c r="E4028" t="s">
        <v>74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74</v>
      </c>
    </row>
    <row r="4029" spans="1:20" x14ac:dyDescent="0.3">
      <c r="A4029" t="s">
        <v>20</v>
      </c>
      <c r="B4029">
        <v>132</v>
      </c>
      <c r="C4029" t="s">
        <v>71</v>
      </c>
      <c r="D4029" t="s">
        <v>74</v>
      </c>
      <c r="E4029" t="s">
        <v>74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74</v>
      </c>
    </row>
    <row r="4030" spans="1:20" x14ac:dyDescent="0.3">
      <c r="A4030" t="s">
        <v>67</v>
      </c>
      <c r="B4030">
        <v>83</v>
      </c>
      <c r="C4030" t="s">
        <v>71</v>
      </c>
      <c r="D4030" t="s">
        <v>74</v>
      </c>
      <c r="E4030" t="s">
        <v>74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74</v>
      </c>
    </row>
    <row r="4031" spans="1:20" x14ac:dyDescent="0.3">
      <c r="A4031" t="s">
        <v>57</v>
      </c>
      <c r="B4031">
        <v>49</v>
      </c>
      <c r="C4031" t="s">
        <v>71</v>
      </c>
      <c r="D4031" t="s">
        <v>75</v>
      </c>
      <c r="E4031" t="s">
        <v>74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74</v>
      </c>
    </row>
    <row r="4032" spans="1:20" x14ac:dyDescent="0.3">
      <c r="A4032" t="s">
        <v>29</v>
      </c>
      <c r="B4032">
        <v>43</v>
      </c>
      <c r="C4032" t="s">
        <v>71</v>
      </c>
      <c r="D4032" t="s">
        <v>74</v>
      </c>
      <c r="E4032" t="s">
        <v>74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75</v>
      </c>
    </row>
    <row r="4033" spans="1:20" x14ac:dyDescent="0.3">
      <c r="A4033" t="s">
        <v>23</v>
      </c>
      <c r="B4033">
        <v>78</v>
      </c>
      <c r="C4033" t="s">
        <v>73</v>
      </c>
      <c r="D4033" t="s">
        <v>74</v>
      </c>
      <c r="E4033" t="s">
        <v>75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74</v>
      </c>
    </row>
    <row r="4034" spans="1:20" x14ac:dyDescent="0.3">
      <c r="A4034" t="s">
        <v>60</v>
      </c>
      <c r="B4034">
        <v>65</v>
      </c>
      <c r="C4034" t="s">
        <v>73</v>
      </c>
      <c r="D4034" t="s">
        <v>74</v>
      </c>
      <c r="E4034" t="s">
        <v>74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74</v>
      </c>
    </row>
    <row r="4035" spans="1:20" x14ac:dyDescent="0.3">
      <c r="A4035" t="s">
        <v>49</v>
      </c>
      <c r="B4035">
        <v>79</v>
      </c>
      <c r="C4035" t="s">
        <v>71</v>
      </c>
      <c r="D4035" t="s">
        <v>74</v>
      </c>
      <c r="E4035" t="s">
        <v>74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74</v>
      </c>
    </row>
    <row r="4036" spans="1:20" x14ac:dyDescent="0.3">
      <c r="A4036" t="s">
        <v>49</v>
      </c>
      <c r="B4036">
        <v>76</v>
      </c>
      <c r="C4036" t="s">
        <v>71</v>
      </c>
      <c r="D4036" t="s">
        <v>74</v>
      </c>
      <c r="E4036" t="s">
        <v>74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74</v>
      </c>
    </row>
    <row r="4037" spans="1:20" x14ac:dyDescent="0.3">
      <c r="A4037" t="s">
        <v>24</v>
      </c>
      <c r="B4037">
        <v>124</v>
      </c>
      <c r="C4037" t="s">
        <v>71</v>
      </c>
      <c r="D4037" t="s">
        <v>74</v>
      </c>
      <c r="E4037" t="s">
        <v>74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74</v>
      </c>
    </row>
    <row r="4038" spans="1:20" x14ac:dyDescent="0.3">
      <c r="A4038" t="s">
        <v>21</v>
      </c>
      <c r="B4038">
        <v>98</v>
      </c>
      <c r="C4038" t="s">
        <v>73</v>
      </c>
      <c r="D4038" t="s">
        <v>74</v>
      </c>
      <c r="E4038" t="s">
        <v>74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74</v>
      </c>
    </row>
    <row r="4039" spans="1:20" x14ac:dyDescent="0.3">
      <c r="A4039" t="s">
        <v>65</v>
      </c>
      <c r="B4039">
        <v>142</v>
      </c>
      <c r="C4039" t="s">
        <v>71</v>
      </c>
      <c r="D4039" t="s">
        <v>74</v>
      </c>
      <c r="E4039" t="s">
        <v>74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74</v>
      </c>
    </row>
    <row r="4040" spans="1:20" x14ac:dyDescent="0.3">
      <c r="A4040" t="s">
        <v>52</v>
      </c>
      <c r="B4040">
        <v>146</v>
      </c>
      <c r="C4040" t="s">
        <v>71</v>
      </c>
      <c r="D4040" t="s">
        <v>74</v>
      </c>
      <c r="E4040" t="s">
        <v>74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74</v>
      </c>
    </row>
    <row r="4041" spans="1:20" x14ac:dyDescent="0.3">
      <c r="A4041" t="s">
        <v>51</v>
      </c>
      <c r="B4041">
        <v>84</v>
      </c>
      <c r="C4041" t="s">
        <v>72</v>
      </c>
      <c r="D4041" t="s">
        <v>74</v>
      </c>
      <c r="E4041" t="s">
        <v>74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74</v>
      </c>
    </row>
    <row r="4042" spans="1:20" x14ac:dyDescent="0.3">
      <c r="A4042" t="s">
        <v>24</v>
      </c>
      <c r="B4042">
        <v>200</v>
      </c>
      <c r="C4042" t="s">
        <v>73</v>
      </c>
      <c r="D4042" t="s">
        <v>74</v>
      </c>
      <c r="E4042" t="s">
        <v>74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74</v>
      </c>
    </row>
    <row r="4043" spans="1:20" x14ac:dyDescent="0.3">
      <c r="A4043" t="s">
        <v>44</v>
      </c>
      <c r="B4043">
        <v>17</v>
      </c>
      <c r="C4043" t="s">
        <v>73</v>
      </c>
      <c r="D4043" t="s">
        <v>74</v>
      </c>
      <c r="E4043" t="s">
        <v>74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74</v>
      </c>
    </row>
    <row r="4044" spans="1:20" x14ac:dyDescent="0.3">
      <c r="A4044" t="s">
        <v>43</v>
      </c>
      <c r="B4044">
        <v>125</v>
      </c>
      <c r="C4044" t="s">
        <v>73</v>
      </c>
      <c r="D4044" t="s">
        <v>74</v>
      </c>
      <c r="E4044" t="s">
        <v>74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74</v>
      </c>
    </row>
    <row r="4045" spans="1:20" x14ac:dyDescent="0.3">
      <c r="A4045" t="s">
        <v>33</v>
      </c>
      <c r="B4045">
        <v>61</v>
      </c>
      <c r="C4045" t="s">
        <v>72</v>
      </c>
      <c r="D4045" t="s">
        <v>74</v>
      </c>
      <c r="E4045" t="s">
        <v>74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74</v>
      </c>
    </row>
    <row r="4046" spans="1:20" x14ac:dyDescent="0.3">
      <c r="A4046" t="s">
        <v>43</v>
      </c>
      <c r="B4046">
        <v>103</v>
      </c>
      <c r="C4046" t="s">
        <v>71</v>
      </c>
      <c r="D4046" t="s">
        <v>74</v>
      </c>
      <c r="E4046" t="s">
        <v>75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74</v>
      </c>
    </row>
    <row r="4047" spans="1:20" x14ac:dyDescent="0.3">
      <c r="A4047" t="s">
        <v>52</v>
      </c>
      <c r="B4047">
        <v>20</v>
      </c>
      <c r="C4047" t="s">
        <v>73</v>
      </c>
      <c r="D4047" t="s">
        <v>74</v>
      </c>
      <c r="E4047" t="s">
        <v>74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74</v>
      </c>
    </row>
    <row r="4048" spans="1:20" x14ac:dyDescent="0.3">
      <c r="A4048" t="s">
        <v>28</v>
      </c>
      <c r="B4048">
        <v>115</v>
      </c>
      <c r="C4048" t="s">
        <v>72</v>
      </c>
      <c r="D4048" t="s">
        <v>74</v>
      </c>
      <c r="E4048" t="s">
        <v>74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74</v>
      </c>
    </row>
    <row r="4049" spans="1:20" x14ac:dyDescent="0.3">
      <c r="A4049" t="s">
        <v>69</v>
      </c>
      <c r="B4049">
        <v>139</v>
      </c>
      <c r="C4049" t="s">
        <v>72</v>
      </c>
      <c r="D4049" t="s">
        <v>74</v>
      </c>
      <c r="E4049" t="s">
        <v>74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74</v>
      </c>
    </row>
    <row r="4050" spans="1:20" x14ac:dyDescent="0.3">
      <c r="A4050" t="s">
        <v>29</v>
      </c>
      <c r="B4050">
        <v>96</v>
      </c>
      <c r="C4050" t="s">
        <v>71</v>
      </c>
      <c r="D4050" t="s">
        <v>74</v>
      </c>
      <c r="E4050" t="s">
        <v>74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74</v>
      </c>
    </row>
    <row r="4051" spans="1:20" x14ac:dyDescent="0.3">
      <c r="A4051" t="s">
        <v>29</v>
      </c>
      <c r="B4051">
        <v>101</v>
      </c>
      <c r="C4051" t="s">
        <v>72</v>
      </c>
      <c r="D4051" t="s">
        <v>74</v>
      </c>
      <c r="E4051" t="s">
        <v>74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74</v>
      </c>
    </row>
    <row r="4052" spans="1:20" x14ac:dyDescent="0.3">
      <c r="A4052" t="s">
        <v>61</v>
      </c>
      <c r="B4052">
        <v>86</v>
      </c>
      <c r="C4052" t="s">
        <v>73</v>
      </c>
      <c r="D4052" t="s">
        <v>74</v>
      </c>
      <c r="E4052" t="s">
        <v>75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74</v>
      </c>
    </row>
    <row r="4053" spans="1:20" x14ac:dyDescent="0.3">
      <c r="A4053" t="s">
        <v>21</v>
      </c>
      <c r="B4053">
        <v>42</v>
      </c>
      <c r="C4053" t="s">
        <v>71</v>
      </c>
      <c r="D4053" t="s">
        <v>74</v>
      </c>
      <c r="E4053" t="s">
        <v>75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74</v>
      </c>
    </row>
    <row r="4054" spans="1:20" x14ac:dyDescent="0.3">
      <c r="A4054" t="s">
        <v>59</v>
      </c>
      <c r="B4054">
        <v>48</v>
      </c>
      <c r="C4054" t="s">
        <v>72</v>
      </c>
      <c r="D4054" t="s">
        <v>74</v>
      </c>
      <c r="E4054" t="s">
        <v>74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74</v>
      </c>
    </row>
    <row r="4055" spans="1:20" x14ac:dyDescent="0.3">
      <c r="A4055" t="s">
        <v>25</v>
      </c>
      <c r="B4055">
        <v>134</v>
      </c>
      <c r="C4055" t="s">
        <v>73</v>
      </c>
      <c r="D4055" t="s">
        <v>74</v>
      </c>
      <c r="E4055" t="s">
        <v>74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74</v>
      </c>
    </row>
    <row r="4056" spans="1:20" x14ac:dyDescent="0.3">
      <c r="A4056" t="s">
        <v>60</v>
      </c>
      <c r="B4056">
        <v>149</v>
      </c>
      <c r="C4056" t="s">
        <v>71</v>
      </c>
      <c r="D4056" t="s">
        <v>74</v>
      </c>
      <c r="E4056" t="s">
        <v>74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74</v>
      </c>
    </row>
    <row r="4057" spans="1:20" x14ac:dyDescent="0.3">
      <c r="A4057" t="s">
        <v>21</v>
      </c>
      <c r="B4057">
        <v>120</v>
      </c>
      <c r="C4057" t="s">
        <v>71</v>
      </c>
      <c r="D4057" t="s">
        <v>74</v>
      </c>
      <c r="E4057" t="s">
        <v>74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74</v>
      </c>
    </row>
    <row r="4058" spans="1:20" x14ac:dyDescent="0.3">
      <c r="A4058" t="s">
        <v>40</v>
      </c>
      <c r="B4058">
        <v>62</v>
      </c>
      <c r="C4058" t="s">
        <v>73</v>
      </c>
      <c r="D4058" t="s">
        <v>74</v>
      </c>
      <c r="E4058" t="s">
        <v>74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75</v>
      </c>
    </row>
    <row r="4059" spans="1:20" x14ac:dyDescent="0.3">
      <c r="A4059" t="s">
        <v>57</v>
      </c>
      <c r="B4059">
        <v>84</v>
      </c>
      <c r="C4059" t="s">
        <v>71</v>
      </c>
      <c r="D4059" t="s">
        <v>74</v>
      </c>
      <c r="E4059" t="s">
        <v>75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75</v>
      </c>
    </row>
    <row r="4060" spans="1:20" x14ac:dyDescent="0.3">
      <c r="A4060" t="s">
        <v>28</v>
      </c>
      <c r="B4060">
        <v>16</v>
      </c>
      <c r="C4060" t="s">
        <v>72</v>
      </c>
      <c r="D4060" t="s">
        <v>74</v>
      </c>
      <c r="E4060" t="s">
        <v>74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74</v>
      </c>
    </row>
    <row r="4061" spans="1:20" x14ac:dyDescent="0.3">
      <c r="A4061" t="s">
        <v>51</v>
      </c>
      <c r="B4061">
        <v>80</v>
      </c>
      <c r="C4061" t="s">
        <v>71</v>
      </c>
      <c r="D4061" t="s">
        <v>74</v>
      </c>
      <c r="E4061" t="s">
        <v>74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74</v>
      </c>
    </row>
    <row r="4062" spans="1:20" x14ac:dyDescent="0.3">
      <c r="A4062" t="s">
        <v>70</v>
      </c>
      <c r="B4062">
        <v>78</v>
      </c>
      <c r="C4062" t="s">
        <v>71</v>
      </c>
      <c r="D4062" t="s">
        <v>74</v>
      </c>
      <c r="E4062" t="s">
        <v>74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75</v>
      </c>
    </row>
    <row r="4063" spans="1:20" x14ac:dyDescent="0.3">
      <c r="A4063" t="s">
        <v>38</v>
      </c>
      <c r="B4063">
        <v>102</v>
      </c>
      <c r="C4063" t="s">
        <v>73</v>
      </c>
      <c r="D4063" t="s">
        <v>74</v>
      </c>
      <c r="E4063" t="s">
        <v>75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75</v>
      </c>
    </row>
    <row r="4064" spans="1:20" x14ac:dyDescent="0.3">
      <c r="A4064" t="s">
        <v>45</v>
      </c>
      <c r="B4064">
        <v>74</v>
      </c>
      <c r="C4064" t="s">
        <v>71</v>
      </c>
      <c r="D4064" t="s">
        <v>74</v>
      </c>
      <c r="E4064" t="s">
        <v>75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74</v>
      </c>
    </row>
    <row r="4065" spans="1:20" x14ac:dyDescent="0.3">
      <c r="A4065" t="s">
        <v>28</v>
      </c>
      <c r="B4065">
        <v>135</v>
      </c>
      <c r="C4065" t="s">
        <v>72</v>
      </c>
      <c r="D4065" t="s">
        <v>74</v>
      </c>
      <c r="E4065" t="s">
        <v>74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74</v>
      </c>
    </row>
    <row r="4066" spans="1:20" x14ac:dyDescent="0.3">
      <c r="A4066" t="s">
        <v>64</v>
      </c>
      <c r="B4066">
        <v>55</v>
      </c>
      <c r="C4066" t="s">
        <v>71</v>
      </c>
      <c r="D4066" t="s">
        <v>74</v>
      </c>
      <c r="E4066" t="s">
        <v>74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74</v>
      </c>
    </row>
    <row r="4067" spans="1:20" x14ac:dyDescent="0.3">
      <c r="A4067" t="s">
        <v>56</v>
      </c>
      <c r="B4067">
        <v>106</v>
      </c>
      <c r="C4067" t="s">
        <v>71</v>
      </c>
      <c r="D4067" t="s">
        <v>74</v>
      </c>
      <c r="E4067" t="s">
        <v>74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74</v>
      </c>
    </row>
    <row r="4068" spans="1:20" x14ac:dyDescent="0.3">
      <c r="A4068" t="s">
        <v>50</v>
      </c>
      <c r="B4068">
        <v>34</v>
      </c>
      <c r="C4068" t="s">
        <v>71</v>
      </c>
      <c r="D4068" t="s">
        <v>74</v>
      </c>
      <c r="E4068" t="s">
        <v>74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74</v>
      </c>
    </row>
    <row r="4069" spans="1:20" x14ac:dyDescent="0.3">
      <c r="A4069" t="s">
        <v>50</v>
      </c>
      <c r="B4069">
        <v>100</v>
      </c>
      <c r="C4069" t="s">
        <v>71</v>
      </c>
      <c r="D4069" t="s">
        <v>74</v>
      </c>
      <c r="E4069" t="s">
        <v>74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74</v>
      </c>
    </row>
    <row r="4070" spans="1:20" x14ac:dyDescent="0.3">
      <c r="A4070" t="s">
        <v>29</v>
      </c>
      <c r="B4070">
        <v>127</v>
      </c>
      <c r="C4070" t="s">
        <v>73</v>
      </c>
      <c r="D4070" t="s">
        <v>74</v>
      </c>
      <c r="E4070" t="s">
        <v>74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74</v>
      </c>
    </row>
    <row r="4071" spans="1:20" x14ac:dyDescent="0.3">
      <c r="A4071" t="s">
        <v>29</v>
      </c>
      <c r="B4071">
        <v>65</v>
      </c>
      <c r="C4071" t="s">
        <v>73</v>
      </c>
      <c r="D4071" t="s">
        <v>74</v>
      </c>
      <c r="E4071" t="s">
        <v>75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74</v>
      </c>
    </row>
    <row r="4072" spans="1:20" x14ac:dyDescent="0.3">
      <c r="A4072" t="s">
        <v>37</v>
      </c>
      <c r="B4072">
        <v>109</v>
      </c>
      <c r="C4072" t="s">
        <v>71</v>
      </c>
      <c r="D4072" t="s">
        <v>74</v>
      </c>
      <c r="E4072" t="s">
        <v>75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74</v>
      </c>
    </row>
    <row r="4073" spans="1:20" x14ac:dyDescent="0.3">
      <c r="A4073" t="s">
        <v>38</v>
      </c>
      <c r="B4073">
        <v>98</v>
      </c>
      <c r="C4073" t="s">
        <v>73</v>
      </c>
      <c r="D4073" t="s">
        <v>74</v>
      </c>
      <c r="E4073" t="s">
        <v>74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75</v>
      </c>
    </row>
    <row r="4074" spans="1:20" x14ac:dyDescent="0.3">
      <c r="A4074" t="s">
        <v>42</v>
      </c>
      <c r="B4074">
        <v>141</v>
      </c>
      <c r="C4074" t="s">
        <v>72</v>
      </c>
      <c r="D4074" t="s">
        <v>74</v>
      </c>
      <c r="E4074" t="s">
        <v>74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74</v>
      </c>
    </row>
    <row r="4075" spans="1:20" x14ac:dyDescent="0.3">
      <c r="A4075" t="s">
        <v>32</v>
      </c>
      <c r="B4075">
        <v>136</v>
      </c>
      <c r="C4075" t="s">
        <v>71</v>
      </c>
      <c r="D4075" t="s">
        <v>74</v>
      </c>
      <c r="E4075" t="s">
        <v>74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74</v>
      </c>
    </row>
    <row r="4076" spans="1:20" x14ac:dyDescent="0.3">
      <c r="A4076" t="s">
        <v>55</v>
      </c>
      <c r="B4076">
        <v>42</v>
      </c>
      <c r="C4076" t="s">
        <v>73</v>
      </c>
      <c r="D4076" t="s">
        <v>74</v>
      </c>
      <c r="E4076" t="s">
        <v>74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74</v>
      </c>
    </row>
    <row r="4077" spans="1:20" x14ac:dyDescent="0.3">
      <c r="A4077" t="s">
        <v>53</v>
      </c>
      <c r="B4077">
        <v>162</v>
      </c>
      <c r="C4077" t="s">
        <v>71</v>
      </c>
      <c r="D4077" t="s">
        <v>75</v>
      </c>
      <c r="E4077" t="s">
        <v>74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74</v>
      </c>
    </row>
    <row r="4078" spans="1:20" x14ac:dyDescent="0.3">
      <c r="A4078" t="s">
        <v>66</v>
      </c>
      <c r="B4078">
        <v>49</v>
      </c>
      <c r="C4078" t="s">
        <v>71</v>
      </c>
      <c r="D4078" t="s">
        <v>74</v>
      </c>
      <c r="E4078" t="s">
        <v>74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74</v>
      </c>
    </row>
    <row r="4079" spans="1:20" x14ac:dyDescent="0.3">
      <c r="A4079" t="s">
        <v>50</v>
      </c>
      <c r="B4079">
        <v>103</v>
      </c>
      <c r="C4079" t="s">
        <v>73</v>
      </c>
      <c r="D4079" t="s">
        <v>74</v>
      </c>
      <c r="E4079" t="s">
        <v>74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74</v>
      </c>
    </row>
    <row r="4080" spans="1:20" x14ac:dyDescent="0.3">
      <c r="A4080" t="s">
        <v>50</v>
      </c>
      <c r="B4080">
        <v>102</v>
      </c>
      <c r="C4080" t="s">
        <v>72</v>
      </c>
      <c r="D4080" t="s">
        <v>74</v>
      </c>
      <c r="E4080" t="s">
        <v>74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74</v>
      </c>
    </row>
    <row r="4081" spans="1:20" x14ac:dyDescent="0.3">
      <c r="A4081" t="s">
        <v>69</v>
      </c>
      <c r="B4081">
        <v>222</v>
      </c>
      <c r="C4081" t="s">
        <v>71</v>
      </c>
      <c r="D4081" t="s">
        <v>74</v>
      </c>
      <c r="E4081" t="s">
        <v>74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75</v>
      </c>
    </row>
    <row r="4082" spans="1:20" x14ac:dyDescent="0.3">
      <c r="A4082" t="s">
        <v>58</v>
      </c>
      <c r="B4082">
        <v>100</v>
      </c>
      <c r="C4082" t="s">
        <v>71</v>
      </c>
      <c r="D4082" t="s">
        <v>74</v>
      </c>
      <c r="E4082" t="s">
        <v>75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74</v>
      </c>
    </row>
    <row r="4083" spans="1:20" x14ac:dyDescent="0.3">
      <c r="A4083" t="s">
        <v>24</v>
      </c>
      <c r="B4083">
        <v>86</v>
      </c>
      <c r="C4083" t="s">
        <v>73</v>
      </c>
      <c r="D4083" t="s">
        <v>74</v>
      </c>
      <c r="E4083" t="s">
        <v>74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74</v>
      </c>
    </row>
    <row r="4084" spans="1:20" x14ac:dyDescent="0.3">
      <c r="A4084" t="s">
        <v>45</v>
      </c>
      <c r="B4084">
        <v>94</v>
      </c>
      <c r="C4084" t="s">
        <v>71</v>
      </c>
      <c r="D4084" t="s">
        <v>74</v>
      </c>
      <c r="E4084" t="s">
        <v>75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74</v>
      </c>
    </row>
    <row r="4085" spans="1:20" x14ac:dyDescent="0.3">
      <c r="A4085" t="s">
        <v>63</v>
      </c>
      <c r="B4085">
        <v>106</v>
      </c>
      <c r="C4085" t="s">
        <v>71</v>
      </c>
      <c r="D4085" t="s">
        <v>74</v>
      </c>
      <c r="E4085" t="s">
        <v>74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74</v>
      </c>
    </row>
    <row r="4086" spans="1:20" x14ac:dyDescent="0.3">
      <c r="A4086" t="s">
        <v>21</v>
      </c>
      <c r="B4086">
        <v>91</v>
      </c>
      <c r="C4086" t="s">
        <v>71</v>
      </c>
      <c r="D4086" t="s">
        <v>74</v>
      </c>
      <c r="E4086" t="s">
        <v>74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75</v>
      </c>
    </row>
    <row r="4087" spans="1:20" x14ac:dyDescent="0.3">
      <c r="A4087" t="s">
        <v>64</v>
      </c>
      <c r="B4087">
        <v>62</v>
      </c>
      <c r="C4087" t="s">
        <v>72</v>
      </c>
      <c r="D4087" t="s">
        <v>74</v>
      </c>
      <c r="E4087" t="s">
        <v>74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74</v>
      </c>
    </row>
    <row r="4088" spans="1:20" x14ac:dyDescent="0.3">
      <c r="A4088" t="s">
        <v>49</v>
      </c>
      <c r="B4088">
        <v>47</v>
      </c>
      <c r="C4088" t="s">
        <v>71</v>
      </c>
      <c r="D4088" t="s">
        <v>74</v>
      </c>
      <c r="E4088" t="s">
        <v>74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74</v>
      </c>
    </row>
    <row r="4089" spans="1:20" x14ac:dyDescent="0.3">
      <c r="A4089" t="s">
        <v>26</v>
      </c>
      <c r="B4089">
        <v>51</v>
      </c>
      <c r="C4089" t="s">
        <v>71</v>
      </c>
      <c r="D4089" t="s">
        <v>74</v>
      </c>
      <c r="E4089" t="s">
        <v>74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74</v>
      </c>
    </row>
    <row r="4090" spans="1:20" x14ac:dyDescent="0.3">
      <c r="A4090" t="s">
        <v>44</v>
      </c>
      <c r="B4090">
        <v>116</v>
      </c>
      <c r="C4090" t="s">
        <v>73</v>
      </c>
      <c r="D4090" t="s">
        <v>74</v>
      </c>
      <c r="E4090" t="s">
        <v>74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74</v>
      </c>
    </row>
    <row r="4091" spans="1:20" x14ac:dyDescent="0.3">
      <c r="A4091" t="s">
        <v>29</v>
      </c>
      <c r="B4091">
        <v>145</v>
      </c>
      <c r="C4091" t="s">
        <v>71</v>
      </c>
      <c r="D4091" t="s">
        <v>74</v>
      </c>
      <c r="E4091" t="s">
        <v>74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74</v>
      </c>
    </row>
    <row r="4092" spans="1:20" x14ac:dyDescent="0.3">
      <c r="A4092" t="s">
        <v>47</v>
      </c>
      <c r="B4092">
        <v>180</v>
      </c>
      <c r="C4092" t="s">
        <v>71</v>
      </c>
      <c r="D4092" t="s">
        <v>74</v>
      </c>
      <c r="E4092" t="s">
        <v>74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74</v>
      </c>
    </row>
    <row r="4093" spans="1:20" x14ac:dyDescent="0.3">
      <c r="A4093" t="s">
        <v>24</v>
      </c>
      <c r="B4093">
        <v>67</v>
      </c>
      <c r="C4093" t="s">
        <v>71</v>
      </c>
      <c r="D4093" t="s">
        <v>74</v>
      </c>
      <c r="E4093" t="s">
        <v>74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74</v>
      </c>
    </row>
    <row r="4094" spans="1:20" x14ac:dyDescent="0.3">
      <c r="A4094" t="s">
        <v>34</v>
      </c>
      <c r="B4094">
        <v>38</v>
      </c>
      <c r="C4094" t="s">
        <v>71</v>
      </c>
      <c r="D4094" t="s">
        <v>74</v>
      </c>
      <c r="E4094" t="s">
        <v>75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74</v>
      </c>
    </row>
    <row r="4095" spans="1:20" x14ac:dyDescent="0.3">
      <c r="A4095" t="s">
        <v>26</v>
      </c>
      <c r="B4095">
        <v>164</v>
      </c>
      <c r="C4095" t="s">
        <v>73</v>
      </c>
      <c r="D4095" t="s">
        <v>74</v>
      </c>
      <c r="E4095" t="s">
        <v>75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74</v>
      </c>
    </row>
    <row r="4096" spans="1:20" x14ac:dyDescent="0.3">
      <c r="A4096" t="s">
        <v>31</v>
      </c>
      <c r="B4096">
        <v>119</v>
      </c>
      <c r="C4096" t="s">
        <v>71</v>
      </c>
      <c r="D4096" t="s">
        <v>74</v>
      </c>
      <c r="E4096" t="s">
        <v>74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74</v>
      </c>
    </row>
    <row r="4097" spans="1:20" x14ac:dyDescent="0.3">
      <c r="A4097" t="s">
        <v>62</v>
      </c>
      <c r="B4097">
        <v>74</v>
      </c>
      <c r="C4097" t="s">
        <v>71</v>
      </c>
      <c r="D4097" t="s">
        <v>74</v>
      </c>
      <c r="E4097" t="s">
        <v>74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74</v>
      </c>
    </row>
    <row r="4098" spans="1:20" x14ac:dyDescent="0.3">
      <c r="A4098" t="s">
        <v>27</v>
      </c>
      <c r="B4098">
        <v>18</v>
      </c>
      <c r="C4098" t="s">
        <v>71</v>
      </c>
      <c r="D4098" t="s">
        <v>74</v>
      </c>
      <c r="E4098" t="s">
        <v>74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74</v>
      </c>
    </row>
    <row r="4099" spans="1:20" x14ac:dyDescent="0.3">
      <c r="A4099" t="s">
        <v>38</v>
      </c>
      <c r="B4099">
        <v>93</v>
      </c>
      <c r="C4099" t="s">
        <v>73</v>
      </c>
      <c r="D4099" t="s">
        <v>74</v>
      </c>
      <c r="E4099" t="s">
        <v>74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74</v>
      </c>
    </row>
    <row r="4100" spans="1:20" x14ac:dyDescent="0.3">
      <c r="A4100" t="s">
        <v>57</v>
      </c>
      <c r="B4100">
        <v>64</v>
      </c>
      <c r="C4100" t="s">
        <v>71</v>
      </c>
      <c r="D4100" t="s">
        <v>74</v>
      </c>
      <c r="E4100" t="s">
        <v>75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74</v>
      </c>
    </row>
    <row r="4101" spans="1:20" x14ac:dyDescent="0.3">
      <c r="A4101" t="s">
        <v>26</v>
      </c>
      <c r="B4101">
        <v>108</v>
      </c>
      <c r="C4101" t="s">
        <v>71</v>
      </c>
      <c r="D4101" t="s">
        <v>74</v>
      </c>
      <c r="E4101" t="s">
        <v>74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74</v>
      </c>
    </row>
    <row r="4102" spans="1:20" x14ac:dyDescent="0.3">
      <c r="A4102" t="s">
        <v>35</v>
      </c>
      <c r="B4102">
        <v>112</v>
      </c>
      <c r="C4102" t="s">
        <v>72</v>
      </c>
      <c r="D4102" t="s">
        <v>74</v>
      </c>
      <c r="E4102" t="s">
        <v>74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74</v>
      </c>
    </row>
    <row r="4103" spans="1:20" x14ac:dyDescent="0.3">
      <c r="A4103" t="s">
        <v>55</v>
      </c>
      <c r="B4103">
        <v>77</v>
      </c>
      <c r="C4103" t="s">
        <v>73</v>
      </c>
      <c r="D4103" t="s">
        <v>74</v>
      </c>
      <c r="E4103" t="s">
        <v>74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74</v>
      </c>
    </row>
    <row r="4104" spans="1:20" x14ac:dyDescent="0.3">
      <c r="A4104" t="s">
        <v>62</v>
      </c>
      <c r="B4104">
        <v>68</v>
      </c>
      <c r="C4104" t="s">
        <v>73</v>
      </c>
      <c r="D4104" t="s">
        <v>74</v>
      </c>
      <c r="E4104" t="s">
        <v>75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74</v>
      </c>
    </row>
    <row r="4105" spans="1:20" x14ac:dyDescent="0.3">
      <c r="A4105" t="s">
        <v>22</v>
      </c>
      <c r="B4105">
        <v>83</v>
      </c>
      <c r="C4105" t="s">
        <v>73</v>
      </c>
      <c r="D4105" t="s">
        <v>75</v>
      </c>
      <c r="E4105" t="s">
        <v>74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75</v>
      </c>
    </row>
    <row r="4106" spans="1:20" x14ac:dyDescent="0.3">
      <c r="A4106" t="s">
        <v>54</v>
      </c>
      <c r="B4106">
        <v>87</v>
      </c>
      <c r="C4106" t="s">
        <v>72</v>
      </c>
      <c r="D4106" t="s">
        <v>74</v>
      </c>
      <c r="E4106" t="s">
        <v>75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74</v>
      </c>
    </row>
    <row r="4107" spans="1:20" x14ac:dyDescent="0.3">
      <c r="A4107" t="s">
        <v>43</v>
      </c>
      <c r="B4107">
        <v>43</v>
      </c>
      <c r="C4107" t="s">
        <v>73</v>
      </c>
      <c r="D4107" t="s">
        <v>74</v>
      </c>
      <c r="E4107" t="s">
        <v>75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74</v>
      </c>
    </row>
    <row r="4108" spans="1:20" x14ac:dyDescent="0.3">
      <c r="A4108" t="s">
        <v>41</v>
      </c>
      <c r="B4108">
        <v>113</v>
      </c>
      <c r="C4108" t="s">
        <v>73</v>
      </c>
      <c r="D4108" t="s">
        <v>74</v>
      </c>
      <c r="E4108" t="s">
        <v>74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74</v>
      </c>
    </row>
    <row r="4109" spans="1:20" x14ac:dyDescent="0.3">
      <c r="A4109" t="s">
        <v>62</v>
      </c>
      <c r="B4109">
        <v>95</v>
      </c>
      <c r="C4109" t="s">
        <v>71</v>
      </c>
      <c r="D4109" t="s">
        <v>74</v>
      </c>
      <c r="E4109" t="s">
        <v>75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74</v>
      </c>
    </row>
    <row r="4110" spans="1:20" x14ac:dyDescent="0.3">
      <c r="A4110" t="s">
        <v>34</v>
      </c>
      <c r="B4110">
        <v>30</v>
      </c>
      <c r="C4110" t="s">
        <v>71</v>
      </c>
      <c r="D4110" t="s">
        <v>74</v>
      </c>
      <c r="E4110" t="s">
        <v>74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74</v>
      </c>
    </row>
    <row r="4111" spans="1:20" x14ac:dyDescent="0.3">
      <c r="A4111" t="s">
        <v>28</v>
      </c>
      <c r="B4111">
        <v>172</v>
      </c>
      <c r="C4111" t="s">
        <v>72</v>
      </c>
      <c r="D4111" t="s">
        <v>74</v>
      </c>
      <c r="E4111" t="s">
        <v>74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75</v>
      </c>
    </row>
    <row r="4112" spans="1:20" x14ac:dyDescent="0.3">
      <c r="A4112" t="s">
        <v>59</v>
      </c>
      <c r="B4112">
        <v>82</v>
      </c>
      <c r="C4112" t="s">
        <v>71</v>
      </c>
      <c r="D4112" t="s">
        <v>74</v>
      </c>
      <c r="E4112" t="s">
        <v>75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74</v>
      </c>
    </row>
    <row r="4113" spans="1:20" x14ac:dyDescent="0.3">
      <c r="A4113" t="s">
        <v>31</v>
      </c>
      <c r="B4113">
        <v>95</v>
      </c>
      <c r="C4113" t="s">
        <v>71</v>
      </c>
      <c r="D4113" t="s">
        <v>74</v>
      </c>
      <c r="E4113" t="s">
        <v>74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74</v>
      </c>
    </row>
    <row r="4114" spans="1:20" x14ac:dyDescent="0.3">
      <c r="A4114" t="s">
        <v>45</v>
      </c>
      <c r="B4114">
        <v>97</v>
      </c>
      <c r="C4114" t="s">
        <v>73</v>
      </c>
      <c r="D4114" t="s">
        <v>74</v>
      </c>
      <c r="E4114" t="s">
        <v>74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74</v>
      </c>
    </row>
    <row r="4115" spans="1:20" x14ac:dyDescent="0.3">
      <c r="A4115" t="s">
        <v>45</v>
      </c>
      <c r="B4115">
        <v>115</v>
      </c>
      <c r="C4115" t="s">
        <v>71</v>
      </c>
      <c r="D4115" t="s">
        <v>74</v>
      </c>
      <c r="E4115" t="s">
        <v>74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75</v>
      </c>
    </row>
    <row r="4116" spans="1:20" x14ac:dyDescent="0.3">
      <c r="A4116" t="s">
        <v>67</v>
      </c>
      <c r="B4116">
        <v>94</v>
      </c>
      <c r="C4116" t="s">
        <v>73</v>
      </c>
      <c r="D4116" t="s">
        <v>74</v>
      </c>
      <c r="E4116" t="s">
        <v>74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74</v>
      </c>
    </row>
    <row r="4117" spans="1:20" x14ac:dyDescent="0.3">
      <c r="A4117" t="s">
        <v>47</v>
      </c>
      <c r="B4117">
        <v>88</v>
      </c>
      <c r="C4117" t="s">
        <v>71</v>
      </c>
      <c r="D4117" t="s">
        <v>74</v>
      </c>
      <c r="E4117" t="s">
        <v>74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74</v>
      </c>
    </row>
    <row r="4118" spans="1:20" x14ac:dyDescent="0.3">
      <c r="A4118" t="s">
        <v>36</v>
      </c>
      <c r="B4118">
        <v>95</v>
      </c>
      <c r="C4118" t="s">
        <v>71</v>
      </c>
      <c r="D4118" t="s">
        <v>74</v>
      </c>
      <c r="E4118" t="s">
        <v>74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74</v>
      </c>
    </row>
    <row r="4119" spans="1:20" x14ac:dyDescent="0.3">
      <c r="A4119" t="s">
        <v>56</v>
      </c>
      <c r="B4119">
        <v>52</v>
      </c>
      <c r="C4119" t="s">
        <v>73</v>
      </c>
      <c r="D4119" t="s">
        <v>74</v>
      </c>
      <c r="E4119" t="s">
        <v>74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74</v>
      </c>
    </row>
    <row r="4120" spans="1:20" x14ac:dyDescent="0.3">
      <c r="A4120" t="s">
        <v>47</v>
      </c>
      <c r="B4120">
        <v>91</v>
      </c>
      <c r="C4120" t="s">
        <v>72</v>
      </c>
      <c r="D4120" t="s">
        <v>74</v>
      </c>
      <c r="E4120" t="s">
        <v>74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74</v>
      </c>
    </row>
    <row r="4121" spans="1:20" x14ac:dyDescent="0.3">
      <c r="A4121" t="s">
        <v>49</v>
      </c>
      <c r="B4121">
        <v>163</v>
      </c>
      <c r="C4121" t="s">
        <v>72</v>
      </c>
      <c r="D4121" t="s">
        <v>74</v>
      </c>
      <c r="E4121" t="s">
        <v>74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74</v>
      </c>
    </row>
    <row r="4122" spans="1:20" x14ac:dyDescent="0.3">
      <c r="A4122" t="s">
        <v>53</v>
      </c>
      <c r="B4122">
        <v>145</v>
      </c>
      <c r="C4122" t="s">
        <v>73</v>
      </c>
      <c r="D4122" t="s">
        <v>75</v>
      </c>
      <c r="E4122" t="s">
        <v>74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74</v>
      </c>
    </row>
    <row r="4123" spans="1:20" x14ac:dyDescent="0.3">
      <c r="A4123" t="s">
        <v>40</v>
      </c>
      <c r="B4123">
        <v>116</v>
      </c>
      <c r="C4123" t="s">
        <v>73</v>
      </c>
      <c r="D4123" t="s">
        <v>74</v>
      </c>
      <c r="E4123" t="s">
        <v>74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74</v>
      </c>
    </row>
    <row r="4124" spans="1:20" x14ac:dyDescent="0.3">
      <c r="A4124" t="s">
        <v>29</v>
      </c>
      <c r="B4124">
        <v>95</v>
      </c>
      <c r="C4124" t="s">
        <v>71</v>
      </c>
      <c r="D4124" t="s">
        <v>74</v>
      </c>
      <c r="E4124" t="s">
        <v>74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74</v>
      </c>
    </row>
    <row r="4125" spans="1:20" x14ac:dyDescent="0.3">
      <c r="A4125" t="s">
        <v>38</v>
      </c>
      <c r="B4125">
        <v>49</v>
      </c>
      <c r="C4125" t="s">
        <v>71</v>
      </c>
      <c r="D4125" t="s">
        <v>74</v>
      </c>
      <c r="E4125" t="s">
        <v>74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74</v>
      </c>
    </row>
    <row r="4126" spans="1:20" x14ac:dyDescent="0.3">
      <c r="A4126" t="s">
        <v>35</v>
      </c>
      <c r="B4126">
        <v>121</v>
      </c>
      <c r="C4126" t="s">
        <v>71</v>
      </c>
      <c r="D4126" t="s">
        <v>74</v>
      </c>
      <c r="E4126" t="s">
        <v>74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74</v>
      </c>
    </row>
    <row r="4127" spans="1:20" x14ac:dyDescent="0.3">
      <c r="A4127" t="s">
        <v>69</v>
      </c>
      <c r="B4127">
        <v>39</v>
      </c>
      <c r="C4127" t="s">
        <v>72</v>
      </c>
      <c r="D4127" t="s">
        <v>74</v>
      </c>
      <c r="E4127" t="s">
        <v>74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74</v>
      </c>
    </row>
    <row r="4128" spans="1:20" x14ac:dyDescent="0.3">
      <c r="A4128" t="s">
        <v>54</v>
      </c>
      <c r="B4128">
        <v>41</v>
      </c>
      <c r="C4128" t="s">
        <v>71</v>
      </c>
      <c r="D4128" t="s">
        <v>74</v>
      </c>
      <c r="E4128" t="s">
        <v>75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74</v>
      </c>
    </row>
    <row r="4129" spans="1:20" x14ac:dyDescent="0.3">
      <c r="A4129" t="s">
        <v>67</v>
      </c>
      <c r="B4129">
        <v>60</v>
      </c>
      <c r="C4129" t="s">
        <v>72</v>
      </c>
      <c r="D4129" t="s">
        <v>74</v>
      </c>
      <c r="E4129" t="s">
        <v>74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74</v>
      </c>
    </row>
    <row r="4130" spans="1:20" x14ac:dyDescent="0.3">
      <c r="A4130" t="s">
        <v>55</v>
      </c>
      <c r="B4130">
        <v>158</v>
      </c>
      <c r="C4130" t="s">
        <v>72</v>
      </c>
      <c r="D4130" t="s">
        <v>74</v>
      </c>
      <c r="E4130" t="s">
        <v>74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74</v>
      </c>
    </row>
    <row r="4131" spans="1:20" x14ac:dyDescent="0.3">
      <c r="A4131" t="s">
        <v>53</v>
      </c>
      <c r="B4131">
        <v>121</v>
      </c>
      <c r="C4131" t="s">
        <v>73</v>
      </c>
      <c r="D4131" t="s">
        <v>74</v>
      </c>
      <c r="E4131" t="s">
        <v>75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74</v>
      </c>
    </row>
    <row r="4132" spans="1:20" x14ac:dyDescent="0.3">
      <c r="A4132" t="s">
        <v>53</v>
      </c>
      <c r="B4132">
        <v>45</v>
      </c>
      <c r="C4132" t="s">
        <v>71</v>
      </c>
      <c r="D4132" t="s">
        <v>74</v>
      </c>
      <c r="E4132" t="s">
        <v>74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74</v>
      </c>
    </row>
    <row r="4133" spans="1:20" x14ac:dyDescent="0.3">
      <c r="A4133" t="s">
        <v>31</v>
      </c>
      <c r="B4133">
        <v>154</v>
      </c>
      <c r="C4133" t="s">
        <v>72</v>
      </c>
      <c r="D4133" t="s">
        <v>74</v>
      </c>
      <c r="E4133" t="s">
        <v>74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74</v>
      </c>
    </row>
    <row r="4134" spans="1:20" x14ac:dyDescent="0.3">
      <c r="A4134" t="s">
        <v>45</v>
      </c>
      <c r="B4134">
        <v>127</v>
      </c>
      <c r="C4134" t="s">
        <v>72</v>
      </c>
      <c r="D4134" t="s">
        <v>74</v>
      </c>
      <c r="E4134" t="s">
        <v>74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74</v>
      </c>
    </row>
    <row r="4135" spans="1:20" x14ac:dyDescent="0.3">
      <c r="A4135" t="s">
        <v>33</v>
      </c>
      <c r="B4135">
        <v>74</v>
      </c>
      <c r="C4135" t="s">
        <v>71</v>
      </c>
      <c r="D4135" t="s">
        <v>75</v>
      </c>
      <c r="E4135" t="s">
        <v>74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75</v>
      </c>
    </row>
    <row r="4136" spans="1:20" x14ac:dyDescent="0.3">
      <c r="A4136" t="s">
        <v>21</v>
      </c>
      <c r="B4136">
        <v>26</v>
      </c>
      <c r="C4136" t="s">
        <v>73</v>
      </c>
      <c r="D4136" t="s">
        <v>74</v>
      </c>
      <c r="E4136" t="s">
        <v>74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75</v>
      </c>
    </row>
    <row r="4137" spans="1:20" x14ac:dyDescent="0.3">
      <c r="A4137" t="s">
        <v>30</v>
      </c>
      <c r="B4137">
        <v>101</v>
      </c>
      <c r="C4137" t="s">
        <v>71</v>
      </c>
      <c r="D4137" t="s">
        <v>74</v>
      </c>
      <c r="E4137" t="s">
        <v>75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74</v>
      </c>
    </row>
    <row r="4138" spans="1:20" x14ac:dyDescent="0.3">
      <c r="A4138" t="s">
        <v>56</v>
      </c>
      <c r="B4138">
        <v>67</v>
      </c>
      <c r="C4138" t="s">
        <v>71</v>
      </c>
      <c r="D4138" t="s">
        <v>74</v>
      </c>
      <c r="E4138" t="s">
        <v>74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74</v>
      </c>
    </row>
    <row r="4139" spans="1:20" x14ac:dyDescent="0.3">
      <c r="A4139" t="s">
        <v>30</v>
      </c>
      <c r="B4139">
        <v>142</v>
      </c>
      <c r="C4139" t="s">
        <v>71</v>
      </c>
      <c r="D4139" t="s">
        <v>74</v>
      </c>
      <c r="E4139" t="s">
        <v>74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74</v>
      </c>
    </row>
    <row r="4140" spans="1:20" x14ac:dyDescent="0.3">
      <c r="A4140" t="s">
        <v>43</v>
      </c>
      <c r="B4140">
        <v>183</v>
      </c>
      <c r="C4140" t="s">
        <v>71</v>
      </c>
      <c r="D4140" t="s">
        <v>74</v>
      </c>
      <c r="E4140" t="s">
        <v>75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74</v>
      </c>
    </row>
    <row r="4141" spans="1:20" x14ac:dyDescent="0.3">
      <c r="A4141" t="s">
        <v>39</v>
      </c>
      <c r="B4141">
        <v>202</v>
      </c>
      <c r="C4141" t="s">
        <v>71</v>
      </c>
      <c r="D4141" t="s">
        <v>74</v>
      </c>
      <c r="E4141" t="s">
        <v>74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74</v>
      </c>
    </row>
    <row r="4142" spans="1:20" x14ac:dyDescent="0.3">
      <c r="A4142" t="s">
        <v>26</v>
      </c>
      <c r="B4142">
        <v>24</v>
      </c>
      <c r="C4142" t="s">
        <v>71</v>
      </c>
      <c r="D4142" t="s">
        <v>75</v>
      </c>
      <c r="E4142" t="s">
        <v>74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74</v>
      </c>
    </row>
    <row r="4143" spans="1:20" x14ac:dyDescent="0.3">
      <c r="A4143" t="s">
        <v>39</v>
      </c>
      <c r="B4143">
        <v>36</v>
      </c>
      <c r="C4143" t="s">
        <v>72</v>
      </c>
      <c r="D4143" t="s">
        <v>74</v>
      </c>
      <c r="E4143" t="s">
        <v>74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74</v>
      </c>
    </row>
    <row r="4144" spans="1:20" x14ac:dyDescent="0.3">
      <c r="A4144" t="s">
        <v>31</v>
      </c>
      <c r="B4144">
        <v>167</v>
      </c>
      <c r="C4144" t="s">
        <v>71</v>
      </c>
      <c r="D4144" t="s">
        <v>74</v>
      </c>
      <c r="E4144" t="s">
        <v>74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74</v>
      </c>
    </row>
    <row r="4145" spans="1:20" x14ac:dyDescent="0.3">
      <c r="A4145" t="s">
        <v>25</v>
      </c>
      <c r="B4145">
        <v>118</v>
      </c>
      <c r="C4145" t="s">
        <v>71</v>
      </c>
      <c r="D4145" t="s">
        <v>74</v>
      </c>
      <c r="E4145" t="s">
        <v>74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74</v>
      </c>
    </row>
    <row r="4146" spans="1:20" x14ac:dyDescent="0.3">
      <c r="A4146" t="s">
        <v>24</v>
      </c>
      <c r="B4146">
        <v>136</v>
      </c>
      <c r="C4146" t="s">
        <v>71</v>
      </c>
      <c r="D4146" t="s">
        <v>74</v>
      </c>
      <c r="E4146" t="s">
        <v>74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74</v>
      </c>
    </row>
    <row r="4147" spans="1:20" x14ac:dyDescent="0.3">
      <c r="A4147" t="s">
        <v>43</v>
      </c>
      <c r="B4147">
        <v>77</v>
      </c>
      <c r="C4147" t="s">
        <v>71</v>
      </c>
      <c r="D4147" t="s">
        <v>74</v>
      </c>
      <c r="E4147" t="s">
        <v>74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74</v>
      </c>
    </row>
    <row r="4148" spans="1:20" x14ac:dyDescent="0.3">
      <c r="A4148" t="s">
        <v>40</v>
      </c>
      <c r="B4148">
        <v>133</v>
      </c>
      <c r="C4148" t="s">
        <v>71</v>
      </c>
      <c r="D4148" t="s">
        <v>74</v>
      </c>
      <c r="E4148" t="s">
        <v>74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74</v>
      </c>
    </row>
    <row r="4149" spans="1:20" x14ac:dyDescent="0.3">
      <c r="A4149" t="s">
        <v>58</v>
      </c>
      <c r="B4149">
        <v>122</v>
      </c>
      <c r="C4149" t="s">
        <v>73</v>
      </c>
      <c r="D4149" t="s">
        <v>74</v>
      </c>
      <c r="E4149" t="s">
        <v>74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74</v>
      </c>
    </row>
    <row r="4150" spans="1:20" x14ac:dyDescent="0.3">
      <c r="A4150" t="s">
        <v>60</v>
      </c>
      <c r="B4150">
        <v>19</v>
      </c>
      <c r="C4150" t="s">
        <v>73</v>
      </c>
      <c r="D4150" t="s">
        <v>74</v>
      </c>
      <c r="E4150" t="s">
        <v>74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74</v>
      </c>
    </row>
    <row r="4151" spans="1:20" x14ac:dyDescent="0.3">
      <c r="A4151" t="s">
        <v>37</v>
      </c>
      <c r="B4151">
        <v>140</v>
      </c>
      <c r="C4151" t="s">
        <v>72</v>
      </c>
      <c r="D4151" t="s">
        <v>74</v>
      </c>
      <c r="E4151" t="s">
        <v>74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74</v>
      </c>
    </row>
    <row r="4152" spans="1:20" x14ac:dyDescent="0.3">
      <c r="A4152" t="s">
        <v>30</v>
      </c>
      <c r="B4152">
        <v>119</v>
      </c>
      <c r="C4152" t="s">
        <v>73</v>
      </c>
      <c r="D4152" t="s">
        <v>74</v>
      </c>
      <c r="E4152" t="s">
        <v>74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74</v>
      </c>
    </row>
    <row r="4153" spans="1:20" x14ac:dyDescent="0.3">
      <c r="A4153" t="s">
        <v>62</v>
      </c>
      <c r="B4153">
        <v>80</v>
      </c>
      <c r="C4153" t="s">
        <v>71</v>
      </c>
      <c r="D4153" t="s">
        <v>74</v>
      </c>
      <c r="E4153" t="s">
        <v>75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74</v>
      </c>
    </row>
    <row r="4154" spans="1:20" x14ac:dyDescent="0.3">
      <c r="A4154" t="s">
        <v>31</v>
      </c>
      <c r="B4154">
        <v>116</v>
      </c>
      <c r="C4154" t="s">
        <v>73</v>
      </c>
      <c r="D4154" t="s">
        <v>74</v>
      </c>
      <c r="E4154" t="s">
        <v>74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74</v>
      </c>
    </row>
    <row r="4155" spans="1:20" x14ac:dyDescent="0.3">
      <c r="A4155" t="s">
        <v>55</v>
      </c>
      <c r="B4155">
        <v>87</v>
      </c>
      <c r="C4155" t="s">
        <v>71</v>
      </c>
      <c r="D4155" t="s">
        <v>74</v>
      </c>
      <c r="E4155" t="s">
        <v>74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74</v>
      </c>
    </row>
    <row r="4156" spans="1:20" x14ac:dyDescent="0.3">
      <c r="A4156" t="s">
        <v>65</v>
      </c>
      <c r="B4156">
        <v>7</v>
      </c>
      <c r="C4156" t="s">
        <v>72</v>
      </c>
      <c r="D4156" t="s">
        <v>74</v>
      </c>
      <c r="E4156" t="s">
        <v>74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74</v>
      </c>
    </row>
    <row r="4157" spans="1:20" x14ac:dyDescent="0.3">
      <c r="A4157" t="s">
        <v>54</v>
      </c>
      <c r="B4157">
        <v>25</v>
      </c>
      <c r="C4157" t="s">
        <v>72</v>
      </c>
      <c r="D4157" t="s">
        <v>74</v>
      </c>
      <c r="E4157" t="s">
        <v>74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75</v>
      </c>
    </row>
    <row r="4158" spans="1:20" x14ac:dyDescent="0.3">
      <c r="A4158" t="s">
        <v>32</v>
      </c>
      <c r="B4158">
        <v>133</v>
      </c>
      <c r="C4158" t="s">
        <v>71</v>
      </c>
      <c r="D4158" t="s">
        <v>74</v>
      </c>
      <c r="E4158" t="s">
        <v>74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74</v>
      </c>
    </row>
    <row r="4159" spans="1:20" x14ac:dyDescent="0.3">
      <c r="A4159" t="s">
        <v>51</v>
      </c>
      <c r="B4159">
        <v>63</v>
      </c>
      <c r="C4159" t="s">
        <v>72</v>
      </c>
      <c r="D4159" t="s">
        <v>74</v>
      </c>
      <c r="E4159" t="s">
        <v>74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74</v>
      </c>
    </row>
    <row r="4160" spans="1:20" x14ac:dyDescent="0.3">
      <c r="A4160" t="s">
        <v>49</v>
      </c>
      <c r="B4160">
        <v>120</v>
      </c>
      <c r="C4160" t="s">
        <v>71</v>
      </c>
      <c r="D4160" t="s">
        <v>74</v>
      </c>
      <c r="E4160" t="s">
        <v>74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74</v>
      </c>
    </row>
    <row r="4161" spans="1:20" x14ac:dyDescent="0.3">
      <c r="A4161" t="s">
        <v>42</v>
      </c>
      <c r="B4161">
        <v>39</v>
      </c>
      <c r="C4161" t="s">
        <v>71</v>
      </c>
      <c r="D4161" t="s">
        <v>74</v>
      </c>
      <c r="E4161" t="s">
        <v>75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74</v>
      </c>
    </row>
    <row r="4162" spans="1:20" x14ac:dyDescent="0.3">
      <c r="A4162" t="s">
        <v>53</v>
      </c>
      <c r="B4162">
        <v>132</v>
      </c>
      <c r="C4162" t="s">
        <v>71</v>
      </c>
      <c r="D4162" t="s">
        <v>75</v>
      </c>
      <c r="E4162" t="s">
        <v>74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75</v>
      </c>
    </row>
    <row r="4163" spans="1:20" x14ac:dyDescent="0.3">
      <c r="A4163" t="s">
        <v>61</v>
      </c>
      <c r="B4163">
        <v>108</v>
      </c>
      <c r="C4163" t="s">
        <v>71</v>
      </c>
      <c r="D4163" t="s">
        <v>74</v>
      </c>
      <c r="E4163" t="s">
        <v>75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74</v>
      </c>
    </row>
    <row r="4164" spans="1:20" x14ac:dyDescent="0.3">
      <c r="A4164" t="s">
        <v>24</v>
      </c>
      <c r="B4164">
        <v>76</v>
      </c>
      <c r="C4164" t="s">
        <v>72</v>
      </c>
      <c r="D4164" t="s">
        <v>74</v>
      </c>
      <c r="E4164" t="s">
        <v>74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74</v>
      </c>
    </row>
    <row r="4165" spans="1:20" x14ac:dyDescent="0.3">
      <c r="A4165" t="s">
        <v>24</v>
      </c>
      <c r="B4165">
        <v>95</v>
      </c>
      <c r="C4165" t="s">
        <v>72</v>
      </c>
      <c r="D4165" t="s">
        <v>74</v>
      </c>
      <c r="E4165" t="s">
        <v>74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74</v>
      </c>
    </row>
    <row r="4166" spans="1:20" x14ac:dyDescent="0.3">
      <c r="A4166" t="s">
        <v>37</v>
      </c>
      <c r="B4166">
        <v>120</v>
      </c>
      <c r="C4166" t="s">
        <v>73</v>
      </c>
      <c r="D4166" t="s">
        <v>74</v>
      </c>
      <c r="E4166" t="s">
        <v>74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74</v>
      </c>
    </row>
    <row r="4167" spans="1:20" x14ac:dyDescent="0.3">
      <c r="A4167" t="s">
        <v>42</v>
      </c>
      <c r="B4167">
        <v>51</v>
      </c>
      <c r="C4167" t="s">
        <v>73</v>
      </c>
      <c r="D4167" t="s">
        <v>74</v>
      </c>
      <c r="E4167" t="s">
        <v>75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74</v>
      </c>
    </row>
    <row r="4168" spans="1:20" x14ac:dyDescent="0.3">
      <c r="A4168" t="s">
        <v>23</v>
      </c>
      <c r="B4168">
        <v>61</v>
      </c>
      <c r="C4168" t="s">
        <v>71</v>
      </c>
      <c r="D4168" t="s">
        <v>74</v>
      </c>
      <c r="E4168" t="s">
        <v>74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74</v>
      </c>
    </row>
    <row r="4169" spans="1:20" x14ac:dyDescent="0.3">
      <c r="A4169" t="s">
        <v>32</v>
      </c>
      <c r="B4169">
        <v>17</v>
      </c>
      <c r="C4169" t="s">
        <v>71</v>
      </c>
      <c r="D4169" t="s">
        <v>74</v>
      </c>
      <c r="E4169" t="s">
        <v>74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74</v>
      </c>
    </row>
    <row r="4170" spans="1:20" x14ac:dyDescent="0.3">
      <c r="A4170" t="s">
        <v>48</v>
      </c>
      <c r="B4170">
        <v>98</v>
      </c>
      <c r="C4170" t="s">
        <v>73</v>
      </c>
      <c r="D4170" t="s">
        <v>74</v>
      </c>
      <c r="E4170" t="s">
        <v>75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74</v>
      </c>
    </row>
    <row r="4171" spans="1:20" x14ac:dyDescent="0.3">
      <c r="A4171" t="s">
        <v>64</v>
      </c>
      <c r="B4171">
        <v>181</v>
      </c>
      <c r="C4171" t="s">
        <v>72</v>
      </c>
      <c r="D4171" t="s">
        <v>74</v>
      </c>
      <c r="E4171" t="s">
        <v>75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74</v>
      </c>
    </row>
    <row r="4172" spans="1:20" x14ac:dyDescent="0.3">
      <c r="A4172" t="s">
        <v>55</v>
      </c>
      <c r="B4172">
        <v>114</v>
      </c>
      <c r="C4172" t="s">
        <v>71</v>
      </c>
      <c r="D4172" t="s">
        <v>74</v>
      </c>
      <c r="E4172" t="s">
        <v>75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74</v>
      </c>
    </row>
    <row r="4173" spans="1:20" x14ac:dyDescent="0.3">
      <c r="A4173" t="s">
        <v>61</v>
      </c>
      <c r="B4173">
        <v>111</v>
      </c>
      <c r="C4173" t="s">
        <v>73</v>
      </c>
      <c r="D4173" t="s">
        <v>75</v>
      </c>
      <c r="E4173" t="s">
        <v>74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74</v>
      </c>
    </row>
    <row r="4174" spans="1:20" x14ac:dyDescent="0.3">
      <c r="A4174" t="s">
        <v>51</v>
      </c>
      <c r="B4174">
        <v>160</v>
      </c>
      <c r="C4174" t="s">
        <v>72</v>
      </c>
      <c r="D4174" t="s">
        <v>74</v>
      </c>
      <c r="E4174" t="s">
        <v>75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74</v>
      </c>
    </row>
    <row r="4175" spans="1:20" x14ac:dyDescent="0.3">
      <c r="A4175" t="s">
        <v>68</v>
      </c>
      <c r="B4175">
        <v>58</v>
      </c>
      <c r="C4175" t="s">
        <v>73</v>
      </c>
      <c r="D4175" t="s">
        <v>74</v>
      </c>
      <c r="E4175" t="s">
        <v>74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74</v>
      </c>
    </row>
    <row r="4176" spans="1:20" x14ac:dyDescent="0.3">
      <c r="A4176" t="s">
        <v>32</v>
      </c>
      <c r="B4176">
        <v>89</v>
      </c>
      <c r="C4176" t="s">
        <v>72</v>
      </c>
      <c r="D4176" t="s">
        <v>74</v>
      </c>
      <c r="E4176" t="s">
        <v>74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74</v>
      </c>
    </row>
    <row r="4177" spans="1:20" x14ac:dyDescent="0.3">
      <c r="A4177" t="s">
        <v>62</v>
      </c>
      <c r="B4177">
        <v>71</v>
      </c>
      <c r="C4177" t="s">
        <v>73</v>
      </c>
      <c r="D4177" t="s">
        <v>74</v>
      </c>
      <c r="E4177" t="s">
        <v>75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74</v>
      </c>
    </row>
    <row r="4178" spans="1:20" x14ac:dyDescent="0.3">
      <c r="A4178" t="s">
        <v>30</v>
      </c>
      <c r="B4178">
        <v>141</v>
      </c>
      <c r="C4178" t="s">
        <v>73</v>
      </c>
      <c r="D4178" t="s">
        <v>74</v>
      </c>
      <c r="E4178" t="s">
        <v>74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75</v>
      </c>
    </row>
    <row r="4179" spans="1:20" x14ac:dyDescent="0.3">
      <c r="A4179" t="s">
        <v>58</v>
      </c>
      <c r="B4179">
        <v>1</v>
      </c>
      <c r="C4179" t="s">
        <v>71</v>
      </c>
      <c r="D4179" t="s">
        <v>74</v>
      </c>
      <c r="E4179" t="s">
        <v>74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74</v>
      </c>
    </row>
    <row r="4180" spans="1:20" x14ac:dyDescent="0.3">
      <c r="A4180" t="s">
        <v>22</v>
      </c>
      <c r="B4180">
        <v>50</v>
      </c>
      <c r="C4180" t="s">
        <v>72</v>
      </c>
      <c r="D4180" t="s">
        <v>74</v>
      </c>
      <c r="E4180" t="s">
        <v>74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74</v>
      </c>
    </row>
    <row r="4181" spans="1:20" x14ac:dyDescent="0.3">
      <c r="A4181" t="s">
        <v>64</v>
      </c>
      <c r="B4181">
        <v>38</v>
      </c>
      <c r="C4181" t="s">
        <v>71</v>
      </c>
      <c r="D4181" t="s">
        <v>75</v>
      </c>
      <c r="E4181" t="s">
        <v>74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75</v>
      </c>
    </row>
    <row r="4182" spans="1:20" x14ac:dyDescent="0.3">
      <c r="A4182" t="s">
        <v>28</v>
      </c>
      <c r="B4182">
        <v>77</v>
      </c>
      <c r="C4182" t="s">
        <v>71</v>
      </c>
      <c r="D4182" t="s">
        <v>75</v>
      </c>
      <c r="E4182" t="s">
        <v>74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75</v>
      </c>
    </row>
    <row r="4183" spans="1:20" x14ac:dyDescent="0.3">
      <c r="A4183" t="s">
        <v>67</v>
      </c>
      <c r="B4183">
        <v>155</v>
      </c>
      <c r="C4183" t="s">
        <v>73</v>
      </c>
      <c r="D4183" t="s">
        <v>74</v>
      </c>
      <c r="E4183" t="s">
        <v>74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74</v>
      </c>
    </row>
    <row r="4184" spans="1:20" x14ac:dyDescent="0.3">
      <c r="A4184" t="s">
        <v>34</v>
      </c>
      <c r="B4184">
        <v>65</v>
      </c>
      <c r="C4184" t="s">
        <v>71</v>
      </c>
      <c r="D4184" t="s">
        <v>74</v>
      </c>
      <c r="E4184" t="s">
        <v>74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75</v>
      </c>
    </row>
    <row r="4185" spans="1:20" x14ac:dyDescent="0.3">
      <c r="A4185" t="s">
        <v>32</v>
      </c>
      <c r="B4185">
        <v>102</v>
      </c>
      <c r="C4185" t="s">
        <v>71</v>
      </c>
      <c r="D4185" t="s">
        <v>74</v>
      </c>
      <c r="E4185" t="s">
        <v>75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74</v>
      </c>
    </row>
    <row r="4186" spans="1:20" x14ac:dyDescent="0.3">
      <c r="A4186" t="s">
        <v>62</v>
      </c>
      <c r="B4186">
        <v>97</v>
      </c>
      <c r="C4186" t="s">
        <v>71</v>
      </c>
      <c r="D4186" t="s">
        <v>74</v>
      </c>
      <c r="E4186" t="s">
        <v>75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74</v>
      </c>
    </row>
    <row r="4187" spans="1:20" x14ac:dyDescent="0.3">
      <c r="A4187" t="s">
        <v>44</v>
      </c>
      <c r="B4187">
        <v>110</v>
      </c>
      <c r="C4187" t="s">
        <v>72</v>
      </c>
      <c r="D4187" t="s">
        <v>74</v>
      </c>
      <c r="E4187" t="s">
        <v>74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75</v>
      </c>
    </row>
    <row r="4188" spans="1:20" x14ac:dyDescent="0.3">
      <c r="A4188" t="s">
        <v>25</v>
      </c>
      <c r="B4188">
        <v>52</v>
      </c>
      <c r="C4188" t="s">
        <v>72</v>
      </c>
      <c r="D4188" t="s">
        <v>74</v>
      </c>
      <c r="E4188" t="s">
        <v>74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74</v>
      </c>
    </row>
    <row r="4189" spans="1:20" x14ac:dyDescent="0.3">
      <c r="A4189" t="s">
        <v>50</v>
      </c>
      <c r="B4189">
        <v>66</v>
      </c>
      <c r="C4189" t="s">
        <v>71</v>
      </c>
      <c r="D4189" t="s">
        <v>74</v>
      </c>
      <c r="E4189" t="s">
        <v>74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74</v>
      </c>
    </row>
    <row r="4190" spans="1:20" x14ac:dyDescent="0.3">
      <c r="A4190" t="s">
        <v>65</v>
      </c>
      <c r="B4190">
        <v>82</v>
      </c>
      <c r="C4190" t="s">
        <v>72</v>
      </c>
      <c r="D4190" t="s">
        <v>74</v>
      </c>
      <c r="E4190" t="s">
        <v>74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74</v>
      </c>
    </row>
    <row r="4191" spans="1:20" x14ac:dyDescent="0.3">
      <c r="A4191" t="s">
        <v>34</v>
      </c>
      <c r="B4191">
        <v>129</v>
      </c>
      <c r="C4191" t="s">
        <v>71</v>
      </c>
      <c r="D4191" t="s">
        <v>74</v>
      </c>
      <c r="E4191" t="s">
        <v>75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74</v>
      </c>
    </row>
    <row r="4192" spans="1:20" x14ac:dyDescent="0.3">
      <c r="A4192" t="s">
        <v>66</v>
      </c>
      <c r="B4192">
        <v>93</v>
      </c>
      <c r="C4192" t="s">
        <v>72</v>
      </c>
      <c r="D4192" t="s">
        <v>74</v>
      </c>
      <c r="E4192" t="s">
        <v>74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74</v>
      </c>
    </row>
    <row r="4193" spans="1:20" x14ac:dyDescent="0.3">
      <c r="A4193" t="s">
        <v>32</v>
      </c>
      <c r="B4193">
        <v>120</v>
      </c>
      <c r="C4193" t="s">
        <v>71</v>
      </c>
      <c r="D4193" t="s">
        <v>74</v>
      </c>
      <c r="E4193" t="s">
        <v>74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74</v>
      </c>
    </row>
    <row r="4194" spans="1:20" x14ac:dyDescent="0.3">
      <c r="A4194" t="s">
        <v>50</v>
      </c>
      <c r="B4194">
        <v>149</v>
      </c>
      <c r="C4194" t="s">
        <v>73</v>
      </c>
      <c r="D4194" t="s">
        <v>74</v>
      </c>
      <c r="E4194" t="s">
        <v>75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74</v>
      </c>
    </row>
    <row r="4195" spans="1:20" x14ac:dyDescent="0.3">
      <c r="A4195" t="s">
        <v>41</v>
      </c>
      <c r="B4195">
        <v>62</v>
      </c>
      <c r="C4195" t="s">
        <v>71</v>
      </c>
      <c r="D4195" t="s">
        <v>75</v>
      </c>
      <c r="E4195" t="s">
        <v>74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75</v>
      </c>
    </row>
    <row r="4196" spans="1:20" x14ac:dyDescent="0.3">
      <c r="A4196" t="s">
        <v>21</v>
      </c>
      <c r="B4196">
        <v>80</v>
      </c>
      <c r="C4196" t="s">
        <v>71</v>
      </c>
      <c r="D4196" t="s">
        <v>74</v>
      </c>
      <c r="E4196" t="s">
        <v>74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74</v>
      </c>
    </row>
    <row r="4197" spans="1:20" x14ac:dyDescent="0.3">
      <c r="A4197" t="s">
        <v>32</v>
      </c>
      <c r="B4197">
        <v>30</v>
      </c>
      <c r="C4197" t="s">
        <v>73</v>
      </c>
      <c r="D4197" t="s">
        <v>74</v>
      </c>
      <c r="E4197" t="s">
        <v>74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75</v>
      </c>
    </row>
    <row r="4198" spans="1:20" x14ac:dyDescent="0.3">
      <c r="A4198" t="s">
        <v>59</v>
      </c>
      <c r="B4198">
        <v>89</v>
      </c>
      <c r="C4198" t="s">
        <v>71</v>
      </c>
      <c r="D4198" t="s">
        <v>74</v>
      </c>
      <c r="E4198" t="s">
        <v>74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74</v>
      </c>
    </row>
    <row r="4199" spans="1:20" x14ac:dyDescent="0.3">
      <c r="A4199" t="s">
        <v>21</v>
      </c>
      <c r="B4199">
        <v>57</v>
      </c>
      <c r="C4199" t="s">
        <v>71</v>
      </c>
      <c r="D4199" t="s">
        <v>74</v>
      </c>
      <c r="E4199" t="s">
        <v>74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74</v>
      </c>
    </row>
    <row r="4200" spans="1:20" x14ac:dyDescent="0.3">
      <c r="A4200" t="s">
        <v>61</v>
      </c>
      <c r="B4200">
        <v>145</v>
      </c>
      <c r="C4200" t="s">
        <v>73</v>
      </c>
      <c r="D4200" t="s">
        <v>74</v>
      </c>
      <c r="E4200" t="s">
        <v>74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74</v>
      </c>
    </row>
    <row r="4201" spans="1:20" x14ac:dyDescent="0.3">
      <c r="A4201" t="s">
        <v>58</v>
      </c>
      <c r="B4201">
        <v>132</v>
      </c>
      <c r="C4201" t="s">
        <v>72</v>
      </c>
      <c r="D4201" t="s">
        <v>74</v>
      </c>
      <c r="E4201" t="s">
        <v>74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75</v>
      </c>
    </row>
    <row r="4202" spans="1:20" x14ac:dyDescent="0.3">
      <c r="A4202" t="s">
        <v>29</v>
      </c>
      <c r="B4202">
        <v>57</v>
      </c>
      <c r="C4202" t="s">
        <v>71</v>
      </c>
      <c r="D4202" t="s">
        <v>74</v>
      </c>
      <c r="E4202" t="s">
        <v>74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74</v>
      </c>
    </row>
    <row r="4203" spans="1:20" x14ac:dyDescent="0.3">
      <c r="A4203" t="s">
        <v>60</v>
      </c>
      <c r="B4203">
        <v>175</v>
      </c>
      <c r="C4203" t="s">
        <v>72</v>
      </c>
      <c r="D4203" t="s">
        <v>74</v>
      </c>
      <c r="E4203" t="s">
        <v>74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74</v>
      </c>
    </row>
    <row r="4204" spans="1:20" x14ac:dyDescent="0.3">
      <c r="A4204" t="s">
        <v>44</v>
      </c>
      <c r="B4204">
        <v>50</v>
      </c>
      <c r="C4204" t="s">
        <v>73</v>
      </c>
      <c r="D4204" t="s">
        <v>74</v>
      </c>
      <c r="E4204" t="s">
        <v>74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74</v>
      </c>
    </row>
    <row r="4205" spans="1:20" x14ac:dyDescent="0.3">
      <c r="A4205" t="s">
        <v>46</v>
      </c>
      <c r="B4205">
        <v>114</v>
      </c>
      <c r="C4205" t="s">
        <v>72</v>
      </c>
      <c r="D4205" t="s">
        <v>75</v>
      </c>
      <c r="E4205" t="s">
        <v>75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75</v>
      </c>
    </row>
    <row r="4206" spans="1:20" x14ac:dyDescent="0.3">
      <c r="A4206" t="s">
        <v>37</v>
      </c>
      <c r="B4206">
        <v>154</v>
      </c>
      <c r="C4206" t="s">
        <v>71</v>
      </c>
      <c r="D4206" t="s">
        <v>74</v>
      </c>
      <c r="E4206" t="s">
        <v>74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74</v>
      </c>
    </row>
    <row r="4207" spans="1:20" x14ac:dyDescent="0.3">
      <c r="A4207" t="s">
        <v>55</v>
      </c>
      <c r="B4207">
        <v>152</v>
      </c>
      <c r="C4207" t="s">
        <v>71</v>
      </c>
      <c r="D4207" t="s">
        <v>74</v>
      </c>
      <c r="E4207" t="s">
        <v>74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74</v>
      </c>
    </row>
    <row r="4208" spans="1:20" x14ac:dyDescent="0.3">
      <c r="A4208" t="s">
        <v>52</v>
      </c>
      <c r="B4208">
        <v>102</v>
      </c>
      <c r="C4208" t="s">
        <v>72</v>
      </c>
      <c r="D4208" t="s">
        <v>74</v>
      </c>
      <c r="E4208" t="s">
        <v>75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74</v>
      </c>
    </row>
    <row r="4209" spans="1:20" x14ac:dyDescent="0.3">
      <c r="A4209" t="s">
        <v>29</v>
      </c>
      <c r="B4209">
        <v>110</v>
      </c>
      <c r="C4209" t="s">
        <v>71</v>
      </c>
      <c r="D4209" t="s">
        <v>74</v>
      </c>
      <c r="E4209" t="s">
        <v>74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74</v>
      </c>
    </row>
    <row r="4210" spans="1:20" x14ac:dyDescent="0.3">
      <c r="A4210" t="s">
        <v>59</v>
      </c>
      <c r="B4210">
        <v>90</v>
      </c>
      <c r="C4210" t="s">
        <v>71</v>
      </c>
      <c r="D4210" t="s">
        <v>74</v>
      </c>
      <c r="E4210" t="s">
        <v>74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75</v>
      </c>
    </row>
    <row r="4211" spans="1:20" x14ac:dyDescent="0.3">
      <c r="A4211" t="s">
        <v>63</v>
      </c>
      <c r="B4211">
        <v>88</v>
      </c>
      <c r="C4211" t="s">
        <v>73</v>
      </c>
      <c r="D4211" t="s">
        <v>74</v>
      </c>
      <c r="E4211" t="s">
        <v>74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74</v>
      </c>
    </row>
    <row r="4212" spans="1:20" x14ac:dyDescent="0.3">
      <c r="A4212" t="s">
        <v>64</v>
      </c>
      <c r="B4212">
        <v>97</v>
      </c>
      <c r="C4212" t="s">
        <v>71</v>
      </c>
      <c r="D4212" t="s">
        <v>74</v>
      </c>
      <c r="E4212" t="s">
        <v>74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74</v>
      </c>
    </row>
    <row r="4213" spans="1:20" x14ac:dyDescent="0.3">
      <c r="A4213" t="s">
        <v>34</v>
      </c>
      <c r="B4213">
        <v>115</v>
      </c>
      <c r="C4213" t="s">
        <v>71</v>
      </c>
      <c r="D4213" t="s">
        <v>74</v>
      </c>
      <c r="E4213" t="s">
        <v>74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74</v>
      </c>
    </row>
    <row r="4214" spans="1:20" x14ac:dyDescent="0.3">
      <c r="A4214" t="s">
        <v>41</v>
      </c>
      <c r="B4214">
        <v>88</v>
      </c>
      <c r="C4214" t="s">
        <v>72</v>
      </c>
      <c r="D4214" t="s">
        <v>74</v>
      </c>
      <c r="E4214" t="s">
        <v>74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74</v>
      </c>
    </row>
    <row r="4215" spans="1:20" x14ac:dyDescent="0.3">
      <c r="A4215" t="s">
        <v>52</v>
      </c>
      <c r="B4215">
        <v>137</v>
      </c>
      <c r="C4215" t="s">
        <v>73</v>
      </c>
      <c r="D4215" t="s">
        <v>75</v>
      </c>
      <c r="E4215" t="s">
        <v>74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75</v>
      </c>
    </row>
    <row r="4216" spans="1:20" x14ac:dyDescent="0.3">
      <c r="A4216" t="s">
        <v>63</v>
      </c>
      <c r="B4216">
        <v>128</v>
      </c>
      <c r="C4216" t="s">
        <v>72</v>
      </c>
      <c r="D4216" t="s">
        <v>74</v>
      </c>
      <c r="E4216" t="s">
        <v>75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74</v>
      </c>
    </row>
    <row r="4217" spans="1:20" x14ac:dyDescent="0.3">
      <c r="A4217" t="s">
        <v>44</v>
      </c>
      <c r="B4217">
        <v>71</v>
      </c>
      <c r="C4217" t="s">
        <v>71</v>
      </c>
      <c r="D4217" t="s">
        <v>74</v>
      </c>
      <c r="E4217" t="s">
        <v>74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74</v>
      </c>
    </row>
    <row r="4218" spans="1:20" x14ac:dyDescent="0.3">
      <c r="A4218" t="s">
        <v>30</v>
      </c>
      <c r="B4218">
        <v>91</v>
      </c>
      <c r="C4218" t="s">
        <v>71</v>
      </c>
      <c r="D4218" t="s">
        <v>74</v>
      </c>
      <c r="E4218" t="s">
        <v>74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74</v>
      </c>
    </row>
    <row r="4219" spans="1:20" x14ac:dyDescent="0.3">
      <c r="A4219" t="s">
        <v>49</v>
      </c>
      <c r="B4219">
        <v>47</v>
      </c>
      <c r="C4219" t="s">
        <v>71</v>
      </c>
      <c r="D4219" t="s">
        <v>75</v>
      </c>
      <c r="E4219" t="s">
        <v>75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74</v>
      </c>
    </row>
    <row r="4220" spans="1:20" x14ac:dyDescent="0.3">
      <c r="A4220" t="s">
        <v>37</v>
      </c>
      <c r="B4220">
        <v>126</v>
      </c>
      <c r="C4220" t="s">
        <v>72</v>
      </c>
      <c r="D4220" t="s">
        <v>74</v>
      </c>
      <c r="E4220" t="s">
        <v>74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74</v>
      </c>
    </row>
    <row r="4221" spans="1:20" x14ac:dyDescent="0.3">
      <c r="A4221" t="s">
        <v>66</v>
      </c>
      <c r="B4221">
        <v>92</v>
      </c>
      <c r="C4221" t="s">
        <v>73</v>
      </c>
      <c r="D4221" t="s">
        <v>74</v>
      </c>
      <c r="E4221" t="s">
        <v>74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74</v>
      </c>
    </row>
    <row r="4222" spans="1:20" x14ac:dyDescent="0.3">
      <c r="A4222" t="s">
        <v>65</v>
      </c>
      <c r="B4222">
        <v>36</v>
      </c>
      <c r="C4222" t="s">
        <v>72</v>
      </c>
      <c r="D4222" t="s">
        <v>74</v>
      </c>
      <c r="E4222" t="s">
        <v>74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74</v>
      </c>
    </row>
    <row r="4223" spans="1:20" x14ac:dyDescent="0.3">
      <c r="A4223" t="s">
        <v>27</v>
      </c>
      <c r="B4223">
        <v>122</v>
      </c>
      <c r="C4223" t="s">
        <v>73</v>
      </c>
      <c r="D4223" t="s">
        <v>74</v>
      </c>
      <c r="E4223" t="s">
        <v>74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74</v>
      </c>
    </row>
    <row r="4224" spans="1:20" x14ac:dyDescent="0.3">
      <c r="A4224" t="s">
        <v>44</v>
      </c>
      <c r="B4224">
        <v>117</v>
      </c>
      <c r="C4224" t="s">
        <v>71</v>
      </c>
      <c r="D4224" t="s">
        <v>74</v>
      </c>
      <c r="E4224" t="s">
        <v>74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74</v>
      </c>
    </row>
    <row r="4225" spans="1:20" x14ac:dyDescent="0.3">
      <c r="A4225" t="s">
        <v>39</v>
      </c>
      <c r="B4225">
        <v>131</v>
      </c>
      <c r="C4225" t="s">
        <v>73</v>
      </c>
      <c r="D4225" t="s">
        <v>74</v>
      </c>
      <c r="E4225" t="s">
        <v>74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74</v>
      </c>
    </row>
    <row r="4226" spans="1:20" x14ac:dyDescent="0.3">
      <c r="A4226" t="s">
        <v>49</v>
      </c>
      <c r="B4226">
        <v>133</v>
      </c>
      <c r="C4226" t="s">
        <v>71</v>
      </c>
      <c r="D4226" t="s">
        <v>74</v>
      </c>
      <c r="E4226" t="s">
        <v>74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74</v>
      </c>
    </row>
    <row r="4227" spans="1:20" x14ac:dyDescent="0.3">
      <c r="A4227" t="s">
        <v>67</v>
      </c>
      <c r="B4227">
        <v>128</v>
      </c>
      <c r="C4227" t="s">
        <v>72</v>
      </c>
      <c r="D4227" t="s">
        <v>74</v>
      </c>
      <c r="E4227" t="s">
        <v>75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74</v>
      </c>
    </row>
    <row r="4228" spans="1:20" x14ac:dyDescent="0.3">
      <c r="A4228" t="s">
        <v>39</v>
      </c>
      <c r="B4228">
        <v>81</v>
      </c>
      <c r="C4228" t="s">
        <v>73</v>
      </c>
      <c r="D4228" t="s">
        <v>74</v>
      </c>
      <c r="E4228" t="s">
        <v>74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74</v>
      </c>
    </row>
    <row r="4229" spans="1:20" x14ac:dyDescent="0.3">
      <c r="A4229" t="s">
        <v>64</v>
      </c>
      <c r="B4229">
        <v>81</v>
      </c>
      <c r="C4229" t="s">
        <v>71</v>
      </c>
      <c r="D4229" t="s">
        <v>74</v>
      </c>
      <c r="E4229" t="s">
        <v>74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74</v>
      </c>
    </row>
    <row r="4230" spans="1:20" x14ac:dyDescent="0.3">
      <c r="A4230" t="s">
        <v>26</v>
      </c>
      <c r="B4230">
        <v>96</v>
      </c>
      <c r="C4230" t="s">
        <v>73</v>
      </c>
      <c r="D4230" t="s">
        <v>74</v>
      </c>
      <c r="E4230" t="s">
        <v>74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74</v>
      </c>
    </row>
    <row r="4231" spans="1:20" x14ac:dyDescent="0.3">
      <c r="A4231" t="s">
        <v>62</v>
      </c>
      <c r="B4231">
        <v>93</v>
      </c>
      <c r="C4231" t="s">
        <v>71</v>
      </c>
      <c r="D4231" t="s">
        <v>74</v>
      </c>
      <c r="E4231" t="s">
        <v>74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74</v>
      </c>
    </row>
    <row r="4232" spans="1:20" x14ac:dyDescent="0.3">
      <c r="A4232" t="s">
        <v>70</v>
      </c>
      <c r="B4232">
        <v>145</v>
      </c>
      <c r="C4232" t="s">
        <v>73</v>
      </c>
      <c r="D4232" t="s">
        <v>74</v>
      </c>
      <c r="E4232" t="s">
        <v>74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74</v>
      </c>
    </row>
    <row r="4233" spans="1:20" x14ac:dyDescent="0.3">
      <c r="A4233" t="s">
        <v>67</v>
      </c>
      <c r="B4233">
        <v>53</v>
      </c>
      <c r="C4233" t="s">
        <v>72</v>
      </c>
      <c r="D4233" t="s">
        <v>75</v>
      </c>
      <c r="E4233" t="s">
        <v>74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74</v>
      </c>
    </row>
    <row r="4234" spans="1:20" x14ac:dyDescent="0.3">
      <c r="A4234" t="s">
        <v>20</v>
      </c>
      <c r="B4234">
        <v>108</v>
      </c>
      <c r="C4234" t="s">
        <v>73</v>
      </c>
      <c r="D4234" t="s">
        <v>74</v>
      </c>
      <c r="E4234" t="s">
        <v>74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74</v>
      </c>
    </row>
    <row r="4235" spans="1:20" x14ac:dyDescent="0.3">
      <c r="A4235" t="s">
        <v>34</v>
      </c>
      <c r="B4235">
        <v>52</v>
      </c>
      <c r="C4235" t="s">
        <v>71</v>
      </c>
      <c r="D4235" t="s">
        <v>74</v>
      </c>
      <c r="E4235" t="s">
        <v>74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74</v>
      </c>
    </row>
    <row r="4236" spans="1:20" x14ac:dyDescent="0.3">
      <c r="A4236" t="s">
        <v>66</v>
      </c>
      <c r="B4236">
        <v>61</v>
      </c>
      <c r="C4236" t="s">
        <v>72</v>
      </c>
      <c r="D4236" t="s">
        <v>74</v>
      </c>
      <c r="E4236" t="s">
        <v>74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74</v>
      </c>
    </row>
    <row r="4237" spans="1:20" x14ac:dyDescent="0.3">
      <c r="A4237" t="s">
        <v>34</v>
      </c>
      <c r="B4237">
        <v>86</v>
      </c>
      <c r="C4237" t="s">
        <v>73</v>
      </c>
      <c r="D4237" t="s">
        <v>74</v>
      </c>
      <c r="E4237" t="s">
        <v>74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74</v>
      </c>
    </row>
    <row r="4238" spans="1:20" x14ac:dyDescent="0.3">
      <c r="A4238" t="s">
        <v>26</v>
      </c>
      <c r="B4238">
        <v>137</v>
      </c>
      <c r="C4238" t="s">
        <v>73</v>
      </c>
      <c r="D4238" t="s">
        <v>74</v>
      </c>
      <c r="E4238" t="s">
        <v>74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74</v>
      </c>
    </row>
    <row r="4239" spans="1:20" x14ac:dyDescent="0.3">
      <c r="A4239" t="s">
        <v>69</v>
      </c>
      <c r="B4239">
        <v>74</v>
      </c>
      <c r="C4239" t="s">
        <v>72</v>
      </c>
      <c r="D4239" t="s">
        <v>74</v>
      </c>
      <c r="E4239" t="s">
        <v>74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74</v>
      </c>
    </row>
    <row r="4240" spans="1:20" x14ac:dyDescent="0.3">
      <c r="A4240" t="s">
        <v>66</v>
      </c>
      <c r="B4240">
        <v>118</v>
      </c>
      <c r="C4240" t="s">
        <v>72</v>
      </c>
      <c r="D4240" t="s">
        <v>74</v>
      </c>
      <c r="E4240" t="s">
        <v>75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74</v>
      </c>
    </row>
    <row r="4241" spans="1:20" x14ac:dyDescent="0.3">
      <c r="A4241" t="s">
        <v>61</v>
      </c>
      <c r="B4241">
        <v>125</v>
      </c>
      <c r="C4241" t="s">
        <v>71</v>
      </c>
      <c r="D4241" t="s">
        <v>74</v>
      </c>
      <c r="E4241" t="s">
        <v>74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74</v>
      </c>
    </row>
    <row r="4242" spans="1:20" x14ac:dyDescent="0.3">
      <c r="A4242" t="s">
        <v>62</v>
      </c>
      <c r="B4242">
        <v>127</v>
      </c>
      <c r="C4242" t="s">
        <v>71</v>
      </c>
      <c r="D4242" t="s">
        <v>74</v>
      </c>
      <c r="E4242" t="s">
        <v>75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74</v>
      </c>
    </row>
    <row r="4243" spans="1:20" x14ac:dyDescent="0.3">
      <c r="A4243" t="s">
        <v>41</v>
      </c>
      <c r="B4243">
        <v>80</v>
      </c>
      <c r="C4243" t="s">
        <v>72</v>
      </c>
      <c r="D4243" t="s">
        <v>74</v>
      </c>
      <c r="E4243" t="s">
        <v>74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74</v>
      </c>
    </row>
    <row r="4244" spans="1:20" x14ac:dyDescent="0.3">
      <c r="A4244" t="s">
        <v>32</v>
      </c>
      <c r="B4244">
        <v>150</v>
      </c>
      <c r="C4244" t="s">
        <v>73</v>
      </c>
      <c r="D4244" t="s">
        <v>74</v>
      </c>
      <c r="E4244" t="s">
        <v>74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74</v>
      </c>
    </row>
    <row r="4245" spans="1:20" x14ac:dyDescent="0.3">
      <c r="A4245" t="s">
        <v>64</v>
      </c>
      <c r="B4245">
        <v>140</v>
      </c>
      <c r="C4245" t="s">
        <v>72</v>
      </c>
      <c r="D4245" t="s">
        <v>74</v>
      </c>
      <c r="E4245" t="s">
        <v>74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75</v>
      </c>
    </row>
    <row r="4246" spans="1:20" x14ac:dyDescent="0.3">
      <c r="A4246" t="s">
        <v>48</v>
      </c>
      <c r="B4246">
        <v>97</v>
      </c>
      <c r="C4246" t="s">
        <v>72</v>
      </c>
      <c r="D4246" t="s">
        <v>74</v>
      </c>
      <c r="E4246" t="s">
        <v>74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75</v>
      </c>
    </row>
    <row r="4247" spans="1:20" x14ac:dyDescent="0.3">
      <c r="A4247" t="s">
        <v>57</v>
      </c>
      <c r="B4247">
        <v>83</v>
      </c>
      <c r="C4247" t="s">
        <v>71</v>
      </c>
      <c r="D4247" t="s">
        <v>74</v>
      </c>
      <c r="E4247" t="s">
        <v>74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74</v>
      </c>
    </row>
    <row r="4248" spans="1:20" x14ac:dyDescent="0.3">
      <c r="A4248" t="s">
        <v>65</v>
      </c>
      <c r="B4248">
        <v>73</v>
      </c>
      <c r="C4248" t="s">
        <v>73</v>
      </c>
      <c r="D4248" t="s">
        <v>74</v>
      </c>
      <c r="E4248" t="s">
        <v>74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74</v>
      </c>
    </row>
    <row r="4249" spans="1:20" x14ac:dyDescent="0.3">
      <c r="A4249" t="s">
        <v>66</v>
      </c>
      <c r="B4249">
        <v>75</v>
      </c>
      <c r="C4249" t="s">
        <v>73</v>
      </c>
      <c r="D4249" t="s">
        <v>74</v>
      </c>
      <c r="E4249" t="s">
        <v>74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74</v>
      </c>
    </row>
    <row r="4250" spans="1:20" x14ac:dyDescent="0.3">
      <c r="A4250" t="s">
        <v>67</v>
      </c>
      <c r="B4250">
        <v>50</v>
      </c>
      <c r="C4250" t="s">
        <v>73</v>
      </c>
      <c r="D4250" t="s">
        <v>74</v>
      </c>
      <c r="E4250" t="s">
        <v>75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74</v>
      </c>
    </row>
    <row r="4251" spans="1:20" x14ac:dyDescent="0.3">
      <c r="A4251" t="s">
        <v>23</v>
      </c>
      <c r="B4251">
        <v>86</v>
      </c>
      <c r="C4251" t="s">
        <v>71</v>
      </c>
      <c r="D4251" t="s">
        <v>74</v>
      </c>
      <c r="E4251" t="s">
        <v>75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5" sqref="A5"/>
    </sheetView>
  </sheetViews>
  <sheetFormatPr defaultRowHeight="14.4" x14ac:dyDescent="0.3"/>
  <cols>
    <col min="1" max="1" width="30.33203125" bestFit="1" customWidth="1"/>
  </cols>
  <sheetData>
    <row r="1" spans="1:2" x14ac:dyDescent="0.3">
      <c r="A1" t="s">
        <v>78</v>
      </c>
      <c r="B1" t="s">
        <v>79</v>
      </c>
    </row>
    <row r="2" spans="1:2" x14ac:dyDescent="0.3">
      <c r="A2" t="s">
        <v>104</v>
      </c>
      <c r="B2">
        <f>ROWS(T2_data!B2:B4251)+ROWS(T1_data!C2:C751)</f>
        <v>5000</v>
      </c>
    </row>
    <row r="3" spans="1:2" x14ac:dyDescent="0.3">
      <c r="A3" t="s">
        <v>105</v>
      </c>
      <c r="B3">
        <f>COUNTIFS(T2_data!T2:T4251,"yes")</f>
        <v>598</v>
      </c>
    </row>
    <row r="4" spans="1:2" x14ac:dyDescent="0.3">
      <c r="A4" t="s">
        <v>106</v>
      </c>
      <c r="B4">
        <f>COUNTIFS(T2_data!T2:T4251,"no")</f>
        <v>3652</v>
      </c>
    </row>
    <row r="5" spans="1:2" x14ac:dyDescent="0.3">
      <c r="A5" t="s">
        <v>107</v>
      </c>
      <c r="B5" s="1">
        <f>B3/(B3+B4)</f>
        <v>0.14070588235294118</v>
      </c>
    </row>
  </sheetData>
  <conditionalFormatting sqref="B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10" sqref="B10"/>
    </sheetView>
  </sheetViews>
  <sheetFormatPr defaultRowHeight="14.4" x14ac:dyDescent="0.3"/>
  <cols>
    <col min="1" max="1" width="15.109375" bestFit="1" customWidth="1"/>
    <col min="2" max="2" width="19.109375" customWidth="1"/>
  </cols>
  <sheetData>
    <row r="1" spans="1:2" x14ac:dyDescent="0.3">
      <c r="A1" t="s">
        <v>80</v>
      </c>
      <c r="B1" t="s">
        <v>81</v>
      </c>
    </row>
    <row r="2" spans="1:2" x14ac:dyDescent="0.3">
      <c r="A2" t="s">
        <v>82</v>
      </c>
      <c r="B2" s="3">
        <f>AVERAGEIF(T2_data!T2:T4251,"no",T2_data!B2:B4251)</f>
        <v>99.924972617743705</v>
      </c>
    </row>
    <row r="3" spans="1:2" x14ac:dyDescent="0.3">
      <c r="A3" t="s">
        <v>83</v>
      </c>
      <c r="B3" s="3">
        <f>AVERAGEIF(T2_data!T2:T4251,"yes",T2_data!B2:B4251)</f>
        <v>102.13712374581939</v>
      </c>
    </row>
    <row r="7" spans="1:2" x14ac:dyDescent="0.3">
      <c r="B7" s="3"/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I14" sqref="I14"/>
    </sheetView>
  </sheetViews>
  <sheetFormatPr defaultRowHeight="14.4" x14ac:dyDescent="0.3"/>
  <cols>
    <col min="1" max="1" width="17.88671875" customWidth="1"/>
    <col min="2" max="2" width="22.21875" customWidth="1"/>
    <col min="3" max="3" width="10.109375" customWidth="1"/>
    <col min="4" max="4" width="12.21875" customWidth="1"/>
  </cols>
  <sheetData>
    <row r="1" spans="1:4" x14ac:dyDescent="0.3">
      <c r="A1" t="s">
        <v>84</v>
      </c>
      <c r="B1" t="s">
        <v>85</v>
      </c>
      <c r="C1" t="s">
        <v>86</v>
      </c>
      <c r="D1" t="s">
        <v>87</v>
      </c>
    </row>
    <row r="2" spans="1:4" x14ac:dyDescent="0.3">
      <c r="A2" t="s">
        <v>75</v>
      </c>
      <c r="B2">
        <f>COUNTIFS(T2_data!D2:D4251,"yes")</f>
        <v>396</v>
      </c>
      <c r="C2">
        <f>COUNTIFS(T2_data!D2:D4251,"yes",T2_data!T2:T4251,"yes")</f>
        <v>167</v>
      </c>
      <c r="D2" s="1">
        <f>IF(B2=0,0,C2/B2)</f>
        <v>0.42171717171717171</v>
      </c>
    </row>
    <row r="3" spans="1:4" x14ac:dyDescent="0.3">
      <c r="A3" t="s">
        <v>74</v>
      </c>
      <c r="B3">
        <f>COUNTIFS(T2_data!D2:D4251,"no")</f>
        <v>3854</v>
      </c>
      <c r="C3">
        <f>COUNTIFS(T2_data!D2:D4251,"no",T2_data!T2:T4251,"yes")</f>
        <v>431</v>
      </c>
      <c r="D3" s="1">
        <f>IF(B3=0,0,C3/B3)</f>
        <v>0.11183186299948106</v>
      </c>
    </row>
  </sheetData>
  <conditionalFormatting sqref="D2:D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ignoredErrors>
    <ignoredError sqref="C2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F22" sqref="F22"/>
    </sheetView>
  </sheetViews>
  <sheetFormatPr defaultRowHeight="14.4" x14ac:dyDescent="0.3"/>
  <cols>
    <col min="1" max="1" width="13.6640625" customWidth="1"/>
    <col min="2" max="2" width="24.6640625" customWidth="1"/>
  </cols>
  <sheetData>
    <row r="1" spans="1:2" x14ac:dyDescent="0.3">
      <c r="A1" t="s">
        <v>83</v>
      </c>
      <c r="B1" t="s">
        <v>88</v>
      </c>
    </row>
    <row r="2" spans="1:2" x14ac:dyDescent="0.3">
      <c r="A2" t="s">
        <v>89</v>
      </c>
      <c r="B2">
        <f>AVERAGEIF(T2_data!T2:T4251,"no",T2_data!S2:S4251)</f>
        <v>1.4416757940854326</v>
      </c>
    </row>
    <row r="3" spans="1:2" x14ac:dyDescent="0.3">
      <c r="A3" t="s">
        <v>90</v>
      </c>
      <c r="B3">
        <f>AVERAGEIF(T2_data!T2:T4251,"yes",T2_data!S2:S4251)</f>
        <v>2.2759197324414715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C16" sqref="C16"/>
    </sheetView>
  </sheetViews>
  <sheetFormatPr defaultRowHeight="14.4" x14ac:dyDescent="0.3"/>
  <cols>
    <col min="1" max="1" width="12.88671875" customWidth="1"/>
    <col min="2" max="2" width="28.44140625" customWidth="1"/>
    <col min="3" max="3" width="24.21875" customWidth="1"/>
  </cols>
  <sheetData>
    <row r="1" spans="1:3" x14ac:dyDescent="0.3">
      <c r="A1" t="s">
        <v>91</v>
      </c>
      <c r="B1" t="s">
        <v>92</v>
      </c>
      <c r="C1" t="s">
        <v>93</v>
      </c>
    </row>
    <row r="2" spans="1:3" x14ac:dyDescent="0.3">
      <c r="A2" t="s">
        <v>94</v>
      </c>
      <c r="B2">
        <f>AVERAGEIF(T2_data!T2:T4251,"no",T2_data!I2:I4251)</f>
        <v>29.844947973713168</v>
      </c>
      <c r="C2">
        <f>AVERAGEIF(T2_data!T2:T4251,"yes",T2_data!I2:I4251)</f>
        <v>35.528678929765867</v>
      </c>
    </row>
    <row r="3" spans="1:3" x14ac:dyDescent="0.3">
      <c r="A3" t="s">
        <v>95</v>
      </c>
      <c r="B3">
        <f>AVERAGEIF(T2_data!T2:T4251,"no",T2_data!L2:L4251)</f>
        <v>16.878743154435913</v>
      </c>
      <c r="C3">
        <f>AVERAGEIF(T2_data!T2:T4251,"yes",T2_data!L2:L4251)</f>
        <v>17.847207357859528</v>
      </c>
    </row>
    <row r="4" spans="1:3" x14ac:dyDescent="0.3">
      <c r="A4" t="s">
        <v>96</v>
      </c>
      <c r="B4">
        <f>AVERAGEIF(T2_data!T2:T4251,"no",T2_data!O2:O4251)</f>
        <v>8.9811308871851168</v>
      </c>
      <c r="C4">
        <f>AVERAGEIF(T2_data!T2:T4251,"yes",T2_data!O2:O4251)</f>
        <v>9.2850334448160474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selection activeCell="B2" sqref="B2:B3"/>
    </sheetView>
  </sheetViews>
  <sheetFormatPr defaultRowHeight="14.4" x14ac:dyDescent="0.3"/>
  <cols>
    <col min="1" max="1" width="13.6640625" customWidth="1"/>
    <col min="2" max="2" width="21.21875" customWidth="1"/>
  </cols>
  <sheetData>
    <row r="1" spans="1:2" x14ac:dyDescent="0.3">
      <c r="A1" t="s">
        <v>83</v>
      </c>
      <c r="B1" t="s">
        <v>97</v>
      </c>
    </row>
    <row r="2" spans="1:2" x14ac:dyDescent="0.3">
      <c r="A2" t="s">
        <v>89</v>
      </c>
      <c r="B2" s="4">
        <f>AVERAGEIF(T2_data!T2:T4251,"no",T2_data!G2:G4251)</f>
        <v>175.5550930996709</v>
      </c>
    </row>
    <row r="3" spans="1:2" x14ac:dyDescent="0.3">
      <c r="A3" t="s">
        <v>90</v>
      </c>
      <c r="B3" s="4">
        <f>AVERAGEIF(T2_data!T2:T4251,"yes",T2_data!G2:G4251)</f>
        <v>208.99013377926423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>
      <selection activeCell="I16" sqref="I16"/>
    </sheetView>
  </sheetViews>
  <sheetFormatPr defaultRowHeight="14.4" x14ac:dyDescent="0.3"/>
  <cols>
    <col min="1" max="1" width="15.6640625" customWidth="1"/>
    <col min="2" max="2" width="22.21875" customWidth="1"/>
    <col min="3" max="3" width="10.109375" customWidth="1"/>
    <col min="4" max="4" width="12.21875" customWidth="1"/>
  </cols>
  <sheetData>
    <row r="1" spans="1:4" x14ac:dyDescent="0.3">
      <c r="A1" t="s">
        <v>98</v>
      </c>
      <c r="B1" t="s">
        <v>85</v>
      </c>
      <c r="C1" t="s">
        <v>86</v>
      </c>
      <c r="D1" t="s">
        <v>87</v>
      </c>
    </row>
    <row r="2" spans="1:4" x14ac:dyDescent="0.3">
      <c r="A2" t="s">
        <v>75</v>
      </c>
      <c r="B2">
        <f>COUNTIFS(T2_data!E2:E4251,"yes")</f>
        <v>1112</v>
      </c>
      <c r="C2">
        <f>COUNTIFS(T2_data!E2:E4251,"yes",T2_data!T2:T4251,"yes")</f>
        <v>82</v>
      </c>
      <c r="D2" s="1">
        <f>IF(B2=0,0,C2/B2)</f>
        <v>7.3741007194244604E-2</v>
      </c>
    </row>
    <row r="3" spans="1:4" x14ac:dyDescent="0.3">
      <c r="A3" t="s">
        <v>74</v>
      </c>
      <c r="B3">
        <f>COUNTIFS(T2_data!E2:E4251,"no")</f>
        <v>3138</v>
      </c>
      <c r="C3">
        <f>COUNTIFS(T2_data!E2:E4251,"no",T2_data!T2:T4251,"yes")</f>
        <v>516</v>
      </c>
      <c r="D3" s="1">
        <f>IF(B3=0,0,C3/B3)</f>
        <v>0.16443594646271512</v>
      </c>
    </row>
  </sheetData>
  <conditionalFormatting sqref="D2:D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ignoredErrors>
    <ignoredError sqref="B2:C2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selection activeCell="I15" sqref="I15"/>
    </sheetView>
  </sheetViews>
  <sheetFormatPr defaultRowHeight="14.4" x14ac:dyDescent="0.3"/>
  <cols>
    <col min="1" max="1" width="13.6640625" customWidth="1"/>
    <col min="2" max="2" width="16.6640625" customWidth="1"/>
    <col min="3" max="3" width="16.44140625" customWidth="1"/>
  </cols>
  <sheetData>
    <row r="1" spans="1:3" x14ac:dyDescent="0.3">
      <c r="A1" t="s">
        <v>83</v>
      </c>
      <c r="B1" t="s">
        <v>99</v>
      </c>
      <c r="C1" t="s">
        <v>100</v>
      </c>
    </row>
    <row r="2" spans="1:3" x14ac:dyDescent="0.3">
      <c r="A2" t="s">
        <v>89</v>
      </c>
      <c r="B2" s="3">
        <f>AVERAGEIF(T2_data!T2:T4251,"no",T2_data!P2:P4251)</f>
        <v>10.194441401971536</v>
      </c>
      <c r="C2" s="3">
        <f>AVERAGEIF(T2_data!T2:T4251,"no",T2_data!R2:R4251)</f>
        <v>2.7530175246440205</v>
      </c>
    </row>
    <row r="3" spans="1:3" x14ac:dyDescent="0.3">
      <c r="A3" t="s">
        <v>90</v>
      </c>
      <c r="B3" s="3">
        <f>AVERAGEIF(T2_data!T2:T4251,"yes",T2_data!P2:P4251)</f>
        <v>10.632441471571916</v>
      </c>
      <c r="C3" s="3">
        <f>AVERAGEIF(T2_data!T2:T4251,"yes",T2_data!R2:R4251)</f>
        <v>2.8712541806020084</v>
      </c>
    </row>
  </sheetData>
  <pageMargins left="0.7" right="0.7" top="0.75" bottom="0.75" header="0.3" footer="0.3"/>
  <ignoredErrors>
    <ignoredError sqref="B2:C2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>
      <selection activeCell="B10" sqref="B10"/>
    </sheetView>
  </sheetViews>
  <sheetFormatPr defaultRowHeight="14.4" x14ac:dyDescent="0.3"/>
  <cols>
    <col min="1" max="1" width="29.6640625" bestFit="1" customWidth="1"/>
    <col min="2" max="2" width="13.33203125" customWidth="1"/>
  </cols>
  <sheetData>
    <row r="1" spans="1:2" x14ac:dyDescent="0.3">
      <c r="A1" t="s">
        <v>78</v>
      </c>
      <c r="B1" t="s">
        <v>101</v>
      </c>
    </row>
    <row r="2" spans="1:2" x14ac:dyDescent="0.3">
      <c r="A2" t="s">
        <v>102</v>
      </c>
      <c r="B2">
        <f>CORREL(T2_data!H2:H4251,--(T2_data!T2:T4251="yes"))</f>
        <v>1.1640422238906746E-2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tabSelected="1" workbookViewId="0">
      <selection activeCell="F12" sqref="F12"/>
    </sheetView>
  </sheetViews>
  <sheetFormatPr defaultRowHeight="14.4" x14ac:dyDescent="0.3"/>
  <cols>
    <col min="1" max="1" width="14" bestFit="1" customWidth="1"/>
    <col min="2" max="2" width="16.44140625" customWidth="1"/>
  </cols>
  <sheetData>
    <row r="1" spans="1:2" x14ac:dyDescent="0.3">
      <c r="A1" t="s">
        <v>83</v>
      </c>
      <c r="B1" t="s">
        <v>103</v>
      </c>
    </row>
    <row r="2" spans="1:2" x14ac:dyDescent="0.3">
      <c r="A2" t="s">
        <v>89</v>
      </c>
      <c r="B2" s="3">
        <f>AVERAGEIF(T2_data!T2:T4251,"no",T2_data!L2:L4251)</f>
        <v>16.878743154435913</v>
      </c>
    </row>
    <row r="3" spans="1:2" x14ac:dyDescent="0.3">
      <c r="A3" t="s">
        <v>90</v>
      </c>
      <c r="B3" s="3">
        <f>AVERAGEIF(T2_data!T2:T4251,"yes",T2_data!L2:L4251)</f>
        <v>17.847207357859528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51"/>
  <sheetViews>
    <sheetView workbookViewId="0"/>
  </sheetViews>
  <sheetFormatPr defaultRowHeight="14.4" x14ac:dyDescent="0.3"/>
  <sheetData>
    <row r="1" spans="1:2" x14ac:dyDescent="0.3">
      <c r="A1" s="2" t="s">
        <v>77</v>
      </c>
      <c r="B1" s="2" t="s">
        <v>76</v>
      </c>
    </row>
    <row r="2" spans="1:2" x14ac:dyDescent="0.3">
      <c r="A2">
        <v>1</v>
      </c>
      <c r="B2" t="s">
        <v>75</v>
      </c>
    </row>
    <row r="3" spans="1:2" x14ac:dyDescent="0.3">
      <c r="A3">
        <v>2</v>
      </c>
      <c r="B3" t="s">
        <v>74</v>
      </c>
    </row>
    <row r="4" spans="1:2" x14ac:dyDescent="0.3">
      <c r="A4">
        <v>3</v>
      </c>
      <c r="B4" t="s">
        <v>74</v>
      </c>
    </row>
    <row r="5" spans="1:2" x14ac:dyDescent="0.3">
      <c r="A5">
        <v>4</v>
      </c>
      <c r="B5" t="s">
        <v>75</v>
      </c>
    </row>
    <row r="6" spans="1:2" x14ac:dyDescent="0.3">
      <c r="A6">
        <v>5</v>
      </c>
      <c r="B6" t="s">
        <v>75</v>
      </c>
    </row>
    <row r="7" spans="1:2" x14ac:dyDescent="0.3">
      <c r="A7">
        <v>6</v>
      </c>
      <c r="B7" t="s">
        <v>74</v>
      </c>
    </row>
    <row r="8" spans="1:2" x14ac:dyDescent="0.3">
      <c r="A8">
        <v>7</v>
      </c>
      <c r="B8" t="s">
        <v>74</v>
      </c>
    </row>
    <row r="9" spans="1:2" x14ac:dyDescent="0.3">
      <c r="A9">
        <v>8</v>
      </c>
      <c r="B9" t="s">
        <v>74</v>
      </c>
    </row>
    <row r="10" spans="1:2" x14ac:dyDescent="0.3">
      <c r="A10">
        <v>9</v>
      </c>
      <c r="B10" t="s">
        <v>74</v>
      </c>
    </row>
    <row r="11" spans="1:2" x14ac:dyDescent="0.3">
      <c r="A11">
        <v>10</v>
      </c>
      <c r="B11" t="s">
        <v>75</v>
      </c>
    </row>
    <row r="12" spans="1:2" x14ac:dyDescent="0.3">
      <c r="A12">
        <v>11</v>
      </c>
      <c r="B12" t="s">
        <v>74</v>
      </c>
    </row>
    <row r="13" spans="1:2" x14ac:dyDescent="0.3">
      <c r="A13">
        <v>12</v>
      </c>
      <c r="B13" t="s">
        <v>74</v>
      </c>
    </row>
    <row r="14" spans="1:2" x14ac:dyDescent="0.3">
      <c r="A14">
        <v>13</v>
      </c>
      <c r="B14" t="s">
        <v>74</v>
      </c>
    </row>
    <row r="15" spans="1:2" x14ac:dyDescent="0.3">
      <c r="A15">
        <v>14</v>
      </c>
      <c r="B15" t="s">
        <v>74</v>
      </c>
    </row>
    <row r="16" spans="1:2" x14ac:dyDescent="0.3">
      <c r="A16">
        <v>15</v>
      </c>
      <c r="B16" t="s">
        <v>74</v>
      </c>
    </row>
    <row r="17" spans="1:2" x14ac:dyDescent="0.3">
      <c r="A17">
        <v>16</v>
      </c>
      <c r="B17" t="s">
        <v>74</v>
      </c>
    </row>
    <row r="18" spans="1:2" x14ac:dyDescent="0.3">
      <c r="A18">
        <v>17</v>
      </c>
      <c r="B18" t="s">
        <v>75</v>
      </c>
    </row>
    <row r="19" spans="1:2" x14ac:dyDescent="0.3">
      <c r="A19">
        <v>18</v>
      </c>
      <c r="B19" t="s">
        <v>74</v>
      </c>
    </row>
    <row r="20" spans="1:2" x14ac:dyDescent="0.3">
      <c r="A20">
        <v>19</v>
      </c>
      <c r="B20" t="s">
        <v>75</v>
      </c>
    </row>
    <row r="21" spans="1:2" x14ac:dyDescent="0.3">
      <c r="A21">
        <v>20</v>
      </c>
      <c r="B21" t="s">
        <v>74</v>
      </c>
    </row>
    <row r="22" spans="1:2" x14ac:dyDescent="0.3">
      <c r="A22">
        <v>21</v>
      </c>
      <c r="B22" t="s">
        <v>74</v>
      </c>
    </row>
    <row r="23" spans="1:2" x14ac:dyDescent="0.3">
      <c r="A23">
        <v>22</v>
      </c>
      <c r="B23" t="s">
        <v>74</v>
      </c>
    </row>
    <row r="24" spans="1:2" x14ac:dyDescent="0.3">
      <c r="A24">
        <v>23</v>
      </c>
      <c r="B24" t="s">
        <v>75</v>
      </c>
    </row>
    <row r="25" spans="1:2" x14ac:dyDescent="0.3">
      <c r="A25">
        <v>24</v>
      </c>
      <c r="B25" t="s">
        <v>74</v>
      </c>
    </row>
    <row r="26" spans="1:2" x14ac:dyDescent="0.3">
      <c r="A26">
        <v>25</v>
      </c>
      <c r="B26" t="s">
        <v>74</v>
      </c>
    </row>
    <row r="27" spans="1:2" x14ac:dyDescent="0.3">
      <c r="A27">
        <v>26</v>
      </c>
      <c r="B27" t="s">
        <v>74</v>
      </c>
    </row>
    <row r="28" spans="1:2" x14ac:dyDescent="0.3">
      <c r="A28">
        <v>27</v>
      </c>
      <c r="B28" t="s">
        <v>75</v>
      </c>
    </row>
    <row r="29" spans="1:2" x14ac:dyDescent="0.3">
      <c r="A29">
        <v>28</v>
      </c>
      <c r="B29" t="s">
        <v>75</v>
      </c>
    </row>
    <row r="30" spans="1:2" x14ac:dyDescent="0.3">
      <c r="A30">
        <v>29</v>
      </c>
      <c r="B30" t="s">
        <v>74</v>
      </c>
    </row>
    <row r="31" spans="1:2" x14ac:dyDescent="0.3">
      <c r="A31">
        <v>30</v>
      </c>
      <c r="B31" t="s">
        <v>74</v>
      </c>
    </row>
    <row r="32" spans="1:2" x14ac:dyDescent="0.3">
      <c r="A32">
        <v>31</v>
      </c>
      <c r="B32" t="s">
        <v>74</v>
      </c>
    </row>
    <row r="33" spans="1:2" x14ac:dyDescent="0.3">
      <c r="A33">
        <v>32</v>
      </c>
      <c r="B33" t="s">
        <v>74</v>
      </c>
    </row>
    <row r="34" spans="1:2" x14ac:dyDescent="0.3">
      <c r="A34">
        <v>33</v>
      </c>
      <c r="B34" t="s">
        <v>74</v>
      </c>
    </row>
    <row r="35" spans="1:2" x14ac:dyDescent="0.3">
      <c r="A35">
        <v>34</v>
      </c>
      <c r="B35" t="s">
        <v>75</v>
      </c>
    </row>
    <row r="36" spans="1:2" x14ac:dyDescent="0.3">
      <c r="A36">
        <v>35</v>
      </c>
      <c r="B36" t="s">
        <v>74</v>
      </c>
    </row>
    <row r="37" spans="1:2" x14ac:dyDescent="0.3">
      <c r="A37">
        <v>36</v>
      </c>
      <c r="B37" t="s">
        <v>75</v>
      </c>
    </row>
    <row r="38" spans="1:2" x14ac:dyDescent="0.3">
      <c r="A38">
        <v>37</v>
      </c>
      <c r="B38" t="s">
        <v>75</v>
      </c>
    </row>
    <row r="39" spans="1:2" x14ac:dyDescent="0.3">
      <c r="A39">
        <v>38</v>
      </c>
      <c r="B39" t="s">
        <v>75</v>
      </c>
    </row>
    <row r="40" spans="1:2" x14ac:dyDescent="0.3">
      <c r="A40">
        <v>39</v>
      </c>
      <c r="B40" t="s">
        <v>75</v>
      </c>
    </row>
    <row r="41" spans="1:2" x14ac:dyDescent="0.3">
      <c r="A41">
        <v>40</v>
      </c>
      <c r="B41" t="s">
        <v>75</v>
      </c>
    </row>
    <row r="42" spans="1:2" x14ac:dyDescent="0.3">
      <c r="A42">
        <v>41</v>
      </c>
      <c r="B42" t="s">
        <v>74</v>
      </c>
    </row>
    <row r="43" spans="1:2" x14ac:dyDescent="0.3">
      <c r="A43">
        <v>42</v>
      </c>
      <c r="B43" t="s">
        <v>75</v>
      </c>
    </row>
    <row r="44" spans="1:2" x14ac:dyDescent="0.3">
      <c r="A44">
        <v>43</v>
      </c>
      <c r="B44" t="s">
        <v>74</v>
      </c>
    </row>
    <row r="45" spans="1:2" x14ac:dyDescent="0.3">
      <c r="A45">
        <v>44</v>
      </c>
      <c r="B45" t="s">
        <v>74</v>
      </c>
    </row>
    <row r="46" spans="1:2" x14ac:dyDescent="0.3">
      <c r="A46">
        <v>45</v>
      </c>
      <c r="B46" t="s">
        <v>74</v>
      </c>
    </row>
    <row r="47" spans="1:2" x14ac:dyDescent="0.3">
      <c r="A47">
        <v>46</v>
      </c>
      <c r="B47" t="s">
        <v>75</v>
      </c>
    </row>
    <row r="48" spans="1:2" x14ac:dyDescent="0.3">
      <c r="A48">
        <v>47</v>
      </c>
      <c r="B48" t="s">
        <v>74</v>
      </c>
    </row>
    <row r="49" spans="1:2" x14ac:dyDescent="0.3">
      <c r="A49">
        <v>48</v>
      </c>
      <c r="B49" t="s">
        <v>74</v>
      </c>
    </row>
    <row r="50" spans="1:2" x14ac:dyDescent="0.3">
      <c r="A50">
        <v>49</v>
      </c>
      <c r="B50" t="s">
        <v>74</v>
      </c>
    </row>
    <row r="51" spans="1:2" x14ac:dyDescent="0.3">
      <c r="A51">
        <v>50</v>
      </c>
      <c r="B51" t="s">
        <v>75</v>
      </c>
    </row>
    <row r="52" spans="1:2" x14ac:dyDescent="0.3">
      <c r="A52">
        <v>51</v>
      </c>
      <c r="B52" t="s">
        <v>74</v>
      </c>
    </row>
    <row r="53" spans="1:2" x14ac:dyDescent="0.3">
      <c r="A53">
        <v>52</v>
      </c>
      <c r="B53" t="s">
        <v>74</v>
      </c>
    </row>
    <row r="54" spans="1:2" x14ac:dyDescent="0.3">
      <c r="A54">
        <v>53</v>
      </c>
      <c r="B54" t="s">
        <v>74</v>
      </c>
    </row>
    <row r="55" spans="1:2" x14ac:dyDescent="0.3">
      <c r="A55">
        <v>54</v>
      </c>
      <c r="B55" t="s">
        <v>74</v>
      </c>
    </row>
    <row r="56" spans="1:2" x14ac:dyDescent="0.3">
      <c r="A56">
        <v>55</v>
      </c>
      <c r="B56" t="s">
        <v>74</v>
      </c>
    </row>
    <row r="57" spans="1:2" x14ac:dyDescent="0.3">
      <c r="A57">
        <v>56</v>
      </c>
      <c r="B57" t="s">
        <v>74</v>
      </c>
    </row>
    <row r="58" spans="1:2" x14ac:dyDescent="0.3">
      <c r="A58">
        <v>57</v>
      </c>
      <c r="B58" t="s">
        <v>75</v>
      </c>
    </row>
    <row r="59" spans="1:2" x14ac:dyDescent="0.3">
      <c r="A59">
        <v>58</v>
      </c>
      <c r="B59" t="s">
        <v>74</v>
      </c>
    </row>
    <row r="60" spans="1:2" x14ac:dyDescent="0.3">
      <c r="A60">
        <v>59</v>
      </c>
      <c r="B60" t="s">
        <v>74</v>
      </c>
    </row>
    <row r="61" spans="1:2" x14ac:dyDescent="0.3">
      <c r="A61">
        <v>60</v>
      </c>
      <c r="B61" t="s">
        <v>74</v>
      </c>
    </row>
    <row r="62" spans="1:2" x14ac:dyDescent="0.3">
      <c r="A62">
        <v>61</v>
      </c>
      <c r="B62" t="s">
        <v>74</v>
      </c>
    </row>
    <row r="63" spans="1:2" x14ac:dyDescent="0.3">
      <c r="A63">
        <v>62</v>
      </c>
      <c r="B63" t="s">
        <v>75</v>
      </c>
    </row>
    <row r="64" spans="1:2" x14ac:dyDescent="0.3">
      <c r="A64">
        <v>63</v>
      </c>
      <c r="B64" t="s">
        <v>75</v>
      </c>
    </row>
    <row r="65" spans="1:2" x14ac:dyDescent="0.3">
      <c r="A65">
        <v>64</v>
      </c>
      <c r="B65" t="s">
        <v>75</v>
      </c>
    </row>
    <row r="66" spans="1:2" x14ac:dyDescent="0.3">
      <c r="A66">
        <v>65</v>
      </c>
      <c r="B66" t="s">
        <v>74</v>
      </c>
    </row>
    <row r="67" spans="1:2" x14ac:dyDescent="0.3">
      <c r="A67">
        <v>66</v>
      </c>
      <c r="B67" t="s">
        <v>75</v>
      </c>
    </row>
    <row r="68" spans="1:2" x14ac:dyDescent="0.3">
      <c r="A68">
        <v>67</v>
      </c>
      <c r="B68" t="s">
        <v>74</v>
      </c>
    </row>
    <row r="69" spans="1:2" x14ac:dyDescent="0.3">
      <c r="A69">
        <v>68</v>
      </c>
      <c r="B69" t="s">
        <v>74</v>
      </c>
    </row>
    <row r="70" spans="1:2" x14ac:dyDescent="0.3">
      <c r="A70">
        <v>69</v>
      </c>
      <c r="B70" t="s">
        <v>75</v>
      </c>
    </row>
    <row r="71" spans="1:2" x14ac:dyDescent="0.3">
      <c r="A71">
        <v>70</v>
      </c>
      <c r="B71" t="s">
        <v>74</v>
      </c>
    </row>
    <row r="72" spans="1:2" x14ac:dyDescent="0.3">
      <c r="A72">
        <v>71</v>
      </c>
      <c r="B72" t="s">
        <v>74</v>
      </c>
    </row>
    <row r="73" spans="1:2" x14ac:dyDescent="0.3">
      <c r="A73">
        <v>72</v>
      </c>
      <c r="B73" t="s">
        <v>75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74</v>
      </c>
    </row>
    <row r="77" spans="1:2" x14ac:dyDescent="0.3">
      <c r="A77">
        <v>76</v>
      </c>
      <c r="B77" t="s">
        <v>74</v>
      </c>
    </row>
    <row r="78" spans="1:2" x14ac:dyDescent="0.3">
      <c r="A78">
        <v>77</v>
      </c>
      <c r="B78" t="s">
        <v>74</v>
      </c>
    </row>
    <row r="79" spans="1:2" x14ac:dyDescent="0.3">
      <c r="A79">
        <v>78</v>
      </c>
      <c r="B79" t="s">
        <v>74</v>
      </c>
    </row>
    <row r="80" spans="1:2" x14ac:dyDescent="0.3">
      <c r="A80">
        <v>79</v>
      </c>
      <c r="B80" t="s">
        <v>75</v>
      </c>
    </row>
    <row r="81" spans="1:2" x14ac:dyDescent="0.3">
      <c r="A81">
        <v>80</v>
      </c>
      <c r="B81" t="s">
        <v>75</v>
      </c>
    </row>
    <row r="82" spans="1:2" x14ac:dyDescent="0.3">
      <c r="A82">
        <v>81</v>
      </c>
      <c r="B82" t="s">
        <v>74</v>
      </c>
    </row>
    <row r="83" spans="1:2" x14ac:dyDescent="0.3">
      <c r="A83">
        <v>82</v>
      </c>
      <c r="B83" t="s">
        <v>74</v>
      </c>
    </row>
    <row r="84" spans="1:2" x14ac:dyDescent="0.3">
      <c r="A84">
        <v>83</v>
      </c>
      <c r="B84" t="s">
        <v>75</v>
      </c>
    </row>
    <row r="85" spans="1:2" x14ac:dyDescent="0.3">
      <c r="A85">
        <v>84</v>
      </c>
      <c r="B85" t="s">
        <v>75</v>
      </c>
    </row>
    <row r="86" spans="1:2" x14ac:dyDescent="0.3">
      <c r="A86">
        <v>85</v>
      </c>
      <c r="B86" t="s">
        <v>75</v>
      </c>
    </row>
    <row r="87" spans="1:2" x14ac:dyDescent="0.3">
      <c r="A87">
        <v>86</v>
      </c>
      <c r="B87" t="s">
        <v>74</v>
      </c>
    </row>
    <row r="88" spans="1:2" x14ac:dyDescent="0.3">
      <c r="A88">
        <v>87</v>
      </c>
      <c r="B88" t="s">
        <v>75</v>
      </c>
    </row>
    <row r="89" spans="1:2" x14ac:dyDescent="0.3">
      <c r="A89">
        <v>88</v>
      </c>
      <c r="B89" t="s">
        <v>74</v>
      </c>
    </row>
    <row r="90" spans="1:2" x14ac:dyDescent="0.3">
      <c r="A90">
        <v>89</v>
      </c>
      <c r="B90" t="s">
        <v>74</v>
      </c>
    </row>
    <row r="91" spans="1:2" x14ac:dyDescent="0.3">
      <c r="A91">
        <v>90</v>
      </c>
      <c r="B91" t="s">
        <v>74</v>
      </c>
    </row>
    <row r="92" spans="1:2" x14ac:dyDescent="0.3">
      <c r="A92">
        <v>91</v>
      </c>
      <c r="B92" t="s">
        <v>75</v>
      </c>
    </row>
    <row r="93" spans="1:2" x14ac:dyDescent="0.3">
      <c r="A93">
        <v>92</v>
      </c>
      <c r="B93" t="s">
        <v>74</v>
      </c>
    </row>
    <row r="94" spans="1:2" x14ac:dyDescent="0.3">
      <c r="A94">
        <v>93</v>
      </c>
      <c r="B94" t="s">
        <v>75</v>
      </c>
    </row>
    <row r="95" spans="1:2" x14ac:dyDescent="0.3">
      <c r="A95">
        <v>94</v>
      </c>
      <c r="B95" t="s">
        <v>74</v>
      </c>
    </row>
    <row r="96" spans="1:2" x14ac:dyDescent="0.3">
      <c r="A96">
        <v>95</v>
      </c>
      <c r="B96" t="s">
        <v>75</v>
      </c>
    </row>
    <row r="97" spans="1:2" x14ac:dyDescent="0.3">
      <c r="A97">
        <v>96</v>
      </c>
      <c r="B97" t="s">
        <v>74</v>
      </c>
    </row>
    <row r="98" spans="1:2" x14ac:dyDescent="0.3">
      <c r="A98">
        <v>97</v>
      </c>
      <c r="B98" t="s">
        <v>75</v>
      </c>
    </row>
    <row r="99" spans="1:2" x14ac:dyDescent="0.3">
      <c r="A99">
        <v>98</v>
      </c>
      <c r="B99" t="s">
        <v>75</v>
      </c>
    </row>
    <row r="100" spans="1:2" x14ac:dyDescent="0.3">
      <c r="A100">
        <v>99</v>
      </c>
      <c r="B100" t="s">
        <v>75</v>
      </c>
    </row>
    <row r="101" spans="1:2" x14ac:dyDescent="0.3">
      <c r="A101">
        <v>100</v>
      </c>
      <c r="B101" t="s">
        <v>74</v>
      </c>
    </row>
    <row r="102" spans="1:2" x14ac:dyDescent="0.3">
      <c r="A102">
        <v>101</v>
      </c>
      <c r="B102" t="s">
        <v>74</v>
      </c>
    </row>
    <row r="103" spans="1:2" x14ac:dyDescent="0.3">
      <c r="A103">
        <v>102</v>
      </c>
      <c r="B103" t="s">
        <v>75</v>
      </c>
    </row>
    <row r="104" spans="1:2" x14ac:dyDescent="0.3">
      <c r="A104">
        <v>103</v>
      </c>
      <c r="B104" t="s">
        <v>75</v>
      </c>
    </row>
    <row r="105" spans="1:2" x14ac:dyDescent="0.3">
      <c r="A105">
        <v>104</v>
      </c>
      <c r="B105" t="s">
        <v>74</v>
      </c>
    </row>
    <row r="106" spans="1:2" x14ac:dyDescent="0.3">
      <c r="A106">
        <v>105</v>
      </c>
      <c r="B106" t="s">
        <v>75</v>
      </c>
    </row>
    <row r="107" spans="1:2" x14ac:dyDescent="0.3">
      <c r="A107">
        <v>106</v>
      </c>
      <c r="B107" t="s">
        <v>74</v>
      </c>
    </row>
    <row r="108" spans="1:2" x14ac:dyDescent="0.3">
      <c r="A108">
        <v>107</v>
      </c>
      <c r="B108" t="s">
        <v>75</v>
      </c>
    </row>
    <row r="109" spans="1:2" x14ac:dyDescent="0.3">
      <c r="A109">
        <v>108</v>
      </c>
      <c r="B109" t="s">
        <v>74</v>
      </c>
    </row>
    <row r="110" spans="1:2" x14ac:dyDescent="0.3">
      <c r="A110">
        <v>109</v>
      </c>
      <c r="B110" t="s">
        <v>75</v>
      </c>
    </row>
    <row r="111" spans="1:2" x14ac:dyDescent="0.3">
      <c r="A111">
        <v>110</v>
      </c>
      <c r="B111" t="s">
        <v>74</v>
      </c>
    </row>
    <row r="112" spans="1:2" x14ac:dyDescent="0.3">
      <c r="A112">
        <v>111</v>
      </c>
      <c r="B112" t="s">
        <v>74</v>
      </c>
    </row>
    <row r="113" spans="1:2" x14ac:dyDescent="0.3">
      <c r="A113">
        <v>112</v>
      </c>
      <c r="B113" t="s">
        <v>74</v>
      </c>
    </row>
    <row r="114" spans="1:2" x14ac:dyDescent="0.3">
      <c r="A114">
        <v>113</v>
      </c>
      <c r="B114" t="s">
        <v>74</v>
      </c>
    </row>
    <row r="115" spans="1:2" x14ac:dyDescent="0.3">
      <c r="A115">
        <v>114</v>
      </c>
      <c r="B115" t="s">
        <v>75</v>
      </c>
    </row>
    <row r="116" spans="1:2" x14ac:dyDescent="0.3">
      <c r="A116">
        <v>115</v>
      </c>
      <c r="B116" t="s">
        <v>74</v>
      </c>
    </row>
    <row r="117" spans="1:2" x14ac:dyDescent="0.3">
      <c r="A117">
        <v>116</v>
      </c>
      <c r="B117" t="s">
        <v>74</v>
      </c>
    </row>
    <row r="118" spans="1:2" x14ac:dyDescent="0.3">
      <c r="A118">
        <v>117</v>
      </c>
      <c r="B118" t="s">
        <v>74</v>
      </c>
    </row>
    <row r="119" spans="1:2" x14ac:dyDescent="0.3">
      <c r="A119">
        <v>118</v>
      </c>
      <c r="B119" t="s">
        <v>74</v>
      </c>
    </row>
    <row r="120" spans="1:2" x14ac:dyDescent="0.3">
      <c r="A120">
        <v>119</v>
      </c>
      <c r="B120" t="s">
        <v>75</v>
      </c>
    </row>
    <row r="121" spans="1:2" x14ac:dyDescent="0.3">
      <c r="A121">
        <v>120</v>
      </c>
      <c r="B121" t="s">
        <v>74</v>
      </c>
    </row>
    <row r="122" spans="1:2" x14ac:dyDescent="0.3">
      <c r="A122">
        <v>121</v>
      </c>
      <c r="B122" t="s">
        <v>75</v>
      </c>
    </row>
    <row r="123" spans="1:2" x14ac:dyDescent="0.3">
      <c r="A123">
        <v>122</v>
      </c>
      <c r="B123" t="s">
        <v>74</v>
      </c>
    </row>
    <row r="124" spans="1:2" x14ac:dyDescent="0.3">
      <c r="A124">
        <v>123</v>
      </c>
      <c r="B124" t="s">
        <v>74</v>
      </c>
    </row>
    <row r="125" spans="1:2" x14ac:dyDescent="0.3">
      <c r="A125">
        <v>124</v>
      </c>
      <c r="B125" t="s">
        <v>74</v>
      </c>
    </row>
    <row r="126" spans="1:2" x14ac:dyDescent="0.3">
      <c r="A126">
        <v>125</v>
      </c>
      <c r="B126" t="s">
        <v>74</v>
      </c>
    </row>
    <row r="127" spans="1:2" x14ac:dyDescent="0.3">
      <c r="A127">
        <v>126</v>
      </c>
      <c r="B127" t="s">
        <v>75</v>
      </c>
    </row>
    <row r="128" spans="1:2" x14ac:dyDescent="0.3">
      <c r="A128">
        <v>127</v>
      </c>
      <c r="B128" t="s">
        <v>74</v>
      </c>
    </row>
    <row r="129" spans="1:2" x14ac:dyDescent="0.3">
      <c r="A129">
        <v>128</v>
      </c>
      <c r="B129" t="s">
        <v>74</v>
      </c>
    </row>
    <row r="130" spans="1:2" x14ac:dyDescent="0.3">
      <c r="A130">
        <v>129</v>
      </c>
      <c r="B130" t="s">
        <v>74</v>
      </c>
    </row>
    <row r="131" spans="1:2" x14ac:dyDescent="0.3">
      <c r="A131">
        <v>130</v>
      </c>
      <c r="B131" t="s">
        <v>75</v>
      </c>
    </row>
    <row r="132" spans="1:2" x14ac:dyDescent="0.3">
      <c r="A132">
        <v>131</v>
      </c>
      <c r="B132" t="s">
        <v>75</v>
      </c>
    </row>
    <row r="133" spans="1:2" x14ac:dyDescent="0.3">
      <c r="A133">
        <v>132</v>
      </c>
      <c r="B133" t="s">
        <v>74</v>
      </c>
    </row>
    <row r="134" spans="1:2" x14ac:dyDescent="0.3">
      <c r="A134">
        <v>133</v>
      </c>
      <c r="B134" t="s">
        <v>75</v>
      </c>
    </row>
    <row r="135" spans="1:2" x14ac:dyDescent="0.3">
      <c r="A135">
        <v>134</v>
      </c>
      <c r="B135" t="s">
        <v>75</v>
      </c>
    </row>
    <row r="136" spans="1:2" x14ac:dyDescent="0.3">
      <c r="A136">
        <v>135</v>
      </c>
      <c r="B136" t="s">
        <v>74</v>
      </c>
    </row>
    <row r="137" spans="1:2" x14ac:dyDescent="0.3">
      <c r="A137">
        <v>136</v>
      </c>
      <c r="B137" t="s">
        <v>74</v>
      </c>
    </row>
    <row r="138" spans="1:2" x14ac:dyDescent="0.3">
      <c r="A138">
        <v>137</v>
      </c>
      <c r="B138" t="s">
        <v>74</v>
      </c>
    </row>
    <row r="139" spans="1:2" x14ac:dyDescent="0.3">
      <c r="A139">
        <v>138</v>
      </c>
      <c r="B139" t="s">
        <v>75</v>
      </c>
    </row>
    <row r="140" spans="1:2" x14ac:dyDescent="0.3">
      <c r="A140">
        <v>139</v>
      </c>
      <c r="B140" t="s">
        <v>74</v>
      </c>
    </row>
    <row r="141" spans="1:2" x14ac:dyDescent="0.3">
      <c r="A141">
        <v>140</v>
      </c>
      <c r="B141" t="s">
        <v>74</v>
      </c>
    </row>
    <row r="142" spans="1:2" x14ac:dyDescent="0.3">
      <c r="A142">
        <v>141</v>
      </c>
      <c r="B142" t="s">
        <v>74</v>
      </c>
    </row>
    <row r="143" spans="1:2" x14ac:dyDescent="0.3">
      <c r="A143">
        <v>142</v>
      </c>
      <c r="B143" t="s">
        <v>75</v>
      </c>
    </row>
    <row r="144" spans="1:2" x14ac:dyDescent="0.3">
      <c r="A144">
        <v>143</v>
      </c>
      <c r="B144" t="s">
        <v>74</v>
      </c>
    </row>
    <row r="145" spans="1:2" x14ac:dyDescent="0.3">
      <c r="A145">
        <v>144</v>
      </c>
      <c r="B145" t="s">
        <v>74</v>
      </c>
    </row>
    <row r="146" spans="1:2" x14ac:dyDescent="0.3">
      <c r="A146">
        <v>145</v>
      </c>
      <c r="B146" t="s">
        <v>74</v>
      </c>
    </row>
    <row r="147" spans="1:2" x14ac:dyDescent="0.3">
      <c r="A147">
        <v>146</v>
      </c>
      <c r="B147" t="s">
        <v>75</v>
      </c>
    </row>
    <row r="148" spans="1:2" x14ac:dyDescent="0.3">
      <c r="A148">
        <v>147</v>
      </c>
      <c r="B148" t="s">
        <v>74</v>
      </c>
    </row>
    <row r="149" spans="1:2" x14ac:dyDescent="0.3">
      <c r="A149">
        <v>148</v>
      </c>
      <c r="B149" t="s">
        <v>74</v>
      </c>
    </row>
    <row r="150" spans="1:2" x14ac:dyDescent="0.3">
      <c r="A150">
        <v>149</v>
      </c>
      <c r="B150" t="s">
        <v>74</v>
      </c>
    </row>
    <row r="151" spans="1:2" x14ac:dyDescent="0.3">
      <c r="A151">
        <v>150</v>
      </c>
      <c r="B151" t="s">
        <v>74</v>
      </c>
    </row>
    <row r="152" spans="1:2" x14ac:dyDescent="0.3">
      <c r="A152">
        <v>151</v>
      </c>
      <c r="B152" t="s">
        <v>75</v>
      </c>
    </row>
    <row r="153" spans="1:2" x14ac:dyDescent="0.3">
      <c r="A153">
        <v>152</v>
      </c>
      <c r="B153" t="s">
        <v>74</v>
      </c>
    </row>
    <row r="154" spans="1:2" x14ac:dyDescent="0.3">
      <c r="A154">
        <v>153</v>
      </c>
      <c r="B154" t="s">
        <v>75</v>
      </c>
    </row>
    <row r="155" spans="1:2" x14ac:dyDescent="0.3">
      <c r="A155">
        <v>154</v>
      </c>
      <c r="B155" t="s">
        <v>74</v>
      </c>
    </row>
    <row r="156" spans="1:2" x14ac:dyDescent="0.3">
      <c r="A156">
        <v>155</v>
      </c>
      <c r="B156" t="s">
        <v>74</v>
      </c>
    </row>
    <row r="157" spans="1:2" x14ac:dyDescent="0.3">
      <c r="A157">
        <v>156</v>
      </c>
      <c r="B157" t="s">
        <v>74</v>
      </c>
    </row>
    <row r="158" spans="1:2" x14ac:dyDescent="0.3">
      <c r="A158">
        <v>157</v>
      </c>
      <c r="B158" t="s">
        <v>75</v>
      </c>
    </row>
    <row r="159" spans="1:2" x14ac:dyDescent="0.3">
      <c r="A159">
        <v>158</v>
      </c>
      <c r="B159" t="s">
        <v>75</v>
      </c>
    </row>
    <row r="160" spans="1:2" x14ac:dyDescent="0.3">
      <c r="A160">
        <v>159</v>
      </c>
      <c r="B160" t="s">
        <v>74</v>
      </c>
    </row>
    <row r="161" spans="1:2" x14ac:dyDescent="0.3">
      <c r="A161">
        <v>160</v>
      </c>
      <c r="B161" t="s">
        <v>74</v>
      </c>
    </row>
    <row r="162" spans="1:2" x14ac:dyDescent="0.3">
      <c r="A162">
        <v>161</v>
      </c>
      <c r="B162" t="s">
        <v>74</v>
      </c>
    </row>
    <row r="163" spans="1:2" x14ac:dyDescent="0.3">
      <c r="A163">
        <v>162</v>
      </c>
      <c r="B163" t="s">
        <v>75</v>
      </c>
    </row>
    <row r="164" spans="1:2" x14ac:dyDescent="0.3">
      <c r="A164">
        <v>163</v>
      </c>
      <c r="B164" t="s">
        <v>74</v>
      </c>
    </row>
    <row r="165" spans="1:2" x14ac:dyDescent="0.3">
      <c r="A165">
        <v>164</v>
      </c>
      <c r="B165" t="s">
        <v>74</v>
      </c>
    </row>
    <row r="166" spans="1:2" x14ac:dyDescent="0.3">
      <c r="A166">
        <v>165</v>
      </c>
      <c r="B166" t="s">
        <v>75</v>
      </c>
    </row>
    <row r="167" spans="1:2" x14ac:dyDescent="0.3">
      <c r="A167">
        <v>166</v>
      </c>
      <c r="B167" t="s">
        <v>75</v>
      </c>
    </row>
    <row r="168" spans="1:2" x14ac:dyDescent="0.3">
      <c r="A168">
        <v>167</v>
      </c>
      <c r="B168" t="s">
        <v>74</v>
      </c>
    </row>
    <row r="169" spans="1:2" x14ac:dyDescent="0.3">
      <c r="A169">
        <v>168</v>
      </c>
      <c r="B169" t="s">
        <v>75</v>
      </c>
    </row>
    <row r="170" spans="1:2" x14ac:dyDescent="0.3">
      <c r="A170">
        <v>169</v>
      </c>
      <c r="B170" t="s">
        <v>75</v>
      </c>
    </row>
    <row r="171" spans="1:2" x14ac:dyDescent="0.3">
      <c r="A171">
        <v>170</v>
      </c>
      <c r="B171" t="s">
        <v>75</v>
      </c>
    </row>
    <row r="172" spans="1:2" x14ac:dyDescent="0.3">
      <c r="A172">
        <v>171</v>
      </c>
      <c r="B172" t="s">
        <v>74</v>
      </c>
    </row>
    <row r="173" spans="1:2" x14ac:dyDescent="0.3">
      <c r="A173">
        <v>172</v>
      </c>
      <c r="B173" t="s">
        <v>74</v>
      </c>
    </row>
    <row r="174" spans="1:2" x14ac:dyDescent="0.3">
      <c r="A174">
        <v>173</v>
      </c>
      <c r="B174" t="s">
        <v>74</v>
      </c>
    </row>
    <row r="175" spans="1:2" x14ac:dyDescent="0.3">
      <c r="A175">
        <v>174</v>
      </c>
      <c r="B175" t="s">
        <v>74</v>
      </c>
    </row>
    <row r="176" spans="1:2" x14ac:dyDescent="0.3">
      <c r="A176">
        <v>175</v>
      </c>
      <c r="B176" t="s">
        <v>75</v>
      </c>
    </row>
    <row r="177" spans="1:2" x14ac:dyDescent="0.3">
      <c r="A177">
        <v>176</v>
      </c>
      <c r="B177" t="s">
        <v>75</v>
      </c>
    </row>
    <row r="178" spans="1:2" x14ac:dyDescent="0.3">
      <c r="A178">
        <v>177</v>
      </c>
      <c r="B178" t="s">
        <v>74</v>
      </c>
    </row>
    <row r="179" spans="1:2" x14ac:dyDescent="0.3">
      <c r="A179">
        <v>178</v>
      </c>
      <c r="B179" t="s">
        <v>74</v>
      </c>
    </row>
    <row r="180" spans="1:2" x14ac:dyDescent="0.3">
      <c r="A180">
        <v>179</v>
      </c>
      <c r="B180" t="s">
        <v>75</v>
      </c>
    </row>
    <row r="181" spans="1:2" x14ac:dyDescent="0.3">
      <c r="A181">
        <v>180</v>
      </c>
      <c r="B181" t="s">
        <v>74</v>
      </c>
    </row>
    <row r="182" spans="1:2" x14ac:dyDescent="0.3">
      <c r="A182">
        <v>181</v>
      </c>
      <c r="B182" t="s">
        <v>75</v>
      </c>
    </row>
    <row r="183" spans="1:2" x14ac:dyDescent="0.3">
      <c r="A183">
        <v>182</v>
      </c>
      <c r="B183" t="s">
        <v>74</v>
      </c>
    </row>
    <row r="184" spans="1:2" x14ac:dyDescent="0.3">
      <c r="A184">
        <v>183</v>
      </c>
      <c r="B184" t="s">
        <v>74</v>
      </c>
    </row>
    <row r="185" spans="1:2" x14ac:dyDescent="0.3">
      <c r="A185">
        <v>184</v>
      </c>
      <c r="B185" t="s">
        <v>74</v>
      </c>
    </row>
    <row r="186" spans="1:2" x14ac:dyDescent="0.3">
      <c r="A186">
        <v>185</v>
      </c>
      <c r="B186" t="s">
        <v>75</v>
      </c>
    </row>
    <row r="187" spans="1:2" x14ac:dyDescent="0.3">
      <c r="A187">
        <v>186</v>
      </c>
      <c r="B187" t="s">
        <v>75</v>
      </c>
    </row>
    <row r="188" spans="1:2" x14ac:dyDescent="0.3">
      <c r="A188">
        <v>187</v>
      </c>
      <c r="B188" t="s">
        <v>75</v>
      </c>
    </row>
    <row r="189" spans="1:2" x14ac:dyDescent="0.3">
      <c r="A189">
        <v>188</v>
      </c>
      <c r="B189" t="s">
        <v>74</v>
      </c>
    </row>
    <row r="190" spans="1:2" x14ac:dyDescent="0.3">
      <c r="A190">
        <v>189</v>
      </c>
      <c r="B190" t="s">
        <v>74</v>
      </c>
    </row>
    <row r="191" spans="1:2" x14ac:dyDescent="0.3">
      <c r="A191">
        <v>190</v>
      </c>
      <c r="B191" t="s">
        <v>74</v>
      </c>
    </row>
    <row r="192" spans="1:2" x14ac:dyDescent="0.3">
      <c r="A192">
        <v>191</v>
      </c>
      <c r="B192" t="s">
        <v>74</v>
      </c>
    </row>
    <row r="193" spans="1:2" x14ac:dyDescent="0.3">
      <c r="A193">
        <v>192</v>
      </c>
      <c r="B193" t="s">
        <v>74</v>
      </c>
    </row>
    <row r="194" spans="1:2" x14ac:dyDescent="0.3">
      <c r="A194">
        <v>193</v>
      </c>
      <c r="B194" t="s">
        <v>74</v>
      </c>
    </row>
    <row r="195" spans="1:2" x14ac:dyDescent="0.3">
      <c r="A195">
        <v>194</v>
      </c>
      <c r="B195" t="s">
        <v>75</v>
      </c>
    </row>
    <row r="196" spans="1:2" x14ac:dyDescent="0.3">
      <c r="A196">
        <v>195</v>
      </c>
      <c r="B196" t="s">
        <v>74</v>
      </c>
    </row>
    <row r="197" spans="1:2" x14ac:dyDescent="0.3">
      <c r="A197">
        <v>196</v>
      </c>
      <c r="B197" t="s">
        <v>74</v>
      </c>
    </row>
    <row r="198" spans="1:2" x14ac:dyDescent="0.3">
      <c r="A198">
        <v>197</v>
      </c>
      <c r="B198" t="s">
        <v>75</v>
      </c>
    </row>
    <row r="199" spans="1:2" x14ac:dyDescent="0.3">
      <c r="A199">
        <v>198</v>
      </c>
      <c r="B199" t="s">
        <v>74</v>
      </c>
    </row>
    <row r="200" spans="1:2" x14ac:dyDescent="0.3">
      <c r="A200">
        <v>199</v>
      </c>
      <c r="B200" t="s">
        <v>74</v>
      </c>
    </row>
    <row r="201" spans="1:2" x14ac:dyDescent="0.3">
      <c r="A201">
        <v>200</v>
      </c>
      <c r="B201" t="s">
        <v>74</v>
      </c>
    </row>
    <row r="202" spans="1:2" x14ac:dyDescent="0.3">
      <c r="A202">
        <v>201</v>
      </c>
      <c r="B202" t="s">
        <v>74</v>
      </c>
    </row>
    <row r="203" spans="1:2" x14ac:dyDescent="0.3">
      <c r="A203">
        <v>202</v>
      </c>
      <c r="B203" t="s">
        <v>75</v>
      </c>
    </row>
    <row r="204" spans="1:2" x14ac:dyDescent="0.3">
      <c r="A204">
        <v>203</v>
      </c>
      <c r="B204" t="s">
        <v>75</v>
      </c>
    </row>
    <row r="205" spans="1:2" x14ac:dyDescent="0.3">
      <c r="A205">
        <v>204</v>
      </c>
      <c r="B205" t="s">
        <v>75</v>
      </c>
    </row>
    <row r="206" spans="1:2" x14ac:dyDescent="0.3">
      <c r="A206">
        <v>205</v>
      </c>
      <c r="B206" t="s">
        <v>75</v>
      </c>
    </row>
    <row r="207" spans="1:2" x14ac:dyDescent="0.3">
      <c r="A207">
        <v>206</v>
      </c>
      <c r="B207" t="s">
        <v>75</v>
      </c>
    </row>
    <row r="208" spans="1:2" x14ac:dyDescent="0.3">
      <c r="A208">
        <v>207</v>
      </c>
      <c r="B208" t="s">
        <v>74</v>
      </c>
    </row>
    <row r="209" spans="1:2" x14ac:dyDescent="0.3">
      <c r="A209">
        <v>208</v>
      </c>
      <c r="B209" t="s">
        <v>75</v>
      </c>
    </row>
    <row r="210" spans="1:2" x14ac:dyDescent="0.3">
      <c r="A210">
        <v>209</v>
      </c>
      <c r="B210" t="s">
        <v>74</v>
      </c>
    </row>
    <row r="211" spans="1:2" x14ac:dyDescent="0.3">
      <c r="A211">
        <v>210</v>
      </c>
      <c r="B211" t="s">
        <v>74</v>
      </c>
    </row>
    <row r="212" spans="1:2" x14ac:dyDescent="0.3">
      <c r="A212">
        <v>211</v>
      </c>
      <c r="B212" t="s">
        <v>75</v>
      </c>
    </row>
    <row r="213" spans="1:2" x14ac:dyDescent="0.3">
      <c r="A213">
        <v>212</v>
      </c>
      <c r="B213" t="s">
        <v>74</v>
      </c>
    </row>
    <row r="214" spans="1:2" x14ac:dyDescent="0.3">
      <c r="A214">
        <v>213</v>
      </c>
      <c r="B214" t="s">
        <v>74</v>
      </c>
    </row>
    <row r="215" spans="1:2" x14ac:dyDescent="0.3">
      <c r="A215">
        <v>214</v>
      </c>
      <c r="B215" t="s">
        <v>75</v>
      </c>
    </row>
    <row r="216" spans="1:2" x14ac:dyDescent="0.3">
      <c r="A216">
        <v>215</v>
      </c>
      <c r="B216" t="s">
        <v>75</v>
      </c>
    </row>
    <row r="217" spans="1:2" x14ac:dyDescent="0.3">
      <c r="A217">
        <v>216</v>
      </c>
      <c r="B217" t="s">
        <v>74</v>
      </c>
    </row>
    <row r="218" spans="1:2" x14ac:dyDescent="0.3">
      <c r="A218">
        <v>217</v>
      </c>
      <c r="B218" t="s">
        <v>74</v>
      </c>
    </row>
    <row r="219" spans="1:2" x14ac:dyDescent="0.3">
      <c r="A219">
        <v>218</v>
      </c>
      <c r="B219" t="s">
        <v>74</v>
      </c>
    </row>
    <row r="220" spans="1:2" x14ac:dyDescent="0.3">
      <c r="A220">
        <v>219</v>
      </c>
      <c r="B220" t="s">
        <v>75</v>
      </c>
    </row>
    <row r="221" spans="1:2" x14ac:dyDescent="0.3">
      <c r="A221">
        <v>220</v>
      </c>
      <c r="B221" t="s">
        <v>75</v>
      </c>
    </row>
    <row r="222" spans="1:2" x14ac:dyDescent="0.3">
      <c r="A222">
        <v>221</v>
      </c>
      <c r="B222" t="s">
        <v>74</v>
      </c>
    </row>
    <row r="223" spans="1:2" x14ac:dyDescent="0.3">
      <c r="A223">
        <v>222</v>
      </c>
      <c r="B223" t="s">
        <v>74</v>
      </c>
    </row>
    <row r="224" spans="1:2" x14ac:dyDescent="0.3">
      <c r="A224">
        <v>223</v>
      </c>
      <c r="B224" t="s">
        <v>74</v>
      </c>
    </row>
    <row r="225" spans="1:2" x14ac:dyDescent="0.3">
      <c r="A225">
        <v>224</v>
      </c>
      <c r="B225" t="s">
        <v>74</v>
      </c>
    </row>
    <row r="226" spans="1:2" x14ac:dyDescent="0.3">
      <c r="A226">
        <v>225</v>
      </c>
      <c r="B226" t="s">
        <v>74</v>
      </c>
    </row>
    <row r="227" spans="1:2" x14ac:dyDescent="0.3">
      <c r="A227">
        <v>226</v>
      </c>
      <c r="B227" t="s">
        <v>74</v>
      </c>
    </row>
    <row r="228" spans="1:2" x14ac:dyDescent="0.3">
      <c r="A228">
        <v>227</v>
      </c>
      <c r="B228" t="s">
        <v>74</v>
      </c>
    </row>
    <row r="229" spans="1:2" x14ac:dyDescent="0.3">
      <c r="A229">
        <v>228</v>
      </c>
      <c r="B229" t="s">
        <v>74</v>
      </c>
    </row>
    <row r="230" spans="1:2" x14ac:dyDescent="0.3">
      <c r="A230">
        <v>229</v>
      </c>
      <c r="B230" t="s">
        <v>75</v>
      </c>
    </row>
    <row r="231" spans="1:2" x14ac:dyDescent="0.3">
      <c r="A231">
        <v>230</v>
      </c>
      <c r="B231" t="s">
        <v>75</v>
      </c>
    </row>
    <row r="232" spans="1:2" x14ac:dyDescent="0.3">
      <c r="A232">
        <v>231</v>
      </c>
      <c r="B232" t="s">
        <v>74</v>
      </c>
    </row>
    <row r="233" spans="1:2" x14ac:dyDescent="0.3">
      <c r="A233">
        <v>232</v>
      </c>
      <c r="B233" t="s">
        <v>74</v>
      </c>
    </row>
    <row r="234" spans="1:2" x14ac:dyDescent="0.3">
      <c r="A234">
        <v>233</v>
      </c>
      <c r="B234" t="s">
        <v>74</v>
      </c>
    </row>
    <row r="235" spans="1:2" x14ac:dyDescent="0.3">
      <c r="A235">
        <v>234</v>
      </c>
      <c r="B235" t="s">
        <v>74</v>
      </c>
    </row>
    <row r="236" spans="1:2" x14ac:dyDescent="0.3">
      <c r="A236">
        <v>235</v>
      </c>
      <c r="B236" t="s">
        <v>74</v>
      </c>
    </row>
    <row r="237" spans="1:2" x14ac:dyDescent="0.3">
      <c r="A237">
        <v>236</v>
      </c>
      <c r="B237" t="s">
        <v>74</v>
      </c>
    </row>
    <row r="238" spans="1:2" x14ac:dyDescent="0.3">
      <c r="A238">
        <v>237</v>
      </c>
      <c r="B238" t="s">
        <v>75</v>
      </c>
    </row>
    <row r="239" spans="1:2" x14ac:dyDescent="0.3">
      <c r="A239">
        <v>238</v>
      </c>
      <c r="B239" t="s">
        <v>74</v>
      </c>
    </row>
    <row r="240" spans="1:2" x14ac:dyDescent="0.3">
      <c r="A240">
        <v>239</v>
      </c>
      <c r="B240" t="s">
        <v>74</v>
      </c>
    </row>
    <row r="241" spans="1:2" x14ac:dyDescent="0.3">
      <c r="A241">
        <v>240</v>
      </c>
      <c r="B241" t="s">
        <v>74</v>
      </c>
    </row>
    <row r="242" spans="1:2" x14ac:dyDescent="0.3">
      <c r="A242">
        <v>241</v>
      </c>
      <c r="B242" t="s">
        <v>74</v>
      </c>
    </row>
    <row r="243" spans="1:2" x14ac:dyDescent="0.3">
      <c r="A243">
        <v>242</v>
      </c>
      <c r="B243" t="s">
        <v>74</v>
      </c>
    </row>
    <row r="244" spans="1:2" x14ac:dyDescent="0.3">
      <c r="A244">
        <v>243</v>
      </c>
      <c r="B244" t="s">
        <v>75</v>
      </c>
    </row>
    <row r="245" spans="1:2" x14ac:dyDescent="0.3">
      <c r="A245">
        <v>244</v>
      </c>
      <c r="B245" t="s">
        <v>74</v>
      </c>
    </row>
    <row r="246" spans="1:2" x14ac:dyDescent="0.3">
      <c r="A246">
        <v>245</v>
      </c>
      <c r="B246" t="s">
        <v>74</v>
      </c>
    </row>
    <row r="247" spans="1:2" x14ac:dyDescent="0.3">
      <c r="A247">
        <v>246</v>
      </c>
      <c r="B247" t="s">
        <v>74</v>
      </c>
    </row>
    <row r="248" spans="1:2" x14ac:dyDescent="0.3">
      <c r="A248">
        <v>247</v>
      </c>
      <c r="B248" t="s">
        <v>74</v>
      </c>
    </row>
    <row r="249" spans="1:2" x14ac:dyDescent="0.3">
      <c r="A249">
        <v>248</v>
      </c>
      <c r="B249" t="s">
        <v>74</v>
      </c>
    </row>
    <row r="250" spans="1:2" x14ac:dyDescent="0.3">
      <c r="A250">
        <v>249</v>
      </c>
      <c r="B250" t="s">
        <v>74</v>
      </c>
    </row>
    <row r="251" spans="1:2" x14ac:dyDescent="0.3">
      <c r="A251">
        <v>250</v>
      </c>
      <c r="B251" t="s">
        <v>74</v>
      </c>
    </row>
    <row r="252" spans="1:2" x14ac:dyDescent="0.3">
      <c r="A252">
        <v>251</v>
      </c>
      <c r="B252" t="s">
        <v>74</v>
      </c>
    </row>
    <row r="253" spans="1:2" x14ac:dyDescent="0.3">
      <c r="A253">
        <v>252</v>
      </c>
      <c r="B253" t="s">
        <v>74</v>
      </c>
    </row>
    <row r="254" spans="1:2" x14ac:dyDescent="0.3">
      <c r="A254">
        <v>253</v>
      </c>
      <c r="B254" t="s">
        <v>74</v>
      </c>
    </row>
    <row r="255" spans="1:2" x14ac:dyDescent="0.3">
      <c r="A255">
        <v>254</v>
      </c>
      <c r="B255" t="s">
        <v>74</v>
      </c>
    </row>
    <row r="256" spans="1:2" x14ac:dyDescent="0.3">
      <c r="A256">
        <v>255</v>
      </c>
      <c r="B256" t="s">
        <v>75</v>
      </c>
    </row>
    <row r="257" spans="1:2" x14ac:dyDescent="0.3">
      <c r="A257">
        <v>256</v>
      </c>
      <c r="B257" t="s">
        <v>75</v>
      </c>
    </row>
    <row r="258" spans="1:2" x14ac:dyDescent="0.3">
      <c r="A258">
        <v>257</v>
      </c>
      <c r="B258" t="s">
        <v>75</v>
      </c>
    </row>
    <row r="259" spans="1:2" x14ac:dyDescent="0.3">
      <c r="A259">
        <v>258</v>
      </c>
      <c r="B259" t="s">
        <v>75</v>
      </c>
    </row>
    <row r="260" spans="1:2" x14ac:dyDescent="0.3">
      <c r="A260">
        <v>259</v>
      </c>
      <c r="B260" t="s">
        <v>75</v>
      </c>
    </row>
    <row r="261" spans="1:2" x14ac:dyDescent="0.3">
      <c r="A261">
        <v>260</v>
      </c>
      <c r="B261" t="s">
        <v>74</v>
      </c>
    </row>
    <row r="262" spans="1:2" x14ac:dyDescent="0.3">
      <c r="A262">
        <v>261</v>
      </c>
      <c r="B262" t="s">
        <v>75</v>
      </c>
    </row>
    <row r="263" spans="1:2" x14ac:dyDescent="0.3">
      <c r="A263">
        <v>262</v>
      </c>
      <c r="B263" t="s">
        <v>74</v>
      </c>
    </row>
    <row r="264" spans="1:2" x14ac:dyDescent="0.3">
      <c r="A264">
        <v>263</v>
      </c>
      <c r="B264" t="s">
        <v>74</v>
      </c>
    </row>
    <row r="265" spans="1:2" x14ac:dyDescent="0.3">
      <c r="A265">
        <v>264</v>
      </c>
      <c r="B265" t="s">
        <v>74</v>
      </c>
    </row>
    <row r="266" spans="1:2" x14ac:dyDescent="0.3">
      <c r="A266">
        <v>265</v>
      </c>
      <c r="B266" t="s">
        <v>74</v>
      </c>
    </row>
    <row r="267" spans="1:2" x14ac:dyDescent="0.3">
      <c r="A267">
        <v>266</v>
      </c>
      <c r="B267" t="s">
        <v>74</v>
      </c>
    </row>
    <row r="268" spans="1:2" x14ac:dyDescent="0.3">
      <c r="A268">
        <v>267</v>
      </c>
      <c r="B268" t="s">
        <v>74</v>
      </c>
    </row>
    <row r="269" spans="1:2" x14ac:dyDescent="0.3">
      <c r="A269">
        <v>268</v>
      </c>
      <c r="B269" t="s">
        <v>75</v>
      </c>
    </row>
    <row r="270" spans="1:2" x14ac:dyDescent="0.3">
      <c r="A270">
        <v>269</v>
      </c>
      <c r="B270" t="s">
        <v>74</v>
      </c>
    </row>
    <row r="271" spans="1:2" x14ac:dyDescent="0.3">
      <c r="A271">
        <v>270</v>
      </c>
      <c r="B271" t="s">
        <v>75</v>
      </c>
    </row>
    <row r="272" spans="1:2" x14ac:dyDescent="0.3">
      <c r="A272">
        <v>271</v>
      </c>
      <c r="B272" t="s">
        <v>75</v>
      </c>
    </row>
    <row r="273" spans="1:2" x14ac:dyDescent="0.3">
      <c r="A273">
        <v>272</v>
      </c>
      <c r="B273" t="s">
        <v>74</v>
      </c>
    </row>
    <row r="274" spans="1:2" x14ac:dyDescent="0.3">
      <c r="A274">
        <v>273</v>
      </c>
      <c r="B274" t="s">
        <v>75</v>
      </c>
    </row>
    <row r="275" spans="1:2" x14ac:dyDescent="0.3">
      <c r="A275">
        <v>274</v>
      </c>
      <c r="B275" t="s">
        <v>74</v>
      </c>
    </row>
    <row r="276" spans="1:2" x14ac:dyDescent="0.3">
      <c r="A276">
        <v>275</v>
      </c>
      <c r="B276" t="s">
        <v>75</v>
      </c>
    </row>
    <row r="277" spans="1:2" x14ac:dyDescent="0.3">
      <c r="A277">
        <v>276</v>
      </c>
      <c r="B277" t="s">
        <v>74</v>
      </c>
    </row>
    <row r="278" spans="1:2" x14ac:dyDescent="0.3">
      <c r="A278">
        <v>277</v>
      </c>
      <c r="B278" t="s">
        <v>75</v>
      </c>
    </row>
    <row r="279" spans="1:2" x14ac:dyDescent="0.3">
      <c r="A279">
        <v>278</v>
      </c>
      <c r="B279" t="s">
        <v>75</v>
      </c>
    </row>
    <row r="280" spans="1:2" x14ac:dyDescent="0.3">
      <c r="A280">
        <v>279</v>
      </c>
      <c r="B280" t="s">
        <v>74</v>
      </c>
    </row>
    <row r="281" spans="1:2" x14ac:dyDescent="0.3">
      <c r="A281">
        <v>280</v>
      </c>
      <c r="B281" t="s">
        <v>74</v>
      </c>
    </row>
    <row r="282" spans="1:2" x14ac:dyDescent="0.3">
      <c r="A282">
        <v>281</v>
      </c>
      <c r="B282" t="s">
        <v>75</v>
      </c>
    </row>
    <row r="283" spans="1:2" x14ac:dyDescent="0.3">
      <c r="A283">
        <v>282</v>
      </c>
      <c r="B283" t="s">
        <v>74</v>
      </c>
    </row>
    <row r="284" spans="1:2" x14ac:dyDescent="0.3">
      <c r="A284">
        <v>283</v>
      </c>
      <c r="B284" t="s">
        <v>74</v>
      </c>
    </row>
    <row r="285" spans="1:2" x14ac:dyDescent="0.3">
      <c r="A285">
        <v>284</v>
      </c>
      <c r="B285" t="s">
        <v>74</v>
      </c>
    </row>
    <row r="286" spans="1:2" x14ac:dyDescent="0.3">
      <c r="A286">
        <v>285</v>
      </c>
      <c r="B286" t="s">
        <v>74</v>
      </c>
    </row>
    <row r="287" spans="1:2" x14ac:dyDescent="0.3">
      <c r="A287">
        <v>286</v>
      </c>
      <c r="B287" t="s">
        <v>74</v>
      </c>
    </row>
    <row r="288" spans="1:2" x14ac:dyDescent="0.3">
      <c r="A288">
        <v>287</v>
      </c>
      <c r="B288" t="s">
        <v>74</v>
      </c>
    </row>
    <row r="289" spans="1:2" x14ac:dyDescent="0.3">
      <c r="A289">
        <v>288</v>
      </c>
      <c r="B289" t="s">
        <v>75</v>
      </c>
    </row>
    <row r="290" spans="1:2" x14ac:dyDescent="0.3">
      <c r="A290">
        <v>289</v>
      </c>
      <c r="B290" t="s">
        <v>75</v>
      </c>
    </row>
    <row r="291" spans="1:2" x14ac:dyDescent="0.3">
      <c r="A291">
        <v>290</v>
      </c>
      <c r="B291" t="s">
        <v>74</v>
      </c>
    </row>
    <row r="292" spans="1:2" x14ac:dyDescent="0.3">
      <c r="A292">
        <v>291</v>
      </c>
      <c r="B292" t="s">
        <v>74</v>
      </c>
    </row>
    <row r="293" spans="1:2" x14ac:dyDescent="0.3">
      <c r="A293">
        <v>292</v>
      </c>
      <c r="B293" t="s">
        <v>74</v>
      </c>
    </row>
    <row r="294" spans="1:2" x14ac:dyDescent="0.3">
      <c r="A294">
        <v>293</v>
      </c>
      <c r="B294" t="s">
        <v>75</v>
      </c>
    </row>
    <row r="295" spans="1:2" x14ac:dyDescent="0.3">
      <c r="A295">
        <v>294</v>
      </c>
      <c r="B295" t="s">
        <v>74</v>
      </c>
    </row>
    <row r="296" spans="1:2" x14ac:dyDescent="0.3">
      <c r="A296">
        <v>295</v>
      </c>
      <c r="B296" t="s">
        <v>75</v>
      </c>
    </row>
    <row r="297" spans="1:2" x14ac:dyDescent="0.3">
      <c r="A297">
        <v>296</v>
      </c>
      <c r="B297" t="s">
        <v>75</v>
      </c>
    </row>
    <row r="298" spans="1:2" x14ac:dyDescent="0.3">
      <c r="A298">
        <v>297</v>
      </c>
      <c r="B298" t="s">
        <v>74</v>
      </c>
    </row>
    <row r="299" spans="1:2" x14ac:dyDescent="0.3">
      <c r="A299">
        <v>298</v>
      </c>
      <c r="B299" t="s">
        <v>75</v>
      </c>
    </row>
    <row r="300" spans="1:2" x14ac:dyDescent="0.3">
      <c r="A300">
        <v>299</v>
      </c>
      <c r="B300" t="s">
        <v>74</v>
      </c>
    </row>
    <row r="301" spans="1:2" x14ac:dyDescent="0.3">
      <c r="A301">
        <v>300</v>
      </c>
      <c r="B301" t="s">
        <v>74</v>
      </c>
    </row>
    <row r="302" spans="1:2" x14ac:dyDescent="0.3">
      <c r="A302">
        <v>301</v>
      </c>
      <c r="B302" t="s">
        <v>75</v>
      </c>
    </row>
    <row r="303" spans="1:2" x14ac:dyDescent="0.3">
      <c r="A303">
        <v>302</v>
      </c>
      <c r="B303" t="s">
        <v>74</v>
      </c>
    </row>
    <row r="304" spans="1:2" x14ac:dyDescent="0.3">
      <c r="A304">
        <v>303</v>
      </c>
      <c r="B304" t="s">
        <v>74</v>
      </c>
    </row>
    <row r="305" spans="1:2" x14ac:dyDescent="0.3">
      <c r="A305">
        <v>304</v>
      </c>
      <c r="B305" t="s">
        <v>74</v>
      </c>
    </row>
    <row r="306" spans="1:2" x14ac:dyDescent="0.3">
      <c r="A306">
        <v>305</v>
      </c>
      <c r="B306" t="s">
        <v>74</v>
      </c>
    </row>
    <row r="307" spans="1:2" x14ac:dyDescent="0.3">
      <c r="A307">
        <v>306</v>
      </c>
      <c r="B307" t="s">
        <v>74</v>
      </c>
    </row>
    <row r="308" spans="1:2" x14ac:dyDescent="0.3">
      <c r="A308">
        <v>307</v>
      </c>
      <c r="B308" t="s">
        <v>75</v>
      </c>
    </row>
    <row r="309" spans="1:2" x14ac:dyDescent="0.3">
      <c r="A309">
        <v>308</v>
      </c>
      <c r="B309" t="s">
        <v>74</v>
      </c>
    </row>
    <row r="310" spans="1:2" x14ac:dyDescent="0.3">
      <c r="A310">
        <v>309</v>
      </c>
      <c r="B310" t="s">
        <v>74</v>
      </c>
    </row>
    <row r="311" spans="1:2" x14ac:dyDescent="0.3">
      <c r="A311">
        <v>310</v>
      </c>
      <c r="B311" t="s">
        <v>75</v>
      </c>
    </row>
    <row r="312" spans="1:2" x14ac:dyDescent="0.3">
      <c r="A312">
        <v>311</v>
      </c>
      <c r="B312" t="s">
        <v>74</v>
      </c>
    </row>
    <row r="313" spans="1:2" x14ac:dyDescent="0.3">
      <c r="A313">
        <v>312</v>
      </c>
      <c r="B313" t="s">
        <v>75</v>
      </c>
    </row>
    <row r="314" spans="1:2" x14ac:dyDescent="0.3">
      <c r="A314">
        <v>313</v>
      </c>
      <c r="B314" t="s">
        <v>75</v>
      </c>
    </row>
    <row r="315" spans="1:2" x14ac:dyDescent="0.3">
      <c r="A315">
        <v>314</v>
      </c>
      <c r="B315" t="s">
        <v>75</v>
      </c>
    </row>
    <row r="316" spans="1:2" x14ac:dyDescent="0.3">
      <c r="A316">
        <v>315</v>
      </c>
      <c r="B316" t="s">
        <v>74</v>
      </c>
    </row>
    <row r="317" spans="1:2" x14ac:dyDescent="0.3">
      <c r="A317">
        <v>316</v>
      </c>
      <c r="B317" t="s">
        <v>74</v>
      </c>
    </row>
    <row r="318" spans="1:2" x14ac:dyDescent="0.3">
      <c r="A318">
        <v>317</v>
      </c>
      <c r="B318" t="s">
        <v>74</v>
      </c>
    </row>
    <row r="319" spans="1:2" x14ac:dyDescent="0.3">
      <c r="A319">
        <v>318</v>
      </c>
      <c r="B319" t="s">
        <v>74</v>
      </c>
    </row>
    <row r="320" spans="1:2" x14ac:dyDescent="0.3">
      <c r="A320">
        <v>319</v>
      </c>
      <c r="B320" t="s">
        <v>74</v>
      </c>
    </row>
    <row r="321" spans="1:2" x14ac:dyDescent="0.3">
      <c r="A321">
        <v>320</v>
      </c>
      <c r="B321" t="s">
        <v>75</v>
      </c>
    </row>
    <row r="322" spans="1:2" x14ac:dyDescent="0.3">
      <c r="A322">
        <v>321</v>
      </c>
      <c r="B322" t="s">
        <v>74</v>
      </c>
    </row>
    <row r="323" spans="1:2" x14ac:dyDescent="0.3">
      <c r="A323">
        <v>322</v>
      </c>
      <c r="B323" t="s">
        <v>74</v>
      </c>
    </row>
    <row r="324" spans="1:2" x14ac:dyDescent="0.3">
      <c r="A324">
        <v>323</v>
      </c>
      <c r="B324" t="s">
        <v>75</v>
      </c>
    </row>
    <row r="325" spans="1:2" x14ac:dyDescent="0.3">
      <c r="A325">
        <v>324</v>
      </c>
      <c r="B325" t="s">
        <v>75</v>
      </c>
    </row>
    <row r="326" spans="1:2" x14ac:dyDescent="0.3">
      <c r="A326">
        <v>325</v>
      </c>
      <c r="B326" t="s">
        <v>74</v>
      </c>
    </row>
    <row r="327" spans="1:2" x14ac:dyDescent="0.3">
      <c r="A327">
        <v>326</v>
      </c>
      <c r="B327" t="s">
        <v>75</v>
      </c>
    </row>
    <row r="328" spans="1:2" x14ac:dyDescent="0.3">
      <c r="A328">
        <v>327</v>
      </c>
      <c r="B328" t="s">
        <v>75</v>
      </c>
    </row>
    <row r="329" spans="1:2" x14ac:dyDescent="0.3">
      <c r="A329">
        <v>328</v>
      </c>
      <c r="B329" t="s">
        <v>75</v>
      </c>
    </row>
    <row r="330" spans="1:2" x14ac:dyDescent="0.3">
      <c r="A330">
        <v>329</v>
      </c>
      <c r="B330" t="s">
        <v>74</v>
      </c>
    </row>
    <row r="331" spans="1:2" x14ac:dyDescent="0.3">
      <c r="A331">
        <v>330</v>
      </c>
      <c r="B331" t="s">
        <v>74</v>
      </c>
    </row>
    <row r="332" spans="1:2" x14ac:dyDescent="0.3">
      <c r="A332">
        <v>331</v>
      </c>
      <c r="B332" t="s">
        <v>74</v>
      </c>
    </row>
    <row r="333" spans="1:2" x14ac:dyDescent="0.3">
      <c r="A333">
        <v>332</v>
      </c>
      <c r="B333" t="s">
        <v>75</v>
      </c>
    </row>
    <row r="334" spans="1:2" x14ac:dyDescent="0.3">
      <c r="A334">
        <v>333</v>
      </c>
      <c r="B334" t="s">
        <v>75</v>
      </c>
    </row>
    <row r="335" spans="1:2" x14ac:dyDescent="0.3">
      <c r="A335">
        <v>334</v>
      </c>
      <c r="B335" t="s">
        <v>74</v>
      </c>
    </row>
    <row r="336" spans="1:2" x14ac:dyDescent="0.3">
      <c r="A336">
        <v>335</v>
      </c>
      <c r="B336" t="s">
        <v>75</v>
      </c>
    </row>
    <row r="337" spans="1:2" x14ac:dyDescent="0.3">
      <c r="A337">
        <v>336</v>
      </c>
      <c r="B337" t="s">
        <v>74</v>
      </c>
    </row>
    <row r="338" spans="1:2" x14ac:dyDescent="0.3">
      <c r="A338">
        <v>337</v>
      </c>
      <c r="B338" t="s">
        <v>75</v>
      </c>
    </row>
    <row r="339" spans="1:2" x14ac:dyDescent="0.3">
      <c r="A339">
        <v>338</v>
      </c>
      <c r="B339" t="s">
        <v>74</v>
      </c>
    </row>
    <row r="340" spans="1:2" x14ac:dyDescent="0.3">
      <c r="A340">
        <v>339</v>
      </c>
      <c r="B340" t="s">
        <v>74</v>
      </c>
    </row>
    <row r="341" spans="1:2" x14ac:dyDescent="0.3">
      <c r="A341">
        <v>340</v>
      </c>
      <c r="B341" t="s">
        <v>74</v>
      </c>
    </row>
    <row r="342" spans="1:2" x14ac:dyDescent="0.3">
      <c r="A342">
        <v>341</v>
      </c>
      <c r="B342" t="s">
        <v>75</v>
      </c>
    </row>
    <row r="343" spans="1:2" x14ac:dyDescent="0.3">
      <c r="A343">
        <v>342</v>
      </c>
      <c r="B343" t="s">
        <v>75</v>
      </c>
    </row>
    <row r="344" spans="1:2" x14ac:dyDescent="0.3">
      <c r="A344">
        <v>343</v>
      </c>
      <c r="B344" t="s">
        <v>75</v>
      </c>
    </row>
    <row r="345" spans="1:2" x14ac:dyDescent="0.3">
      <c r="A345">
        <v>344</v>
      </c>
      <c r="B345" t="s">
        <v>74</v>
      </c>
    </row>
    <row r="346" spans="1:2" x14ac:dyDescent="0.3">
      <c r="A346">
        <v>345</v>
      </c>
      <c r="B346" t="s">
        <v>74</v>
      </c>
    </row>
    <row r="347" spans="1:2" x14ac:dyDescent="0.3">
      <c r="A347">
        <v>346</v>
      </c>
      <c r="B347" t="s">
        <v>75</v>
      </c>
    </row>
    <row r="348" spans="1:2" x14ac:dyDescent="0.3">
      <c r="A348">
        <v>347</v>
      </c>
      <c r="B348" t="s">
        <v>74</v>
      </c>
    </row>
    <row r="349" spans="1:2" x14ac:dyDescent="0.3">
      <c r="A349">
        <v>348</v>
      </c>
      <c r="B349" t="s">
        <v>74</v>
      </c>
    </row>
    <row r="350" spans="1:2" x14ac:dyDescent="0.3">
      <c r="A350">
        <v>349</v>
      </c>
      <c r="B350" t="s">
        <v>74</v>
      </c>
    </row>
    <row r="351" spans="1:2" x14ac:dyDescent="0.3">
      <c r="A351">
        <v>350</v>
      </c>
      <c r="B351" t="s">
        <v>75</v>
      </c>
    </row>
    <row r="352" spans="1:2" x14ac:dyDescent="0.3">
      <c r="A352">
        <v>351</v>
      </c>
      <c r="B352" t="s">
        <v>74</v>
      </c>
    </row>
    <row r="353" spans="1:2" x14ac:dyDescent="0.3">
      <c r="A353">
        <v>352</v>
      </c>
      <c r="B353" t="s">
        <v>74</v>
      </c>
    </row>
    <row r="354" spans="1:2" x14ac:dyDescent="0.3">
      <c r="A354">
        <v>353</v>
      </c>
      <c r="B354" t="s">
        <v>74</v>
      </c>
    </row>
    <row r="355" spans="1:2" x14ac:dyDescent="0.3">
      <c r="A355">
        <v>354</v>
      </c>
      <c r="B355" t="s">
        <v>74</v>
      </c>
    </row>
    <row r="356" spans="1:2" x14ac:dyDescent="0.3">
      <c r="A356">
        <v>355</v>
      </c>
      <c r="B356" t="s">
        <v>74</v>
      </c>
    </row>
    <row r="357" spans="1:2" x14ac:dyDescent="0.3">
      <c r="A357">
        <v>356</v>
      </c>
      <c r="B357" t="s">
        <v>74</v>
      </c>
    </row>
    <row r="358" spans="1:2" x14ac:dyDescent="0.3">
      <c r="A358">
        <v>357</v>
      </c>
      <c r="B358" t="s">
        <v>74</v>
      </c>
    </row>
    <row r="359" spans="1:2" x14ac:dyDescent="0.3">
      <c r="A359">
        <v>358</v>
      </c>
      <c r="B359" t="s">
        <v>74</v>
      </c>
    </row>
    <row r="360" spans="1:2" x14ac:dyDescent="0.3">
      <c r="A360">
        <v>359</v>
      </c>
      <c r="B360" t="s">
        <v>74</v>
      </c>
    </row>
    <row r="361" spans="1:2" x14ac:dyDescent="0.3">
      <c r="A361">
        <v>360</v>
      </c>
      <c r="B361" t="s">
        <v>75</v>
      </c>
    </row>
    <row r="362" spans="1:2" x14ac:dyDescent="0.3">
      <c r="A362">
        <v>361</v>
      </c>
      <c r="B362" t="s">
        <v>74</v>
      </c>
    </row>
    <row r="363" spans="1:2" x14ac:dyDescent="0.3">
      <c r="A363">
        <v>362</v>
      </c>
      <c r="B363" t="s">
        <v>75</v>
      </c>
    </row>
    <row r="364" spans="1:2" x14ac:dyDescent="0.3">
      <c r="A364">
        <v>363</v>
      </c>
      <c r="B364" t="s">
        <v>74</v>
      </c>
    </row>
    <row r="365" spans="1:2" x14ac:dyDescent="0.3">
      <c r="A365">
        <v>364</v>
      </c>
      <c r="B365" t="s">
        <v>74</v>
      </c>
    </row>
    <row r="366" spans="1:2" x14ac:dyDescent="0.3">
      <c r="A366">
        <v>365</v>
      </c>
      <c r="B366" t="s">
        <v>74</v>
      </c>
    </row>
    <row r="367" spans="1:2" x14ac:dyDescent="0.3">
      <c r="A367">
        <v>366</v>
      </c>
      <c r="B367" t="s">
        <v>74</v>
      </c>
    </row>
    <row r="368" spans="1:2" x14ac:dyDescent="0.3">
      <c r="A368">
        <v>367</v>
      </c>
      <c r="B368" t="s">
        <v>74</v>
      </c>
    </row>
    <row r="369" spans="1:2" x14ac:dyDescent="0.3">
      <c r="A369">
        <v>368</v>
      </c>
      <c r="B369" t="s">
        <v>75</v>
      </c>
    </row>
    <row r="370" spans="1:2" x14ac:dyDescent="0.3">
      <c r="A370">
        <v>369</v>
      </c>
      <c r="B370" t="s">
        <v>74</v>
      </c>
    </row>
    <row r="371" spans="1:2" x14ac:dyDescent="0.3">
      <c r="A371">
        <v>370</v>
      </c>
      <c r="B371" t="s">
        <v>75</v>
      </c>
    </row>
    <row r="372" spans="1:2" x14ac:dyDescent="0.3">
      <c r="A372">
        <v>371</v>
      </c>
      <c r="B372" t="s">
        <v>75</v>
      </c>
    </row>
    <row r="373" spans="1:2" x14ac:dyDescent="0.3">
      <c r="A373">
        <v>372</v>
      </c>
      <c r="B373" t="s">
        <v>74</v>
      </c>
    </row>
    <row r="374" spans="1:2" x14ac:dyDescent="0.3">
      <c r="A374">
        <v>373</v>
      </c>
      <c r="B374" t="s">
        <v>75</v>
      </c>
    </row>
    <row r="375" spans="1:2" x14ac:dyDescent="0.3">
      <c r="A375">
        <v>374</v>
      </c>
      <c r="B375" t="s">
        <v>75</v>
      </c>
    </row>
    <row r="376" spans="1:2" x14ac:dyDescent="0.3">
      <c r="A376">
        <v>375</v>
      </c>
      <c r="B376" t="s">
        <v>74</v>
      </c>
    </row>
    <row r="377" spans="1:2" x14ac:dyDescent="0.3">
      <c r="A377">
        <v>376</v>
      </c>
      <c r="B377" t="s">
        <v>74</v>
      </c>
    </row>
    <row r="378" spans="1:2" x14ac:dyDescent="0.3">
      <c r="A378">
        <v>377</v>
      </c>
      <c r="B378" t="s">
        <v>75</v>
      </c>
    </row>
    <row r="379" spans="1:2" x14ac:dyDescent="0.3">
      <c r="A379">
        <v>378</v>
      </c>
      <c r="B379" t="s">
        <v>74</v>
      </c>
    </row>
    <row r="380" spans="1:2" x14ac:dyDescent="0.3">
      <c r="A380">
        <v>379</v>
      </c>
      <c r="B380" t="s">
        <v>75</v>
      </c>
    </row>
    <row r="381" spans="1:2" x14ac:dyDescent="0.3">
      <c r="A381">
        <v>380</v>
      </c>
      <c r="B381" t="s">
        <v>74</v>
      </c>
    </row>
    <row r="382" spans="1:2" x14ac:dyDescent="0.3">
      <c r="A382">
        <v>381</v>
      </c>
      <c r="B382" t="s">
        <v>75</v>
      </c>
    </row>
    <row r="383" spans="1:2" x14ac:dyDescent="0.3">
      <c r="A383">
        <v>382</v>
      </c>
      <c r="B383" t="s">
        <v>74</v>
      </c>
    </row>
    <row r="384" spans="1:2" x14ac:dyDescent="0.3">
      <c r="A384">
        <v>383</v>
      </c>
      <c r="B384" t="s">
        <v>74</v>
      </c>
    </row>
    <row r="385" spans="1:2" x14ac:dyDescent="0.3">
      <c r="A385">
        <v>384</v>
      </c>
      <c r="B385" t="s">
        <v>74</v>
      </c>
    </row>
    <row r="386" spans="1:2" x14ac:dyDescent="0.3">
      <c r="A386">
        <v>385</v>
      </c>
      <c r="B386" t="s">
        <v>74</v>
      </c>
    </row>
    <row r="387" spans="1:2" x14ac:dyDescent="0.3">
      <c r="A387">
        <v>386</v>
      </c>
      <c r="B387" t="s">
        <v>74</v>
      </c>
    </row>
    <row r="388" spans="1:2" x14ac:dyDescent="0.3">
      <c r="A388">
        <v>387</v>
      </c>
      <c r="B388" t="s">
        <v>74</v>
      </c>
    </row>
    <row r="389" spans="1:2" x14ac:dyDescent="0.3">
      <c r="A389">
        <v>388</v>
      </c>
      <c r="B389" t="s">
        <v>74</v>
      </c>
    </row>
    <row r="390" spans="1:2" x14ac:dyDescent="0.3">
      <c r="A390">
        <v>389</v>
      </c>
      <c r="B390" t="s">
        <v>75</v>
      </c>
    </row>
    <row r="391" spans="1:2" x14ac:dyDescent="0.3">
      <c r="A391">
        <v>390</v>
      </c>
      <c r="B391" t="s">
        <v>75</v>
      </c>
    </row>
    <row r="392" spans="1:2" x14ac:dyDescent="0.3">
      <c r="A392">
        <v>391</v>
      </c>
      <c r="B392" t="s">
        <v>75</v>
      </c>
    </row>
    <row r="393" spans="1:2" x14ac:dyDescent="0.3">
      <c r="A393">
        <v>392</v>
      </c>
      <c r="B393" t="s">
        <v>75</v>
      </c>
    </row>
    <row r="394" spans="1:2" x14ac:dyDescent="0.3">
      <c r="A394">
        <v>393</v>
      </c>
      <c r="B394" t="s">
        <v>74</v>
      </c>
    </row>
    <row r="395" spans="1:2" x14ac:dyDescent="0.3">
      <c r="A395">
        <v>394</v>
      </c>
      <c r="B395" t="s">
        <v>74</v>
      </c>
    </row>
    <row r="396" spans="1:2" x14ac:dyDescent="0.3">
      <c r="A396">
        <v>395</v>
      </c>
      <c r="B396" t="s">
        <v>74</v>
      </c>
    </row>
    <row r="397" spans="1:2" x14ac:dyDescent="0.3">
      <c r="A397">
        <v>396</v>
      </c>
      <c r="B397" t="s">
        <v>74</v>
      </c>
    </row>
    <row r="398" spans="1:2" x14ac:dyDescent="0.3">
      <c r="A398">
        <v>397</v>
      </c>
      <c r="B398" t="s">
        <v>75</v>
      </c>
    </row>
    <row r="399" spans="1:2" x14ac:dyDescent="0.3">
      <c r="A399">
        <v>398</v>
      </c>
      <c r="B399" t="s">
        <v>74</v>
      </c>
    </row>
    <row r="400" spans="1:2" x14ac:dyDescent="0.3">
      <c r="A400">
        <v>399</v>
      </c>
      <c r="B400" t="s">
        <v>74</v>
      </c>
    </row>
    <row r="401" spans="1:2" x14ac:dyDescent="0.3">
      <c r="A401">
        <v>400</v>
      </c>
      <c r="B401" t="s">
        <v>75</v>
      </c>
    </row>
    <row r="402" spans="1:2" x14ac:dyDescent="0.3">
      <c r="A402">
        <v>401</v>
      </c>
      <c r="B402" t="s">
        <v>75</v>
      </c>
    </row>
    <row r="403" spans="1:2" x14ac:dyDescent="0.3">
      <c r="A403">
        <v>402</v>
      </c>
      <c r="B403" t="s">
        <v>74</v>
      </c>
    </row>
    <row r="404" spans="1:2" x14ac:dyDescent="0.3">
      <c r="A404">
        <v>403</v>
      </c>
      <c r="B404" t="s">
        <v>74</v>
      </c>
    </row>
    <row r="405" spans="1:2" x14ac:dyDescent="0.3">
      <c r="A405">
        <v>404</v>
      </c>
      <c r="B405" t="s">
        <v>74</v>
      </c>
    </row>
    <row r="406" spans="1:2" x14ac:dyDescent="0.3">
      <c r="A406">
        <v>405</v>
      </c>
      <c r="B406" t="s">
        <v>74</v>
      </c>
    </row>
    <row r="407" spans="1:2" x14ac:dyDescent="0.3">
      <c r="A407">
        <v>406</v>
      </c>
      <c r="B407" t="s">
        <v>74</v>
      </c>
    </row>
    <row r="408" spans="1:2" x14ac:dyDescent="0.3">
      <c r="A408">
        <v>407</v>
      </c>
      <c r="B408" t="s">
        <v>74</v>
      </c>
    </row>
    <row r="409" spans="1:2" x14ac:dyDescent="0.3">
      <c r="A409">
        <v>408</v>
      </c>
      <c r="B409" t="s">
        <v>74</v>
      </c>
    </row>
    <row r="410" spans="1:2" x14ac:dyDescent="0.3">
      <c r="A410">
        <v>409</v>
      </c>
      <c r="B410" t="s">
        <v>74</v>
      </c>
    </row>
    <row r="411" spans="1:2" x14ac:dyDescent="0.3">
      <c r="A411">
        <v>410</v>
      </c>
      <c r="B411" t="s">
        <v>74</v>
      </c>
    </row>
    <row r="412" spans="1:2" x14ac:dyDescent="0.3">
      <c r="A412">
        <v>411</v>
      </c>
      <c r="B412" t="s">
        <v>74</v>
      </c>
    </row>
    <row r="413" spans="1:2" x14ac:dyDescent="0.3">
      <c r="A413">
        <v>412</v>
      </c>
      <c r="B413" t="s">
        <v>74</v>
      </c>
    </row>
    <row r="414" spans="1:2" x14ac:dyDescent="0.3">
      <c r="A414">
        <v>413</v>
      </c>
      <c r="B414" t="s">
        <v>74</v>
      </c>
    </row>
    <row r="415" spans="1:2" x14ac:dyDescent="0.3">
      <c r="A415">
        <v>414</v>
      </c>
      <c r="B415" t="s">
        <v>75</v>
      </c>
    </row>
    <row r="416" spans="1:2" x14ac:dyDescent="0.3">
      <c r="A416">
        <v>415</v>
      </c>
      <c r="B416" t="s">
        <v>74</v>
      </c>
    </row>
    <row r="417" spans="1:2" x14ac:dyDescent="0.3">
      <c r="A417">
        <v>416</v>
      </c>
      <c r="B417" t="s">
        <v>75</v>
      </c>
    </row>
    <row r="418" spans="1:2" x14ac:dyDescent="0.3">
      <c r="A418">
        <v>417</v>
      </c>
      <c r="B418" t="s">
        <v>74</v>
      </c>
    </row>
    <row r="419" spans="1:2" x14ac:dyDescent="0.3">
      <c r="A419">
        <v>418</v>
      </c>
      <c r="B419" t="s">
        <v>75</v>
      </c>
    </row>
    <row r="420" spans="1:2" x14ac:dyDescent="0.3">
      <c r="A420">
        <v>419</v>
      </c>
      <c r="B420" t="s">
        <v>75</v>
      </c>
    </row>
    <row r="421" spans="1:2" x14ac:dyDescent="0.3">
      <c r="A421">
        <v>420</v>
      </c>
      <c r="B421" t="s">
        <v>75</v>
      </c>
    </row>
    <row r="422" spans="1:2" x14ac:dyDescent="0.3">
      <c r="A422">
        <v>421</v>
      </c>
      <c r="B422" t="s">
        <v>74</v>
      </c>
    </row>
    <row r="423" spans="1:2" x14ac:dyDescent="0.3">
      <c r="A423">
        <v>422</v>
      </c>
      <c r="B423" t="s">
        <v>75</v>
      </c>
    </row>
    <row r="424" spans="1:2" x14ac:dyDescent="0.3">
      <c r="A424">
        <v>423</v>
      </c>
      <c r="B424" t="s">
        <v>74</v>
      </c>
    </row>
    <row r="425" spans="1:2" x14ac:dyDescent="0.3">
      <c r="A425">
        <v>424</v>
      </c>
      <c r="B425" t="s">
        <v>75</v>
      </c>
    </row>
    <row r="426" spans="1:2" x14ac:dyDescent="0.3">
      <c r="A426">
        <v>425</v>
      </c>
      <c r="B426" t="s">
        <v>75</v>
      </c>
    </row>
    <row r="427" spans="1:2" x14ac:dyDescent="0.3">
      <c r="A427">
        <v>426</v>
      </c>
      <c r="B427" t="s">
        <v>75</v>
      </c>
    </row>
    <row r="428" spans="1:2" x14ac:dyDescent="0.3">
      <c r="A428">
        <v>427</v>
      </c>
      <c r="B428" t="s">
        <v>74</v>
      </c>
    </row>
    <row r="429" spans="1:2" x14ac:dyDescent="0.3">
      <c r="A429">
        <v>428</v>
      </c>
      <c r="B429" t="s">
        <v>75</v>
      </c>
    </row>
    <row r="430" spans="1:2" x14ac:dyDescent="0.3">
      <c r="A430">
        <v>429</v>
      </c>
      <c r="B430" t="s">
        <v>75</v>
      </c>
    </row>
    <row r="431" spans="1:2" x14ac:dyDescent="0.3">
      <c r="A431">
        <v>430</v>
      </c>
      <c r="B431" t="s">
        <v>74</v>
      </c>
    </row>
    <row r="432" spans="1:2" x14ac:dyDescent="0.3">
      <c r="A432">
        <v>431</v>
      </c>
      <c r="B432" t="s">
        <v>75</v>
      </c>
    </row>
    <row r="433" spans="1:2" x14ac:dyDescent="0.3">
      <c r="A433">
        <v>432</v>
      </c>
      <c r="B433" t="s">
        <v>75</v>
      </c>
    </row>
    <row r="434" spans="1:2" x14ac:dyDescent="0.3">
      <c r="A434">
        <v>433</v>
      </c>
      <c r="B434" t="s">
        <v>74</v>
      </c>
    </row>
    <row r="435" spans="1:2" x14ac:dyDescent="0.3">
      <c r="A435">
        <v>434</v>
      </c>
      <c r="B435" t="s">
        <v>74</v>
      </c>
    </row>
    <row r="436" spans="1:2" x14ac:dyDescent="0.3">
      <c r="A436">
        <v>435</v>
      </c>
      <c r="B436" t="s">
        <v>74</v>
      </c>
    </row>
    <row r="437" spans="1:2" x14ac:dyDescent="0.3">
      <c r="A437">
        <v>436</v>
      </c>
      <c r="B437" t="s">
        <v>75</v>
      </c>
    </row>
    <row r="438" spans="1:2" x14ac:dyDescent="0.3">
      <c r="A438">
        <v>437</v>
      </c>
      <c r="B438" t="s">
        <v>74</v>
      </c>
    </row>
    <row r="439" spans="1:2" x14ac:dyDescent="0.3">
      <c r="A439">
        <v>438</v>
      </c>
      <c r="B439" t="s">
        <v>74</v>
      </c>
    </row>
    <row r="440" spans="1:2" x14ac:dyDescent="0.3">
      <c r="A440">
        <v>439</v>
      </c>
      <c r="B440" t="s">
        <v>75</v>
      </c>
    </row>
    <row r="441" spans="1:2" x14ac:dyDescent="0.3">
      <c r="A441">
        <v>440</v>
      </c>
      <c r="B441" t="s">
        <v>75</v>
      </c>
    </row>
    <row r="442" spans="1:2" x14ac:dyDescent="0.3">
      <c r="A442">
        <v>441</v>
      </c>
      <c r="B442" t="s">
        <v>74</v>
      </c>
    </row>
    <row r="443" spans="1:2" x14ac:dyDescent="0.3">
      <c r="A443">
        <v>442</v>
      </c>
      <c r="B443" t="s">
        <v>74</v>
      </c>
    </row>
    <row r="444" spans="1:2" x14ac:dyDescent="0.3">
      <c r="A444">
        <v>443</v>
      </c>
      <c r="B444" t="s">
        <v>74</v>
      </c>
    </row>
    <row r="445" spans="1:2" x14ac:dyDescent="0.3">
      <c r="A445">
        <v>444</v>
      </c>
      <c r="B445" t="s">
        <v>74</v>
      </c>
    </row>
    <row r="446" spans="1:2" x14ac:dyDescent="0.3">
      <c r="A446">
        <v>445</v>
      </c>
      <c r="B446" t="s">
        <v>75</v>
      </c>
    </row>
    <row r="447" spans="1:2" x14ac:dyDescent="0.3">
      <c r="A447">
        <v>446</v>
      </c>
      <c r="B447" t="s">
        <v>74</v>
      </c>
    </row>
    <row r="448" spans="1:2" x14ac:dyDescent="0.3">
      <c r="A448">
        <v>447</v>
      </c>
      <c r="B448" t="s">
        <v>74</v>
      </c>
    </row>
    <row r="449" spans="1:2" x14ac:dyDescent="0.3">
      <c r="A449">
        <v>448</v>
      </c>
      <c r="B449" t="s">
        <v>74</v>
      </c>
    </row>
    <row r="450" spans="1:2" x14ac:dyDescent="0.3">
      <c r="A450">
        <v>449</v>
      </c>
      <c r="B450" t="s">
        <v>74</v>
      </c>
    </row>
    <row r="451" spans="1:2" x14ac:dyDescent="0.3">
      <c r="A451">
        <v>450</v>
      </c>
      <c r="B451" t="s">
        <v>74</v>
      </c>
    </row>
    <row r="452" spans="1:2" x14ac:dyDescent="0.3">
      <c r="A452">
        <v>451</v>
      </c>
      <c r="B452" t="s">
        <v>74</v>
      </c>
    </row>
    <row r="453" spans="1:2" x14ac:dyDescent="0.3">
      <c r="A453">
        <v>452</v>
      </c>
      <c r="B453" t="s">
        <v>75</v>
      </c>
    </row>
    <row r="454" spans="1:2" x14ac:dyDescent="0.3">
      <c r="A454">
        <v>453</v>
      </c>
      <c r="B454" t="s">
        <v>74</v>
      </c>
    </row>
    <row r="455" spans="1:2" x14ac:dyDescent="0.3">
      <c r="A455">
        <v>454</v>
      </c>
      <c r="B455" t="s">
        <v>75</v>
      </c>
    </row>
    <row r="456" spans="1:2" x14ac:dyDescent="0.3">
      <c r="A456">
        <v>455</v>
      </c>
      <c r="B456" t="s">
        <v>75</v>
      </c>
    </row>
    <row r="457" spans="1:2" x14ac:dyDescent="0.3">
      <c r="A457">
        <v>456</v>
      </c>
      <c r="B457" t="s">
        <v>74</v>
      </c>
    </row>
    <row r="458" spans="1:2" x14ac:dyDescent="0.3">
      <c r="A458">
        <v>457</v>
      </c>
      <c r="B458" t="s">
        <v>74</v>
      </c>
    </row>
    <row r="459" spans="1:2" x14ac:dyDescent="0.3">
      <c r="A459">
        <v>458</v>
      </c>
      <c r="B459" t="s">
        <v>75</v>
      </c>
    </row>
    <row r="460" spans="1:2" x14ac:dyDescent="0.3">
      <c r="A460">
        <v>459</v>
      </c>
      <c r="B460" t="s">
        <v>74</v>
      </c>
    </row>
    <row r="461" spans="1:2" x14ac:dyDescent="0.3">
      <c r="A461">
        <v>460</v>
      </c>
      <c r="B461" t="s">
        <v>74</v>
      </c>
    </row>
    <row r="462" spans="1:2" x14ac:dyDescent="0.3">
      <c r="A462">
        <v>461</v>
      </c>
      <c r="B462" t="s">
        <v>74</v>
      </c>
    </row>
    <row r="463" spans="1:2" x14ac:dyDescent="0.3">
      <c r="A463">
        <v>462</v>
      </c>
      <c r="B463" t="s">
        <v>74</v>
      </c>
    </row>
    <row r="464" spans="1:2" x14ac:dyDescent="0.3">
      <c r="A464">
        <v>463</v>
      </c>
      <c r="B464" t="s">
        <v>74</v>
      </c>
    </row>
    <row r="465" spans="1:2" x14ac:dyDescent="0.3">
      <c r="A465">
        <v>464</v>
      </c>
      <c r="B465" t="s">
        <v>75</v>
      </c>
    </row>
    <row r="466" spans="1:2" x14ac:dyDescent="0.3">
      <c r="A466">
        <v>465</v>
      </c>
      <c r="B466" t="s">
        <v>74</v>
      </c>
    </row>
    <row r="467" spans="1:2" x14ac:dyDescent="0.3">
      <c r="A467">
        <v>466</v>
      </c>
      <c r="B467" t="s">
        <v>75</v>
      </c>
    </row>
    <row r="468" spans="1:2" x14ac:dyDescent="0.3">
      <c r="A468">
        <v>467</v>
      </c>
      <c r="B468" t="s">
        <v>74</v>
      </c>
    </row>
    <row r="469" spans="1:2" x14ac:dyDescent="0.3">
      <c r="A469">
        <v>468</v>
      </c>
      <c r="B469" t="s">
        <v>74</v>
      </c>
    </row>
    <row r="470" spans="1:2" x14ac:dyDescent="0.3">
      <c r="A470">
        <v>469</v>
      </c>
      <c r="B470" t="s">
        <v>74</v>
      </c>
    </row>
    <row r="471" spans="1:2" x14ac:dyDescent="0.3">
      <c r="A471">
        <v>470</v>
      </c>
      <c r="B471" t="s">
        <v>75</v>
      </c>
    </row>
    <row r="472" spans="1:2" x14ac:dyDescent="0.3">
      <c r="A472">
        <v>471</v>
      </c>
      <c r="B472" t="s">
        <v>74</v>
      </c>
    </row>
    <row r="473" spans="1:2" x14ac:dyDescent="0.3">
      <c r="A473">
        <v>472</v>
      </c>
      <c r="B473" t="s">
        <v>74</v>
      </c>
    </row>
    <row r="474" spans="1:2" x14ac:dyDescent="0.3">
      <c r="A474">
        <v>473</v>
      </c>
      <c r="B474" t="s">
        <v>74</v>
      </c>
    </row>
    <row r="475" spans="1:2" x14ac:dyDescent="0.3">
      <c r="A475">
        <v>474</v>
      </c>
      <c r="B475" t="s">
        <v>74</v>
      </c>
    </row>
    <row r="476" spans="1:2" x14ac:dyDescent="0.3">
      <c r="A476">
        <v>475</v>
      </c>
      <c r="B476" t="s">
        <v>74</v>
      </c>
    </row>
    <row r="477" spans="1:2" x14ac:dyDescent="0.3">
      <c r="A477">
        <v>476</v>
      </c>
      <c r="B477" t="s">
        <v>75</v>
      </c>
    </row>
    <row r="478" spans="1:2" x14ac:dyDescent="0.3">
      <c r="A478">
        <v>477</v>
      </c>
      <c r="B478" t="s">
        <v>75</v>
      </c>
    </row>
    <row r="479" spans="1:2" x14ac:dyDescent="0.3">
      <c r="A479">
        <v>478</v>
      </c>
      <c r="B479" t="s">
        <v>75</v>
      </c>
    </row>
    <row r="480" spans="1:2" x14ac:dyDescent="0.3">
      <c r="A480">
        <v>479</v>
      </c>
      <c r="B480" t="s">
        <v>74</v>
      </c>
    </row>
    <row r="481" spans="1:2" x14ac:dyDescent="0.3">
      <c r="A481">
        <v>480</v>
      </c>
      <c r="B481" t="s">
        <v>74</v>
      </c>
    </row>
    <row r="482" spans="1:2" x14ac:dyDescent="0.3">
      <c r="A482">
        <v>481</v>
      </c>
      <c r="B482" t="s">
        <v>74</v>
      </c>
    </row>
    <row r="483" spans="1:2" x14ac:dyDescent="0.3">
      <c r="A483">
        <v>482</v>
      </c>
      <c r="B483" t="s">
        <v>75</v>
      </c>
    </row>
    <row r="484" spans="1:2" x14ac:dyDescent="0.3">
      <c r="A484">
        <v>483</v>
      </c>
      <c r="B484" t="s">
        <v>74</v>
      </c>
    </row>
    <row r="485" spans="1:2" x14ac:dyDescent="0.3">
      <c r="A485">
        <v>484</v>
      </c>
      <c r="B485" t="s">
        <v>74</v>
      </c>
    </row>
    <row r="486" spans="1:2" x14ac:dyDescent="0.3">
      <c r="A486">
        <v>485</v>
      </c>
      <c r="B486" t="s">
        <v>74</v>
      </c>
    </row>
    <row r="487" spans="1:2" x14ac:dyDescent="0.3">
      <c r="A487">
        <v>486</v>
      </c>
      <c r="B487" t="s">
        <v>74</v>
      </c>
    </row>
    <row r="488" spans="1:2" x14ac:dyDescent="0.3">
      <c r="A488">
        <v>487</v>
      </c>
      <c r="B488" t="s">
        <v>74</v>
      </c>
    </row>
    <row r="489" spans="1:2" x14ac:dyDescent="0.3">
      <c r="A489">
        <v>488</v>
      </c>
      <c r="B489" t="s">
        <v>74</v>
      </c>
    </row>
    <row r="490" spans="1:2" x14ac:dyDescent="0.3">
      <c r="A490">
        <v>489</v>
      </c>
      <c r="B490" t="s">
        <v>74</v>
      </c>
    </row>
    <row r="491" spans="1:2" x14ac:dyDescent="0.3">
      <c r="A491">
        <v>490</v>
      </c>
      <c r="B491" t="s">
        <v>75</v>
      </c>
    </row>
    <row r="492" spans="1:2" x14ac:dyDescent="0.3">
      <c r="A492">
        <v>491</v>
      </c>
      <c r="B492" t="s">
        <v>75</v>
      </c>
    </row>
    <row r="493" spans="1:2" x14ac:dyDescent="0.3">
      <c r="A493">
        <v>492</v>
      </c>
      <c r="B493" t="s">
        <v>75</v>
      </c>
    </row>
    <row r="494" spans="1:2" x14ac:dyDescent="0.3">
      <c r="A494">
        <v>493</v>
      </c>
      <c r="B494" t="s">
        <v>74</v>
      </c>
    </row>
    <row r="495" spans="1:2" x14ac:dyDescent="0.3">
      <c r="A495">
        <v>494</v>
      </c>
      <c r="B495" t="s">
        <v>74</v>
      </c>
    </row>
    <row r="496" spans="1:2" x14ac:dyDescent="0.3">
      <c r="A496">
        <v>495</v>
      </c>
      <c r="B496" t="s">
        <v>75</v>
      </c>
    </row>
    <row r="497" spans="1:2" x14ac:dyDescent="0.3">
      <c r="A497">
        <v>496</v>
      </c>
      <c r="B497" t="s">
        <v>75</v>
      </c>
    </row>
    <row r="498" spans="1:2" x14ac:dyDescent="0.3">
      <c r="A498">
        <v>497</v>
      </c>
      <c r="B498" t="s">
        <v>74</v>
      </c>
    </row>
    <row r="499" spans="1:2" x14ac:dyDescent="0.3">
      <c r="A499">
        <v>498</v>
      </c>
      <c r="B499" t="s">
        <v>75</v>
      </c>
    </row>
    <row r="500" spans="1:2" x14ac:dyDescent="0.3">
      <c r="A500">
        <v>499</v>
      </c>
      <c r="B500" t="s">
        <v>74</v>
      </c>
    </row>
    <row r="501" spans="1:2" x14ac:dyDescent="0.3">
      <c r="A501">
        <v>500</v>
      </c>
      <c r="B501" t="s">
        <v>75</v>
      </c>
    </row>
    <row r="502" spans="1:2" x14ac:dyDescent="0.3">
      <c r="A502">
        <v>501</v>
      </c>
      <c r="B502" t="s">
        <v>74</v>
      </c>
    </row>
    <row r="503" spans="1:2" x14ac:dyDescent="0.3">
      <c r="A503">
        <v>502</v>
      </c>
      <c r="B503" t="s">
        <v>74</v>
      </c>
    </row>
    <row r="504" spans="1:2" x14ac:dyDescent="0.3">
      <c r="A504">
        <v>503</v>
      </c>
      <c r="B504" t="s">
        <v>75</v>
      </c>
    </row>
    <row r="505" spans="1:2" x14ac:dyDescent="0.3">
      <c r="A505">
        <v>504</v>
      </c>
      <c r="B505" t="s">
        <v>74</v>
      </c>
    </row>
    <row r="506" spans="1:2" x14ac:dyDescent="0.3">
      <c r="A506">
        <v>505</v>
      </c>
      <c r="B506" t="s">
        <v>75</v>
      </c>
    </row>
    <row r="507" spans="1:2" x14ac:dyDescent="0.3">
      <c r="A507">
        <v>506</v>
      </c>
      <c r="B507" t="s">
        <v>75</v>
      </c>
    </row>
    <row r="508" spans="1:2" x14ac:dyDescent="0.3">
      <c r="A508">
        <v>507</v>
      </c>
      <c r="B508" t="s">
        <v>75</v>
      </c>
    </row>
    <row r="509" spans="1:2" x14ac:dyDescent="0.3">
      <c r="A509">
        <v>508</v>
      </c>
      <c r="B509" t="s">
        <v>74</v>
      </c>
    </row>
    <row r="510" spans="1:2" x14ac:dyDescent="0.3">
      <c r="A510">
        <v>509</v>
      </c>
      <c r="B510" t="s">
        <v>74</v>
      </c>
    </row>
    <row r="511" spans="1:2" x14ac:dyDescent="0.3">
      <c r="A511">
        <v>510</v>
      </c>
      <c r="B511" t="s">
        <v>75</v>
      </c>
    </row>
    <row r="512" spans="1:2" x14ac:dyDescent="0.3">
      <c r="A512">
        <v>511</v>
      </c>
      <c r="B512" t="s">
        <v>74</v>
      </c>
    </row>
    <row r="513" spans="1:2" x14ac:dyDescent="0.3">
      <c r="A513">
        <v>512</v>
      </c>
      <c r="B513" t="s">
        <v>74</v>
      </c>
    </row>
    <row r="514" spans="1:2" x14ac:dyDescent="0.3">
      <c r="A514">
        <v>513</v>
      </c>
      <c r="B514" t="s">
        <v>74</v>
      </c>
    </row>
    <row r="515" spans="1:2" x14ac:dyDescent="0.3">
      <c r="A515">
        <v>514</v>
      </c>
      <c r="B515" t="s">
        <v>74</v>
      </c>
    </row>
    <row r="516" spans="1:2" x14ac:dyDescent="0.3">
      <c r="A516">
        <v>515</v>
      </c>
      <c r="B516" t="s">
        <v>74</v>
      </c>
    </row>
    <row r="517" spans="1:2" x14ac:dyDescent="0.3">
      <c r="A517">
        <v>516</v>
      </c>
      <c r="B517" t="s">
        <v>75</v>
      </c>
    </row>
    <row r="518" spans="1:2" x14ac:dyDescent="0.3">
      <c r="A518">
        <v>517</v>
      </c>
      <c r="B518" t="s">
        <v>74</v>
      </c>
    </row>
    <row r="519" spans="1:2" x14ac:dyDescent="0.3">
      <c r="A519">
        <v>518</v>
      </c>
      <c r="B519" t="s">
        <v>75</v>
      </c>
    </row>
    <row r="520" spans="1:2" x14ac:dyDescent="0.3">
      <c r="A520">
        <v>519</v>
      </c>
      <c r="B520" t="s">
        <v>74</v>
      </c>
    </row>
    <row r="521" spans="1:2" x14ac:dyDescent="0.3">
      <c r="A521">
        <v>520</v>
      </c>
      <c r="B521" t="s">
        <v>75</v>
      </c>
    </row>
    <row r="522" spans="1:2" x14ac:dyDescent="0.3">
      <c r="A522">
        <v>521</v>
      </c>
      <c r="B522" t="s">
        <v>75</v>
      </c>
    </row>
    <row r="523" spans="1:2" x14ac:dyDescent="0.3">
      <c r="A523">
        <v>522</v>
      </c>
      <c r="B523" t="s">
        <v>74</v>
      </c>
    </row>
    <row r="524" spans="1:2" x14ac:dyDescent="0.3">
      <c r="A524">
        <v>523</v>
      </c>
      <c r="B524" t="s">
        <v>75</v>
      </c>
    </row>
    <row r="525" spans="1:2" x14ac:dyDescent="0.3">
      <c r="A525">
        <v>524</v>
      </c>
      <c r="B525" t="s">
        <v>74</v>
      </c>
    </row>
    <row r="526" spans="1:2" x14ac:dyDescent="0.3">
      <c r="A526">
        <v>525</v>
      </c>
      <c r="B526" t="s">
        <v>74</v>
      </c>
    </row>
    <row r="527" spans="1:2" x14ac:dyDescent="0.3">
      <c r="A527">
        <v>526</v>
      </c>
      <c r="B527" t="s">
        <v>75</v>
      </c>
    </row>
    <row r="528" spans="1:2" x14ac:dyDescent="0.3">
      <c r="A528">
        <v>527</v>
      </c>
      <c r="B528" t="s">
        <v>75</v>
      </c>
    </row>
    <row r="529" spans="1:2" x14ac:dyDescent="0.3">
      <c r="A529">
        <v>528</v>
      </c>
      <c r="B529" t="s">
        <v>75</v>
      </c>
    </row>
    <row r="530" spans="1:2" x14ac:dyDescent="0.3">
      <c r="A530">
        <v>529</v>
      </c>
      <c r="B530" t="s">
        <v>74</v>
      </c>
    </row>
    <row r="531" spans="1:2" x14ac:dyDescent="0.3">
      <c r="A531">
        <v>530</v>
      </c>
      <c r="B531" t="s">
        <v>75</v>
      </c>
    </row>
    <row r="532" spans="1:2" x14ac:dyDescent="0.3">
      <c r="A532">
        <v>531</v>
      </c>
      <c r="B532" t="s">
        <v>75</v>
      </c>
    </row>
    <row r="533" spans="1:2" x14ac:dyDescent="0.3">
      <c r="A533">
        <v>532</v>
      </c>
      <c r="B533" t="s">
        <v>75</v>
      </c>
    </row>
    <row r="534" spans="1:2" x14ac:dyDescent="0.3">
      <c r="A534">
        <v>533</v>
      </c>
      <c r="B534" t="s">
        <v>75</v>
      </c>
    </row>
    <row r="535" spans="1:2" x14ac:dyDescent="0.3">
      <c r="A535">
        <v>534</v>
      </c>
      <c r="B535" t="s">
        <v>74</v>
      </c>
    </row>
    <row r="536" spans="1:2" x14ac:dyDescent="0.3">
      <c r="A536">
        <v>535</v>
      </c>
      <c r="B536" t="s">
        <v>74</v>
      </c>
    </row>
    <row r="537" spans="1:2" x14ac:dyDescent="0.3">
      <c r="A537">
        <v>536</v>
      </c>
      <c r="B537" t="s">
        <v>75</v>
      </c>
    </row>
    <row r="538" spans="1:2" x14ac:dyDescent="0.3">
      <c r="A538">
        <v>537</v>
      </c>
      <c r="B538" t="s">
        <v>74</v>
      </c>
    </row>
    <row r="539" spans="1:2" x14ac:dyDescent="0.3">
      <c r="A539">
        <v>538</v>
      </c>
      <c r="B539" t="s">
        <v>74</v>
      </c>
    </row>
    <row r="540" spans="1:2" x14ac:dyDescent="0.3">
      <c r="A540">
        <v>539</v>
      </c>
      <c r="B540" t="s">
        <v>75</v>
      </c>
    </row>
    <row r="541" spans="1:2" x14ac:dyDescent="0.3">
      <c r="A541">
        <v>540</v>
      </c>
      <c r="B541" t="s">
        <v>74</v>
      </c>
    </row>
    <row r="542" spans="1:2" x14ac:dyDescent="0.3">
      <c r="A542">
        <v>541</v>
      </c>
      <c r="B542" t="s">
        <v>74</v>
      </c>
    </row>
    <row r="543" spans="1:2" x14ac:dyDescent="0.3">
      <c r="A543">
        <v>542</v>
      </c>
      <c r="B543" t="s">
        <v>74</v>
      </c>
    </row>
    <row r="544" spans="1:2" x14ac:dyDescent="0.3">
      <c r="A544">
        <v>543</v>
      </c>
      <c r="B544" t="s">
        <v>74</v>
      </c>
    </row>
    <row r="545" spans="1:2" x14ac:dyDescent="0.3">
      <c r="A545">
        <v>544</v>
      </c>
      <c r="B545" t="s">
        <v>75</v>
      </c>
    </row>
    <row r="546" spans="1:2" x14ac:dyDescent="0.3">
      <c r="A546">
        <v>545</v>
      </c>
      <c r="B546" t="s">
        <v>75</v>
      </c>
    </row>
    <row r="547" spans="1:2" x14ac:dyDescent="0.3">
      <c r="A547">
        <v>546</v>
      </c>
      <c r="B547" t="s">
        <v>74</v>
      </c>
    </row>
    <row r="548" spans="1:2" x14ac:dyDescent="0.3">
      <c r="A548">
        <v>547</v>
      </c>
      <c r="B548" t="s">
        <v>75</v>
      </c>
    </row>
    <row r="549" spans="1:2" x14ac:dyDescent="0.3">
      <c r="A549">
        <v>548</v>
      </c>
      <c r="B549" t="s">
        <v>74</v>
      </c>
    </row>
    <row r="550" spans="1:2" x14ac:dyDescent="0.3">
      <c r="A550">
        <v>549</v>
      </c>
      <c r="B550" t="s">
        <v>75</v>
      </c>
    </row>
    <row r="551" spans="1:2" x14ac:dyDescent="0.3">
      <c r="A551">
        <v>550</v>
      </c>
      <c r="B551" t="s">
        <v>74</v>
      </c>
    </row>
    <row r="552" spans="1:2" x14ac:dyDescent="0.3">
      <c r="A552">
        <v>551</v>
      </c>
      <c r="B552" t="s">
        <v>75</v>
      </c>
    </row>
    <row r="553" spans="1:2" x14ac:dyDescent="0.3">
      <c r="A553">
        <v>552</v>
      </c>
      <c r="B553" t="s">
        <v>74</v>
      </c>
    </row>
    <row r="554" spans="1:2" x14ac:dyDescent="0.3">
      <c r="A554">
        <v>553</v>
      </c>
      <c r="B554" t="s">
        <v>75</v>
      </c>
    </row>
    <row r="555" spans="1:2" x14ac:dyDescent="0.3">
      <c r="A555">
        <v>554</v>
      </c>
      <c r="B555" t="s">
        <v>75</v>
      </c>
    </row>
    <row r="556" spans="1:2" x14ac:dyDescent="0.3">
      <c r="A556">
        <v>555</v>
      </c>
      <c r="B556" t="s">
        <v>75</v>
      </c>
    </row>
    <row r="557" spans="1:2" x14ac:dyDescent="0.3">
      <c r="A557">
        <v>556</v>
      </c>
      <c r="B557" t="s">
        <v>74</v>
      </c>
    </row>
    <row r="558" spans="1:2" x14ac:dyDescent="0.3">
      <c r="A558">
        <v>557</v>
      </c>
      <c r="B558" t="s">
        <v>74</v>
      </c>
    </row>
    <row r="559" spans="1:2" x14ac:dyDescent="0.3">
      <c r="A559">
        <v>558</v>
      </c>
      <c r="B559" t="s">
        <v>74</v>
      </c>
    </row>
    <row r="560" spans="1:2" x14ac:dyDescent="0.3">
      <c r="A560">
        <v>559</v>
      </c>
      <c r="B560" t="s">
        <v>74</v>
      </c>
    </row>
    <row r="561" spans="1:2" x14ac:dyDescent="0.3">
      <c r="A561">
        <v>560</v>
      </c>
      <c r="B561" t="s">
        <v>75</v>
      </c>
    </row>
    <row r="562" spans="1:2" x14ac:dyDescent="0.3">
      <c r="A562">
        <v>561</v>
      </c>
      <c r="B562" t="s">
        <v>74</v>
      </c>
    </row>
    <row r="563" spans="1:2" x14ac:dyDescent="0.3">
      <c r="A563">
        <v>562</v>
      </c>
      <c r="B563" t="s">
        <v>75</v>
      </c>
    </row>
    <row r="564" spans="1:2" x14ac:dyDescent="0.3">
      <c r="A564">
        <v>563</v>
      </c>
      <c r="B564" t="s">
        <v>74</v>
      </c>
    </row>
    <row r="565" spans="1:2" x14ac:dyDescent="0.3">
      <c r="A565">
        <v>564</v>
      </c>
      <c r="B565" t="s">
        <v>74</v>
      </c>
    </row>
    <row r="566" spans="1:2" x14ac:dyDescent="0.3">
      <c r="A566">
        <v>565</v>
      </c>
      <c r="B566" t="s">
        <v>74</v>
      </c>
    </row>
    <row r="567" spans="1:2" x14ac:dyDescent="0.3">
      <c r="A567">
        <v>566</v>
      </c>
      <c r="B567" t="s">
        <v>74</v>
      </c>
    </row>
    <row r="568" spans="1:2" x14ac:dyDescent="0.3">
      <c r="A568">
        <v>567</v>
      </c>
      <c r="B568" t="s">
        <v>74</v>
      </c>
    </row>
    <row r="569" spans="1:2" x14ac:dyDescent="0.3">
      <c r="A569">
        <v>568</v>
      </c>
      <c r="B569" t="s">
        <v>74</v>
      </c>
    </row>
    <row r="570" spans="1:2" x14ac:dyDescent="0.3">
      <c r="A570">
        <v>569</v>
      </c>
      <c r="B570" t="s">
        <v>75</v>
      </c>
    </row>
    <row r="571" spans="1:2" x14ac:dyDescent="0.3">
      <c r="A571">
        <v>570</v>
      </c>
      <c r="B571" t="s">
        <v>75</v>
      </c>
    </row>
    <row r="572" spans="1:2" x14ac:dyDescent="0.3">
      <c r="A572">
        <v>571</v>
      </c>
      <c r="B572" t="s">
        <v>75</v>
      </c>
    </row>
    <row r="573" spans="1:2" x14ac:dyDescent="0.3">
      <c r="A573">
        <v>572</v>
      </c>
      <c r="B573" t="s">
        <v>74</v>
      </c>
    </row>
    <row r="574" spans="1:2" x14ac:dyDescent="0.3">
      <c r="A574">
        <v>573</v>
      </c>
      <c r="B574" t="s">
        <v>75</v>
      </c>
    </row>
    <row r="575" spans="1:2" x14ac:dyDescent="0.3">
      <c r="A575">
        <v>574</v>
      </c>
      <c r="B575" t="s">
        <v>75</v>
      </c>
    </row>
    <row r="576" spans="1:2" x14ac:dyDescent="0.3">
      <c r="A576">
        <v>575</v>
      </c>
      <c r="B576" t="s">
        <v>74</v>
      </c>
    </row>
    <row r="577" spans="1:2" x14ac:dyDescent="0.3">
      <c r="A577">
        <v>576</v>
      </c>
      <c r="B577" t="s">
        <v>74</v>
      </c>
    </row>
    <row r="578" spans="1:2" x14ac:dyDescent="0.3">
      <c r="A578">
        <v>577</v>
      </c>
      <c r="B578" t="s">
        <v>75</v>
      </c>
    </row>
    <row r="579" spans="1:2" x14ac:dyDescent="0.3">
      <c r="A579">
        <v>578</v>
      </c>
      <c r="B579" t="s">
        <v>74</v>
      </c>
    </row>
    <row r="580" spans="1:2" x14ac:dyDescent="0.3">
      <c r="A580">
        <v>579</v>
      </c>
      <c r="B580" t="s">
        <v>74</v>
      </c>
    </row>
    <row r="581" spans="1:2" x14ac:dyDescent="0.3">
      <c r="A581">
        <v>580</v>
      </c>
      <c r="B581" t="s">
        <v>74</v>
      </c>
    </row>
    <row r="582" spans="1:2" x14ac:dyDescent="0.3">
      <c r="A582">
        <v>581</v>
      </c>
      <c r="B582" t="s">
        <v>74</v>
      </c>
    </row>
    <row r="583" spans="1:2" x14ac:dyDescent="0.3">
      <c r="A583">
        <v>582</v>
      </c>
      <c r="B583" t="s">
        <v>75</v>
      </c>
    </row>
    <row r="584" spans="1:2" x14ac:dyDescent="0.3">
      <c r="A584">
        <v>583</v>
      </c>
      <c r="B584" t="s">
        <v>75</v>
      </c>
    </row>
    <row r="585" spans="1:2" x14ac:dyDescent="0.3">
      <c r="A585">
        <v>584</v>
      </c>
      <c r="B585" t="s">
        <v>75</v>
      </c>
    </row>
    <row r="586" spans="1:2" x14ac:dyDescent="0.3">
      <c r="A586">
        <v>585</v>
      </c>
      <c r="B586" t="s">
        <v>74</v>
      </c>
    </row>
    <row r="587" spans="1:2" x14ac:dyDescent="0.3">
      <c r="A587">
        <v>586</v>
      </c>
      <c r="B587" t="s">
        <v>75</v>
      </c>
    </row>
    <row r="588" spans="1:2" x14ac:dyDescent="0.3">
      <c r="A588">
        <v>587</v>
      </c>
      <c r="B588" t="s">
        <v>75</v>
      </c>
    </row>
    <row r="589" spans="1:2" x14ac:dyDescent="0.3">
      <c r="A589">
        <v>588</v>
      </c>
      <c r="B589" t="s">
        <v>75</v>
      </c>
    </row>
    <row r="590" spans="1:2" x14ac:dyDescent="0.3">
      <c r="A590">
        <v>589</v>
      </c>
      <c r="B590" t="s">
        <v>74</v>
      </c>
    </row>
    <row r="591" spans="1:2" x14ac:dyDescent="0.3">
      <c r="A591">
        <v>590</v>
      </c>
      <c r="B591" t="s">
        <v>74</v>
      </c>
    </row>
    <row r="592" spans="1:2" x14ac:dyDescent="0.3">
      <c r="A592">
        <v>591</v>
      </c>
      <c r="B592" t="s">
        <v>74</v>
      </c>
    </row>
    <row r="593" spans="1:2" x14ac:dyDescent="0.3">
      <c r="A593">
        <v>592</v>
      </c>
      <c r="B593" t="s">
        <v>74</v>
      </c>
    </row>
    <row r="594" spans="1:2" x14ac:dyDescent="0.3">
      <c r="A594">
        <v>593</v>
      </c>
      <c r="B594" t="s">
        <v>75</v>
      </c>
    </row>
    <row r="595" spans="1:2" x14ac:dyDescent="0.3">
      <c r="A595">
        <v>594</v>
      </c>
      <c r="B595" t="s">
        <v>74</v>
      </c>
    </row>
    <row r="596" spans="1:2" x14ac:dyDescent="0.3">
      <c r="A596">
        <v>595</v>
      </c>
      <c r="B596" t="s">
        <v>75</v>
      </c>
    </row>
    <row r="597" spans="1:2" x14ac:dyDescent="0.3">
      <c r="A597">
        <v>596</v>
      </c>
      <c r="B597" t="s">
        <v>74</v>
      </c>
    </row>
    <row r="598" spans="1:2" x14ac:dyDescent="0.3">
      <c r="A598">
        <v>597</v>
      </c>
      <c r="B598" t="s">
        <v>74</v>
      </c>
    </row>
    <row r="599" spans="1:2" x14ac:dyDescent="0.3">
      <c r="A599">
        <v>598</v>
      </c>
      <c r="B599" t="s">
        <v>74</v>
      </c>
    </row>
    <row r="600" spans="1:2" x14ac:dyDescent="0.3">
      <c r="A600">
        <v>599</v>
      </c>
      <c r="B600" t="s">
        <v>75</v>
      </c>
    </row>
    <row r="601" spans="1:2" x14ac:dyDescent="0.3">
      <c r="A601">
        <v>600</v>
      </c>
      <c r="B601" t="s">
        <v>74</v>
      </c>
    </row>
    <row r="602" spans="1:2" x14ac:dyDescent="0.3">
      <c r="A602">
        <v>601</v>
      </c>
      <c r="B602" t="s">
        <v>74</v>
      </c>
    </row>
    <row r="603" spans="1:2" x14ac:dyDescent="0.3">
      <c r="A603">
        <v>602</v>
      </c>
      <c r="B603" t="s">
        <v>74</v>
      </c>
    </row>
    <row r="604" spans="1:2" x14ac:dyDescent="0.3">
      <c r="A604">
        <v>603</v>
      </c>
      <c r="B604" t="s">
        <v>74</v>
      </c>
    </row>
    <row r="605" spans="1:2" x14ac:dyDescent="0.3">
      <c r="A605">
        <v>604</v>
      </c>
      <c r="B605" t="s">
        <v>74</v>
      </c>
    </row>
    <row r="606" spans="1:2" x14ac:dyDescent="0.3">
      <c r="A606">
        <v>605</v>
      </c>
      <c r="B606" t="s">
        <v>74</v>
      </c>
    </row>
    <row r="607" spans="1:2" x14ac:dyDescent="0.3">
      <c r="A607">
        <v>606</v>
      </c>
      <c r="B607" t="s">
        <v>75</v>
      </c>
    </row>
    <row r="608" spans="1:2" x14ac:dyDescent="0.3">
      <c r="A608">
        <v>607</v>
      </c>
      <c r="B608" t="s">
        <v>74</v>
      </c>
    </row>
    <row r="609" spans="1:2" x14ac:dyDescent="0.3">
      <c r="A609">
        <v>608</v>
      </c>
      <c r="B609" t="s">
        <v>74</v>
      </c>
    </row>
    <row r="610" spans="1:2" x14ac:dyDescent="0.3">
      <c r="A610">
        <v>609</v>
      </c>
      <c r="B610" t="s">
        <v>75</v>
      </c>
    </row>
    <row r="611" spans="1:2" x14ac:dyDescent="0.3">
      <c r="A611">
        <v>610</v>
      </c>
      <c r="B611" t="s">
        <v>75</v>
      </c>
    </row>
    <row r="612" spans="1:2" x14ac:dyDescent="0.3">
      <c r="A612">
        <v>611</v>
      </c>
      <c r="B612" t="s">
        <v>75</v>
      </c>
    </row>
    <row r="613" spans="1:2" x14ac:dyDescent="0.3">
      <c r="A613">
        <v>612</v>
      </c>
      <c r="B613" t="s">
        <v>74</v>
      </c>
    </row>
    <row r="614" spans="1:2" x14ac:dyDescent="0.3">
      <c r="A614">
        <v>613</v>
      </c>
      <c r="B614" t="s">
        <v>74</v>
      </c>
    </row>
    <row r="615" spans="1:2" x14ac:dyDescent="0.3">
      <c r="A615">
        <v>614</v>
      </c>
      <c r="B615" t="s">
        <v>75</v>
      </c>
    </row>
    <row r="616" spans="1:2" x14ac:dyDescent="0.3">
      <c r="A616">
        <v>615</v>
      </c>
      <c r="B616" t="s">
        <v>74</v>
      </c>
    </row>
    <row r="617" spans="1:2" x14ac:dyDescent="0.3">
      <c r="A617">
        <v>616</v>
      </c>
      <c r="B617" t="s">
        <v>75</v>
      </c>
    </row>
    <row r="618" spans="1:2" x14ac:dyDescent="0.3">
      <c r="A618">
        <v>617</v>
      </c>
      <c r="B618" t="s">
        <v>74</v>
      </c>
    </row>
    <row r="619" spans="1:2" x14ac:dyDescent="0.3">
      <c r="A619">
        <v>618</v>
      </c>
      <c r="B619" t="s">
        <v>74</v>
      </c>
    </row>
    <row r="620" spans="1:2" x14ac:dyDescent="0.3">
      <c r="A620">
        <v>619</v>
      </c>
      <c r="B620" t="s">
        <v>74</v>
      </c>
    </row>
    <row r="621" spans="1:2" x14ac:dyDescent="0.3">
      <c r="A621">
        <v>620</v>
      </c>
      <c r="B621" t="s">
        <v>74</v>
      </c>
    </row>
    <row r="622" spans="1:2" x14ac:dyDescent="0.3">
      <c r="A622">
        <v>621</v>
      </c>
      <c r="B622" t="s">
        <v>75</v>
      </c>
    </row>
    <row r="623" spans="1:2" x14ac:dyDescent="0.3">
      <c r="A623">
        <v>622</v>
      </c>
      <c r="B623" t="s">
        <v>74</v>
      </c>
    </row>
    <row r="624" spans="1:2" x14ac:dyDescent="0.3">
      <c r="A624">
        <v>623</v>
      </c>
      <c r="B624" t="s">
        <v>75</v>
      </c>
    </row>
    <row r="625" spans="1:2" x14ac:dyDescent="0.3">
      <c r="A625">
        <v>624</v>
      </c>
      <c r="B625" t="s">
        <v>74</v>
      </c>
    </row>
    <row r="626" spans="1:2" x14ac:dyDescent="0.3">
      <c r="A626">
        <v>625</v>
      </c>
      <c r="B626" t="s">
        <v>75</v>
      </c>
    </row>
    <row r="627" spans="1:2" x14ac:dyDescent="0.3">
      <c r="A627">
        <v>626</v>
      </c>
      <c r="B627" t="s">
        <v>74</v>
      </c>
    </row>
    <row r="628" spans="1:2" x14ac:dyDescent="0.3">
      <c r="A628">
        <v>627</v>
      </c>
      <c r="B628" t="s">
        <v>75</v>
      </c>
    </row>
    <row r="629" spans="1:2" x14ac:dyDescent="0.3">
      <c r="A629">
        <v>628</v>
      </c>
      <c r="B629" t="s">
        <v>75</v>
      </c>
    </row>
    <row r="630" spans="1:2" x14ac:dyDescent="0.3">
      <c r="A630">
        <v>629</v>
      </c>
      <c r="B630" t="s">
        <v>74</v>
      </c>
    </row>
    <row r="631" spans="1:2" x14ac:dyDescent="0.3">
      <c r="A631">
        <v>630</v>
      </c>
      <c r="B631" t="s">
        <v>75</v>
      </c>
    </row>
    <row r="632" spans="1:2" x14ac:dyDescent="0.3">
      <c r="A632">
        <v>631</v>
      </c>
      <c r="B632" t="s">
        <v>74</v>
      </c>
    </row>
    <row r="633" spans="1:2" x14ac:dyDescent="0.3">
      <c r="A633">
        <v>632</v>
      </c>
      <c r="B633" t="s">
        <v>74</v>
      </c>
    </row>
    <row r="634" spans="1:2" x14ac:dyDescent="0.3">
      <c r="A634">
        <v>633</v>
      </c>
      <c r="B634" t="s">
        <v>74</v>
      </c>
    </row>
    <row r="635" spans="1:2" x14ac:dyDescent="0.3">
      <c r="A635">
        <v>634</v>
      </c>
      <c r="B635" t="s">
        <v>74</v>
      </c>
    </row>
    <row r="636" spans="1:2" x14ac:dyDescent="0.3">
      <c r="A636">
        <v>635</v>
      </c>
      <c r="B636" t="s">
        <v>75</v>
      </c>
    </row>
    <row r="637" spans="1:2" x14ac:dyDescent="0.3">
      <c r="A637">
        <v>636</v>
      </c>
      <c r="B637" t="s">
        <v>74</v>
      </c>
    </row>
    <row r="638" spans="1:2" x14ac:dyDescent="0.3">
      <c r="A638">
        <v>637</v>
      </c>
      <c r="B638" t="s">
        <v>74</v>
      </c>
    </row>
    <row r="639" spans="1:2" x14ac:dyDescent="0.3">
      <c r="A639">
        <v>638</v>
      </c>
      <c r="B639" t="s">
        <v>74</v>
      </c>
    </row>
    <row r="640" spans="1:2" x14ac:dyDescent="0.3">
      <c r="A640">
        <v>639</v>
      </c>
      <c r="B640" t="s">
        <v>74</v>
      </c>
    </row>
    <row r="641" spans="1:2" x14ac:dyDescent="0.3">
      <c r="A641">
        <v>640</v>
      </c>
      <c r="B641" t="s">
        <v>74</v>
      </c>
    </row>
    <row r="642" spans="1:2" x14ac:dyDescent="0.3">
      <c r="A642">
        <v>641</v>
      </c>
      <c r="B642" t="s">
        <v>75</v>
      </c>
    </row>
    <row r="643" spans="1:2" x14ac:dyDescent="0.3">
      <c r="A643">
        <v>642</v>
      </c>
      <c r="B643" t="s">
        <v>75</v>
      </c>
    </row>
    <row r="644" spans="1:2" x14ac:dyDescent="0.3">
      <c r="A644">
        <v>643</v>
      </c>
      <c r="B644" t="s">
        <v>74</v>
      </c>
    </row>
    <row r="645" spans="1:2" x14ac:dyDescent="0.3">
      <c r="A645">
        <v>644</v>
      </c>
      <c r="B645" t="s">
        <v>75</v>
      </c>
    </row>
    <row r="646" spans="1:2" x14ac:dyDescent="0.3">
      <c r="A646">
        <v>645</v>
      </c>
      <c r="B646" t="s">
        <v>75</v>
      </c>
    </row>
    <row r="647" spans="1:2" x14ac:dyDescent="0.3">
      <c r="A647">
        <v>646</v>
      </c>
      <c r="B647" t="s">
        <v>75</v>
      </c>
    </row>
    <row r="648" spans="1:2" x14ac:dyDescent="0.3">
      <c r="A648">
        <v>647</v>
      </c>
      <c r="B648" t="s">
        <v>75</v>
      </c>
    </row>
    <row r="649" spans="1:2" x14ac:dyDescent="0.3">
      <c r="A649">
        <v>648</v>
      </c>
      <c r="B649" t="s">
        <v>74</v>
      </c>
    </row>
    <row r="650" spans="1:2" x14ac:dyDescent="0.3">
      <c r="A650">
        <v>649</v>
      </c>
      <c r="B650" t="s">
        <v>74</v>
      </c>
    </row>
    <row r="651" spans="1:2" x14ac:dyDescent="0.3">
      <c r="A651">
        <v>650</v>
      </c>
      <c r="B651" t="s">
        <v>75</v>
      </c>
    </row>
    <row r="652" spans="1:2" x14ac:dyDescent="0.3">
      <c r="A652">
        <v>651</v>
      </c>
      <c r="B652" t="s">
        <v>75</v>
      </c>
    </row>
    <row r="653" spans="1:2" x14ac:dyDescent="0.3">
      <c r="A653">
        <v>652</v>
      </c>
      <c r="B653" t="s">
        <v>74</v>
      </c>
    </row>
    <row r="654" spans="1:2" x14ac:dyDescent="0.3">
      <c r="A654">
        <v>653</v>
      </c>
      <c r="B654" t="s">
        <v>74</v>
      </c>
    </row>
    <row r="655" spans="1:2" x14ac:dyDescent="0.3">
      <c r="A655">
        <v>654</v>
      </c>
      <c r="B655" t="s">
        <v>75</v>
      </c>
    </row>
    <row r="656" spans="1:2" x14ac:dyDescent="0.3">
      <c r="A656">
        <v>655</v>
      </c>
      <c r="B656" t="s">
        <v>75</v>
      </c>
    </row>
    <row r="657" spans="1:2" x14ac:dyDescent="0.3">
      <c r="A657">
        <v>656</v>
      </c>
      <c r="B657" t="s">
        <v>74</v>
      </c>
    </row>
    <row r="658" spans="1:2" x14ac:dyDescent="0.3">
      <c r="A658">
        <v>657</v>
      </c>
      <c r="B658" t="s">
        <v>74</v>
      </c>
    </row>
    <row r="659" spans="1:2" x14ac:dyDescent="0.3">
      <c r="A659">
        <v>658</v>
      </c>
      <c r="B659" t="s">
        <v>74</v>
      </c>
    </row>
    <row r="660" spans="1:2" x14ac:dyDescent="0.3">
      <c r="A660">
        <v>659</v>
      </c>
      <c r="B660" t="s">
        <v>74</v>
      </c>
    </row>
    <row r="661" spans="1:2" x14ac:dyDescent="0.3">
      <c r="A661">
        <v>660</v>
      </c>
      <c r="B661" t="s">
        <v>75</v>
      </c>
    </row>
    <row r="662" spans="1:2" x14ac:dyDescent="0.3">
      <c r="A662">
        <v>661</v>
      </c>
      <c r="B662" t="s">
        <v>74</v>
      </c>
    </row>
    <row r="663" spans="1:2" x14ac:dyDescent="0.3">
      <c r="A663">
        <v>662</v>
      </c>
      <c r="B663" t="s">
        <v>74</v>
      </c>
    </row>
    <row r="664" spans="1:2" x14ac:dyDescent="0.3">
      <c r="A664">
        <v>663</v>
      </c>
      <c r="B664" t="s">
        <v>74</v>
      </c>
    </row>
    <row r="665" spans="1:2" x14ac:dyDescent="0.3">
      <c r="A665">
        <v>664</v>
      </c>
      <c r="B665" t="s">
        <v>74</v>
      </c>
    </row>
    <row r="666" spans="1:2" x14ac:dyDescent="0.3">
      <c r="A666">
        <v>665</v>
      </c>
      <c r="B666" t="s">
        <v>74</v>
      </c>
    </row>
    <row r="667" spans="1:2" x14ac:dyDescent="0.3">
      <c r="A667">
        <v>666</v>
      </c>
      <c r="B667" t="s">
        <v>75</v>
      </c>
    </row>
    <row r="668" spans="1:2" x14ac:dyDescent="0.3">
      <c r="A668">
        <v>667</v>
      </c>
      <c r="B668" t="s">
        <v>74</v>
      </c>
    </row>
    <row r="669" spans="1:2" x14ac:dyDescent="0.3">
      <c r="A669">
        <v>668</v>
      </c>
      <c r="B669" t="s">
        <v>75</v>
      </c>
    </row>
    <row r="670" spans="1:2" x14ac:dyDescent="0.3">
      <c r="A670">
        <v>669</v>
      </c>
      <c r="B670" t="s">
        <v>74</v>
      </c>
    </row>
    <row r="671" spans="1:2" x14ac:dyDescent="0.3">
      <c r="A671">
        <v>670</v>
      </c>
      <c r="B671" t="s">
        <v>75</v>
      </c>
    </row>
    <row r="672" spans="1:2" x14ac:dyDescent="0.3">
      <c r="A672">
        <v>671</v>
      </c>
      <c r="B672" t="s">
        <v>75</v>
      </c>
    </row>
    <row r="673" spans="1:2" x14ac:dyDescent="0.3">
      <c r="A673">
        <v>672</v>
      </c>
      <c r="B673" t="s">
        <v>74</v>
      </c>
    </row>
    <row r="674" spans="1:2" x14ac:dyDescent="0.3">
      <c r="A674">
        <v>673</v>
      </c>
      <c r="B674" t="s">
        <v>75</v>
      </c>
    </row>
    <row r="675" spans="1:2" x14ac:dyDescent="0.3">
      <c r="A675">
        <v>674</v>
      </c>
      <c r="B675" t="s">
        <v>74</v>
      </c>
    </row>
    <row r="676" spans="1:2" x14ac:dyDescent="0.3">
      <c r="A676">
        <v>675</v>
      </c>
      <c r="B676" t="s">
        <v>75</v>
      </c>
    </row>
    <row r="677" spans="1:2" x14ac:dyDescent="0.3">
      <c r="A677">
        <v>676</v>
      </c>
      <c r="B677" t="s">
        <v>74</v>
      </c>
    </row>
    <row r="678" spans="1:2" x14ac:dyDescent="0.3">
      <c r="A678">
        <v>677</v>
      </c>
      <c r="B678" t="s">
        <v>75</v>
      </c>
    </row>
    <row r="679" spans="1:2" x14ac:dyDescent="0.3">
      <c r="A679">
        <v>678</v>
      </c>
      <c r="B679" t="s">
        <v>74</v>
      </c>
    </row>
    <row r="680" spans="1:2" x14ac:dyDescent="0.3">
      <c r="A680">
        <v>679</v>
      </c>
      <c r="B680" t="s">
        <v>74</v>
      </c>
    </row>
    <row r="681" spans="1:2" x14ac:dyDescent="0.3">
      <c r="A681">
        <v>680</v>
      </c>
      <c r="B681" t="s">
        <v>75</v>
      </c>
    </row>
    <row r="682" spans="1:2" x14ac:dyDescent="0.3">
      <c r="A682">
        <v>681</v>
      </c>
      <c r="B682" t="s">
        <v>74</v>
      </c>
    </row>
    <row r="683" spans="1:2" x14ac:dyDescent="0.3">
      <c r="A683">
        <v>682</v>
      </c>
      <c r="B683" t="s">
        <v>74</v>
      </c>
    </row>
    <row r="684" spans="1:2" x14ac:dyDescent="0.3">
      <c r="A684">
        <v>683</v>
      </c>
      <c r="B684" t="s">
        <v>74</v>
      </c>
    </row>
    <row r="685" spans="1:2" x14ac:dyDescent="0.3">
      <c r="A685">
        <v>684</v>
      </c>
      <c r="B685" t="s">
        <v>75</v>
      </c>
    </row>
    <row r="686" spans="1:2" x14ac:dyDescent="0.3">
      <c r="A686">
        <v>685</v>
      </c>
      <c r="B686" t="s">
        <v>74</v>
      </c>
    </row>
    <row r="687" spans="1:2" x14ac:dyDescent="0.3">
      <c r="A687">
        <v>686</v>
      </c>
      <c r="B687" t="s">
        <v>74</v>
      </c>
    </row>
    <row r="688" spans="1:2" x14ac:dyDescent="0.3">
      <c r="A688">
        <v>687</v>
      </c>
      <c r="B688" t="s">
        <v>74</v>
      </c>
    </row>
    <row r="689" spans="1:2" x14ac:dyDescent="0.3">
      <c r="A689">
        <v>688</v>
      </c>
      <c r="B689" t="s">
        <v>75</v>
      </c>
    </row>
    <row r="690" spans="1:2" x14ac:dyDescent="0.3">
      <c r="A690">
        <v>689</v>
      </c>
      <c r="B690" t="s">
        <v>75</v>
      </c>
    </row>
    <row r="691" spans="1:2" x14ac:dyDescent="0.3">
      <c r="A691">
        <v>690</v>
      </c>
      <c r="B691" t="s">
        <v>74</v>
      </c>
    </row>
    <row r="692" spans="1:2" x14ac:dyDescent="0.3">
      <c r="A692">
        <v>691</v>
      </c>
      <c r="B692" t="s">
        <v>74</v>
      </c>
    </row>
    <row r="693" spans="1:2" x14ac:dyDescent="0.3">
      <c r="A693">
        <v>692</v>
      </c>
      <c r="B693" t="s">
        <v>74</v>
      </c>
    </row>
    <row r="694" spans="1:2" x14ac:dyDescent="0.3">
      <c r="A694">
        <v>693</v>
      </c>
      <c r="B694" t="s">
        <v>74</v>
      </c>
    </row>
    <row r="695" spans="1:2" x14ac:dyDescent="0.3">
      <c r="A695">
        <v>694</v>
      </c>
      <c r="B695" t="s">
        <v>75</v>
      </c>
    </row>
    <row r="696" spans="1:2" x14ac:dyDescent="0.3">
      <c r="A696">
        <v>695</v>
      </c>
      <c r="B696" t="s">
        <v>75</v>
      </c>
    </row>
    <row r="697" spans="1:2" x14ac:dyDescent="0.3">
      <c r="A697">
        <v>696</v>
      </c>
      <c r="B697" t="s">
        <v>74</v>
      </c>
    </row>
    <row r="698" spans="1:2" x14ac:dyDescent="0.3">
      <c r="A698">
        <v>697</v>
      </c>
      <c r="B698" t="s">
        <v>74</v>
      </c>
    </row>
    <row r="699" spans="1:2" x14ac:dyDescent="0.3">
      <c r="A699">
        <v>698</v>
      </c>
      <c r="B699" t="s">
        <v>75</v>
      </c>
    </row>
    <row r="700" spans="1:2" x14ac:dyDescent="0.3">
      <c r="A700">
        <v>699</v>
      </c>
      <c r="B700" t="s">
        <v>75</v>
      </c>
    </row>
    <row r="701" spans="1:2" x14ac:dyDescent="0.3">
      <c r="A701">
        <v>700</v>
      </c>
      <c r="B701" t="s">
        <v>75</v>
      </c>
    </row>
    <row r="702" spans="1:2" x14ac:dyDescent="0.3">
      <c r="A702">
        <v>701</v>
      </c>
      <c r="B702" t="s">
        <v>75</v>
      </c>
    </row>
    <row r="703" spans="1:2" x14ac:dyDescent="0.3">
      <c r="A703">
        <v>702</v>
      </c>
      <c r="B703" t="s">
        <v>74</v>
      </c>
    </row>
    <row r="704" spans="1:2" x14ac:dyDescent="0.3">
      <c r="A704">
        <v>703</v>
      </c>
      <c r="B704" t="s">
        <v>74</v>
      </c>
    </row>
    <row r="705" spans="1:2" x14ac:dyDescent="0.3">
      <c r="A705">
        <v>704</v>
      </c>
      <c r="B705" t="s">
        <v>74</v>
      </c>
    </row>
    <row r="706" spans="1:2" x14ac:dyDescent="0.3">
      <c r="A706">
        <v>705</v>
      </c>
      <c r="B706" t="s">
        <v>75</v>
      </c>
    </row>
    <row r="707" spans="1:2" x14ac:dyDescent="0.3">
      <c r="A707">
        <v>706</v>
      </c>
      <c r="B707" t="s">
        <v>75</v>
      </c>
    </row>
    <row r="708" spans="1:2" x14ac:dyDescent="0.3">
      <c r="A708">
        <v>707</v>
      </c>
      <c r="B708" t="s">
        <v>74</v>
      </c>
    </row>
    <row r="709" spans="1:2" x14ac:dyDescent="0.3">
      <c r="A709">
        <v>708</v>
      </c>
      <c r="B709" t="s">
        <v>74</v>
      </c>
    </row>
    <row r="710" spans="1:2" x14ac:dyDescent="0.3">
      <c r="A710">
        <v>709</v>
      </c>
      <c r="B710" t="s">
        <v>74</v>
      </c>
    </row>
    <row r="711" spans="1:2" x14ac:dyDescent="0.3">
      <c r="A711">
        <v>710</v>
      </c>
      <c r="B711" t="s">
        <v>74</v>
      </c>
    </row>
    <row r="712" spans="1:2" x14ac:dyDescent="0.3">
      <c r="A712">
        <v>711</v>
      </c>
      <c r="B712" t="s">
        <v>74</v>
      </c>
    </row>
    <row r="713" spans="1:2" x14ac:dyDescent="0.3">
      <c r="A713">
        <v>712</v>
      </c>
      <c r="B713" t="s">
        <v>75</v>
      </c>
    </row>
    <row r="714" spans="1:2" x14ac:dyDescent="0.3">
      <c r="A714">
        <v>713</v>
      </c>
      <c r="B714" t="s">
        <v>74</v>
      </c>
    </row>
    <row r="715" spans="1:2" x14ac:dyDescent="0.3">
      <c r="A715">
        <v>714</v>
      </c>
      <c r="B715" t="s">
        <v>75</v>
      </c>
    </row>
    <row r="716" spans="1:2" x14ac:dyDescent="0.3">
      <c r="A716">
        <v>715</v>
      </c>
      <c r="B716" t="s">
        <v>75</v>
      </c>
    </row>
    <row r="717" spans="1:2" x14ac:dyDescent="0.3">
      <c r="A717">
        <v>716</v>
      </c>
      <c r="B717" t="s">
        <v>74</v>
      </c>
    </row>
    <row r="718" spans="1:2" x14ac:dyDescent="0.3">
      <c r="A718">
        <v>717</v>
      </c>
      <c r="B718" t="s">
        <v>75</v>
      </c>
    </row>
    <row r="719" spans="1:2" x14ac:dyDescent="0.3">
      <c r="A719">
        <v>718</v>
      </c>
      <c r="B719" t="s">
        <v>74</v>
      </c>
    </row>
    <row r="720" spans="1:2" x14ac:dyDescent="0.3">
      <c r="A720">
        <v>719</v>
      </c>
      <c r="B720" t="s">
        <v>74</v>
      </c>
    </row>
    <row r="721" spans="1:2" x14ac:dyDescent="0.3">
      <c r="A721">
        <v>720</v>
      </c>
      <c r="B721" t="s">
        <v>74</v>
      </c>
    </row>
    <row r="722" spans="1:2" x14ac:dyDescent="0.3">
      <c r="A722">
        <v>721</v>
      </c>
      <c r="B722" t="s">
        <v>75</v>
      </c>
    </row>
    <row r="723" spans="1:2" x14ac:dyDescent="0.3">
      <c r="A723">
        <v>722</v>
      </c>
      <c r="B723" t="s">
        <v>75</v>
      </c>
    </row>
    <row r="724" spans="1:2" x14ac:dyDescent="0.3">
      <c r="A724">
        <v>723</v>
      </c>
      <c r="B724" t="s">
        <v>75</v>
      </c>
    </row>
    <row r="725" spans="1:2" x14ac:dyDescent="0.3">
      <c r="A725">
        <v>724</v>
      </c>
      <c r="B725" t="s">
        <v>75</v>
      </c>
    </row>
    <row r="726" spans="1:2" x14ac:dyDescent="0.3">
      <c r="A726">
        <v>725</v>
      </c>
      <c r="B726" t="s">
        <v>75</v>
      </c>
    </row>
    <row r="727" spans="1:2" x14ac:dyDescent="0.3">
      <c r="A727">
        <v>726</v>
      </c>
      <c r="B727" t="s">
        <v>74</v>
      </c>
    </row>
    <row r="728" spans="1:2" x14ac:dyDescent="0.3">
      <c r="A728">
        <v>727</v>
      </c>
      <c r="B728" t="s">
        <v>74</v>
      </c>
    </row>
    <row r="729" spans="1:2" x14ac:dyDescent="0.3">
      <c r="A729">
        <v>728</v>
      </c>
      <c r="B729" t="s">
        <v>74</v>
      </c>
    </row>
    <row r="730" spans="1:2" x14ac:dyDescent="0.3">
      <c r="A730">
        <v>729</v>
      </c>
      <c r="B730" t="s">
        <v>75</v>
      </c>
    </row>
    <row r="731" spans="1:2" x14ac:dyDescent="0.3">
      <c r="A731">
        <v>730</v>
      </c>
      <c r="B731" t="s">
        <v>74</v>
      </c>
    </row>
    <row r="732" spans="1:2" x14ac:dyDescent="0.3">
      <c r="A732">
        <v>731</v>
      </c>
      <c r="B732" t="s">
        <v>74</v>
      </c>
    </row>
    <row r="733" spans="1:2" x14ac:dyDescent="0.3">
      <c r="A733">
        <v>732</v>
      </c>
      <c r="B733" t="s">
        <v>75</v>
      </c>
    </row>
    <row r="734" spans="1:2" x14ac:dyDescent="0.3">
      <c r="A734">
        <v>733</v>
      </c>
      <c r="B734" t="s">
        <v>75</v>
      </c>
    </row>
    <row r="735" spans="1:2" x14ac:dyDescent="0.3">
      <c r="A735">
        <v>734</v>
      </c>
      <c r="B735" t="s">
        <v>75</v>
      </c>
    </row>
    <row r="736" spans="1:2" x14ac:dyDescent="0.3">
      <c r="A736">
        <v>735</v>
      </c>
      <c r="B736" t="s">
        <v>74</v>
      </c>
    </row>
    <row r="737" spans="1:2" x14ac:dyDescent="0.3">
      <c r="A737">
        <v>736</v>
      </c>
      <c r="B737" t="s">
        <v>74</v>
      </c>
    </row>
    <row r="738" spans="1:2" x14ac:dyDescent="0.3">
      <c r="A738">
        <v>737</v>
      </c>
      <c r="B738" t="s">
        <v>74</v>
      </c>
    </row>
    <row r="739" spans="1:2" x14ac:dyDescent="0.3">
      <c r="A739">
        <v>738</v>
      </c>
      <c r="B739" t="s">
        <v>75</v>
      </c>
    </row>
    <row r="740" spans="1:2" x14ac:dyDescent="0.3">
      <c r="A740">
        <v>739</v>
      </c>
      <c r="B740" t="s">
        <v>74</v>
      </c>
    </row>
    <row r="741" spans="1:2" x14ac:dyDescent="0.3">
      <c r="A741">
        <v>740</v>
      </c>
      <c r="B741" t="s">
        <v>74</v>
      </c>
    </row>
    <row r="742" spans="1:2" x14ac:dyDescent="0.3">
      <c r="A742">
        <v>741</v>
      </c>
      <c r="B742" t="s">
        <v>74</v>
      </c>
    </row>
    <row r="743" spans="1:2" x14ac:dyDescent="0.3">
      <c r="A743">
        <v>742</v>
      </c>
      <c r="B743" t="s">
        <v>75</v>
      </c>
    </row>
    <row r="744" spans="1:2" x14ac:dyDescent="0.3">
      <c r="A744">
        <v>743</v>
      </c>
      <c r="B744" t="s">
        <v>74</v>
      </c>
    </row>
    <row r="745" spans="1:2" x14ac:dyDescent="0.3">
      <c r="A745">
        <v>744</v>
      </c>
      <c r="B745" t="s">
        <v>74</v>
      </c>
    </row>
    <row r="746" spans="1:2" x14ac:dyDescent="0.3">
      <c r="A746">
        <v>745</v>
      </c>
      <c r="B746" t="s">
        <v>74</v>
      </c>
    </row>
    <row r="747" spans="1:2" x14ac:dyDescent="0.3">
      <c r="A747">
        <v>746</v>
      </c>
      <c r="B747" t="s">
        <v>75</v>
      </c>
    </row>
    <row r="748" spans="1:2" x14ac:dyDescent="0.3">
      <c r="A748">
        <v>747</v>
      </c>
      <c r="B748" t="s">
        <v>75</v>
      </c>
    </row>
    <row r="749" spans="1:2" x14ac:dyDescent="0.3">
      <c r="A749">
        <v>748</v>
      </c>
      <c r="B749" t="s">
        <v>74</v>
      </c>
    </row>
    <row r="750" spans="1:2" x14ac:dyDescent="0.3">
      <c r="A750">
        <v>749</v>
      </c>
      <c r="B750" t="s">
        <v>75</v>
      </c>
    </row>
    <row r="751" spans="1:2" x14ac:dyDescent="0.3">
      <c r="A751">
        <v>750</v>
      </c>
      <c r="B751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T1_data</vt:lpstr>
      <vt:lpstr>T2_data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Upadhyay</dc:creator>
  <cp:lastModifiedBy>abhi upadhyay</cp:lastModifiedBy>
  <dcterms:created xsi:type="dcterms:W3CDTF">2025-11-18T05:58:21Z</dcterms:created>
  <dcterms:modified xsi:type="dcterms:W3CDTF">2026-09-07T14:05:28Z</dcterms:modified>
</cp:coreProperties>
</file>